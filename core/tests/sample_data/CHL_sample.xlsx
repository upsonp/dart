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SRC\2020s\2021\HUD2021185\BIOCHEM\CHL\"/>
    </mc:Choice>
  </mc:AlternateContent>
  <bookViews>
    <workbookView xWindow="4410" yWindow="-30" windowWidth="13770" windowHeight="12525"/>
  </bookViews>
  <sheets>
    <sheet name="JBEDITS" sheetId="5" r:id="rId1"/>
    <sheet name="Project" sheetId="1" r:id="rId2"/>
    <sheet name="Mean CHL" sheetId="2" r:id="rId3"/>
    <sheet name="TSG" sheetId="3" r:id="rId4"/>
    <sheet name="Chl Profiles" sheetId="4" r:id="rId5"/>
  </sheets>
  <calcPr calcId="162913"/>
</workbook>
</file>

<file path=xl/calcChain.xml><?xml version="1.0" encoding="utf-8"?>
<calcChain xmlns="http://schemas.openxmlformats.org/spreadsheetml/2006/main">
  <c r="F1405" i="1" l="1"/>
  <c r="G1405" i="1"/>
  <c r="H1405" i="1"/>
  <c r="I1405" i="1"/>
  <c r="F1406" i="1"/>
  <c r="G1406" i="1"/>
  <c r="H1406" i="1"/>
  <c r="I1406" i="1"/>
  <c r="I1490" i="1"/>
  <c r="H1490" i="1"/>
  <c r="G1490" i="1"/>
  <c r="J1490" i="1" s="1"/>
  <c r="F1490" i="1"/>
  <c r="H1489" i="1"/>
  <c r="G1489" i="1"/>
  <c r="F1489" i="1"/>
  <c r="I1489" i="1" s="1"/>
  <c r="I1488" i="1"/>
  <c r="H1488" i="1"/>
  <c r="G1488" i="1"/>
  <c r="J1488" i="1" s="1"/>
  <c r="F1488" i="1"/>
  <c r="J1487" i="1"/>
  <c r="N1487" i="1" s="1"/>
  <c r="H1487" i="1"/>
  <c r="G1487" i="1"/>
  <c r="F1487" i="1"/>
  <c r="I1487" i="1" s="1"/>
  <c r="I1486" i="1"/>
  <c r="H1486" i="1"/>
  <c r="G1486" i="1"/>
  <c r="J1486" i="1" s="1"/>
  <c r="F1486" i="1"/>
  <c r="J1485" i="1"/>
  <c r="N1485" i="1" s="1"/>
  <c r="H1485" i="1"/>
  <c r="G1485" i="1"/>
  <c r="F1485" i="1"/>
  <c r="I1485" i="1" s="1"/>
  <c r="I1484" i="1"/>
  <c r="H1484" i="1"/>
  <c r="G1484" i="1"/>
  <c r="J1484" i="1" s="1"/>
  <c r="F1484" i="1"/>
  <c r="H1483" i="1"/>
  <c r="G1483" i="1"/>
  <c r="F1483" i="1"/>
  <c r="I1483" i="1" s="1"/>
  <c r="I1482" i="1"/>
  <c r="H1482" i="1"/>
  <c r="G1482" i="1"/>
  <c r="J1482" i="1" s="1"/>
  <c r="F1482" i="1"/>
  <c r="J1481" i="1"/>
  <c r="N1481" i="1" s="1"/>
  <c r="H1481" i="1"/>
  <c r="G1481" i="1"/>
  <c r="F1481" i="1"/>
  <c r="I1481" i="1" s="1"/>
  <c r="I1480" i="1"/>
  <c r="H1480" i="1"/>
  <c r="G1480" i="1"/>
  <c r="J1480" i="1" s="1"/>
  <c r="F1480" i="1"/>
  <c r="J1479" i="1"/>
  <c r="N1479" i="1" s="1"/>
  <c r="H1479" i="1"/>
  <c r="G1479" i="1"/>
  <c r="F1479" i="1"/>
  <c r="I1479" i="1" s="1"/>
  <c r="I1478" i="1"/>
  <c r="H1478" i="1"/>
  <c r="G1478" i="1"/>
  <c r="J1478" i="1" s="1"/>
  <c r="F1478" i="1"/>
  <c r="J1477" i="1"/>
  <c r="N1477" i="1" s="1"/>
  <c r="H1477" i="1"/>
  <c r="G1477" i="1"/>
  <c r="F1477" i="1"/>
  <c r="I1477" i="1" s="1"/>
  <c r="I1476" i="1"/>
  <c r="H1476" i="1"/>
  <c r="G1476" i="1"/>
  <c r="J1476" i="1" s="1"/>
  <c r="F1476" i="1"/>
  <c r="H1475" i="1"/>
  <c r="G1475" i="1"/>
  <c r="F1475" i="1"/>
  <c r="I1475" i="1" s="1"/>
  <c r="I1474" i="1"/>
  <c r="H1474" i="1"/>
  <c r="G1474" i="1"/>
  <c r="J1474" i="1" s="1"/>
  <c r="F1474" i="1"/>
  <c r="J1473" i="1"/>
  <c r="N1473" i="1" s="1"/>
  <c r="H1473" i="1"/>
  <c r="G1473" i="1"/>
  <c r="F1473" i="1"/>
  <c r="I1473" i="1" s="1"/>
  <c r="I1472" i="1"/>
  <c r="H1472" i="1"/>
  <c r="G1472" i="1"/>
  <c r="J1472" i="1" s="1"/>
  <c r="F1472" i="1"/>
  <c r="J1471" i="1"/>
  <c r="N1471" i="1" s="1"/>
  <c r="H1471" i="1"/>
  <c r="G1471" i="1"/>
  <c r="F1471" i="1"/>
  <c r="I1471" i="1" s="1"/>
  <c r="I1470" i="1"/>
  <c r="H1470" i="1"/>
  <c r="G1470" i="1"/>
  <c r="J1470" i="1" s="1"/>
  <c r="F1470" i="1"/>
  <c r="J1469" i="1"/>
  <c r="N1469" i="1" s="1"/>
  <c r="H1469" i="1"/>
  <c r="G1469" i="1"/>
  <c r="F1469" i="1"/>
  <c r="I1469" i="1" s="1"/>
  <c r="I1468" i="1"/>
  <c r="H1468" i="1"/>
  <c r="G1468" i="1"/>
  <c r="J1468" i="1" s="1"/>
  <c r="F1468" i="1"/>
  <c r="H1467" i="1"/>
  <c r="G1467" i="1"/>
  <c r="F1467" i="1"/>
  <c r="I1467" i="1" s="1"/>
  <c r="I1466" i="1"/>
  <c r="H1466" i="1"/>
  <c r="G1466" i="1"/>
  <c r="J1466" i="1" s="1"/>
  <c r="F1466" i="1"/>
  <c r="J1465" i="1"/>
  <c r="N1465" i="1" s="1"/>
  <c r="H1465" i="1"/>
  <c r="G1465" i="1"/>
  <c r="F1465" i="1"/>
  <c r="I1465" i="1" s="1"/>
  <c r="I1464" i="1"/>
  <c r="H1464" i="1"/>
  <c r="G1464" i="1"/>
  <c r="J1464" i="1" s="1"/>
  <c r="F1464" i="1"/>
  <c r="J1463" i="1"/>
  <c r="N1463" i="1" s="1"/>
  <c r="H1463" i="1"/>
  <c r="G1463" i="1"/>
  <c r="F1463" i="1"/>
  <c r="I1463" i="1" s="1"/>
  <c r="I1462" i="1"/>
  <c r="H1462" i="1"/>
  <c r="G1462" i="1"/>
  <c r="J1462" i="1" s="1"/>
  <c r="F1462" i="1"/>
  <c r="J1461" i="1"/>
  <c r="N1461" i="1" s="1"/>
  <c r="H1461" i="1"/>
  <c r="G1461" i="1"/>
  <c r="F1461" i="1"/>
  <c r="I1461" i="1" s="1"/>
  <c r="I1460" i="1"/>
  <c r="H1460" i="1"/>
  <c r="G1460" i="1"/>
  <c r="J1460" i="1" s="1"/>
  <c r="F1460" i="1"/>
  <c r="H1459" i="1"/>
  <c r="G1459" i="1"/>
  <c r="F1459" i="1"/>
  <c r="I1459" i="1" s="1"/>
  <c r="I1458" i="1"/>
  <c r="H1458" i="1"/>
  <c r="G1458" i="1"/>
  <c r="J1458" i="1" s="1"/>
  <c r="F1458" i="1"/>
  <c r="J1457" i="1"/>
  <c r="N1457" i="1" s="1"/>
  <c r="H1457" i="1"/>
  <c r="G1457" i="1"/>
  <c r="F1457" i="1"/>
  <c r="I1457" i="1" s="1"/>
  <c r="I1456" i="1"/>
  <c r="H1456" i="1"/>
  <c r="G1456" i="1"/>
  <c r="J1456" i="1" s="1"/>
  <c r="F1456" i="1"/>
  <c r="J1455" i="1"/>
  <c r="N1455" i="1" s="1"/>
  <c r="H1455" i="1"/>
  <c r="I1455" i="1" s="1"/>
  <c r="G1455" i="1"/>
  <c r="F1455" i="1"/>
  <c r="I1454" i="1"/>
  <c r="H1454" i="1"/>
  <c r="G1454" i="1"/>
  <c r="J1454" i="1" s="1"/>
  <c r="F1454" i="1"/>
  <c r="J1453" i="1"/>
  <c r="N1453" i="1" s="1"/>
  <c r="H1453" i="1"/>
  <c r="G1453" i="1"/>
  <c r="F1453" i="1"/>
  <c r="I1452" i="1"/>
  <c r="H1452" i="1"/>
  <c r="G1452" i="1"/>
  <c r="J1452" i="1" s="1"/>
  <c r="F1452" i="1"/>
  <c r="H1451" i="1"/>
  <c r="G1451" i="1"/>
  <c r="F1451" i="1"/>
  <c r="J1451" i="1" s="1"/>
  <c r="N1451" i="1" s="1"/>
  <c r="I1450" i="1"/>
  <c r="H1450" i="1"/>
  <c r="G1450" i="1"/>
  <c r="J1450" i="1" s="1"/>
  <c r="F1450" i="1"/>
  <c r="J1449" i="1"/>
  <c r="N1449" i="1" s="1"/>
  <c r="H1449" i="1"/>
  <c r="I1449" i="1" s="1"/>
  <c r="G1449" i="1"/>
  <c r="F1449" i="1"/>
  <c r="I1448" i="1"/>
  <c r="H1448" i="1"/>
  <c r="G1448" i="1"/>
  <c r="J1448" i="1" s="1"/>
  <c r="F1448" i="1"/>
  <c r="J1447" i="1"/>
  <c r="N1447" i="1" s="1"/>
  <c r="H1447" i="1"/>
  <c r="I1447" i="1" s="1"/>
  <c r="G1447" i="1"/>
  <c r="F1447" i="1"/>
  <c r="I1446" i="1"/>
  <c r="H1446" i="1"/>
  <c r="G1446" i="1"/>
  <c r="J1446" i="1" s="1"/>
  <c r="F1446" i="1"/>
  <c r="J1445" i="1"/>
  <c r="N1445" i="1" s="1"/>
  <c r="H1445" i="1"/>
  <c r="G1445" i="1"/>
  <c r="F1445" i="1"/>
  <c r="I1444" i="1"/>
  <c r="H1444" i="1"/>
  <c r="G1444" i="1"/>
  <c r="J1444" i="1" s="1"/>
  <c r="F1444" i="1"/>
  <c r="H1443" i="1"/>
  <c r="G1443" i="1"/>
  <c r="F1443" i="1"/>
  <c r="J1443" i="1" s="1"/>
  <c r="N1443" i="1" s="1"/>
  <c r="I1442" i="1"/>
  <c r="H1442" i="1"/>
  <c r="G1442" i="1"/>
  <c r="J1442" i="1" s="1"/>
  <c r="F1442" i="1"/>
  <c r="J1441" i="1"/>
  <c r="N1441" i="1" s="1"/>
  <c r="H1441" i="1"/>
  <c r="I1441" i="1" s="1"/>
  <c r="G1441" i="1"/>
  <c r="F1441" i="1"/>
  <c r="I1440" i="1"/>
  <c r="H1440" i="1"/>
  <c r="G1440" i="1"/>
  <c r="J1440" i="1" s="1"/>
  <c r="F1440" i="1"/>
  <c r="J1439" i="1"/>
  <c r="N1439" i="1" s="1"/>
  <c r="H1439" i="1"/>
  <c r="I1439" i="1" s="1"/>
  <c r="G1439" i="1"/>
  <c r="F1439" i="1"/>
  <c r="I1438" i="1"/>
  <c r="H1438" i="1"/>
  <c r="G1438" i="1"/>
  <c r="J1438" i="1" s="1"/>
  <c r="F1438" i="1"/>
  <c r="J1437" i="1"/>
  <c r="N1437" i="1" s="1"/>
  <c r="H1437" i="1"/>
  <c r="G1437" i="1"/>
  <c r="F1437" i="1"/>
  <c r="H1436" i="1"/>
  <c r="G1436" i="1"/>
  <c r="J1436" i="1" s="1"/>
  <c r="F1436" i="1"/>
  <c r="H1435" i="1"/>
  <c r="I1435" i="1" s="1"/>
  <c r="G1435" i="1"/>
  <c r="F1435" i="1"/>
  <c r="I1434" i="1"/>
  <c r="L1434" i="1" s="1"/>
  <c r="H1434" i="1"/>
  <c r="G1434" i="1"/>
  <c r="J1434" i="1" s="1"/>
  <c r="F1434" i="1"/>
  <c r="I1433" i="1"/>
  <c r="H1433" i="1"/>
  <c r="G1433" i="1"/>
  <c r="F1433" i="1"/>
  <c r="J1433" i="1" s="1"/>
  <c r="N1433" i="1" s="1"/>
  <c r="H1432" i="1"/>
  <c r="I1432" i="1" s="1"/>
  <c r="G1432" i="1"/>
  <c r="J1432" i="1" s="1"/>
  <c r="F1432" i="1"/>
  <c r="H1431" i="1"/>
  <c r="I1431" i="1" s="1"/>
  <c r="G1431" i="1"/>
  <c r="F1431" i="1"/>
  <c r="J1431" i="1" s="1"/>
  <c r="N1431" i="1" s="1"/>
  <c r="I1430" i="1"/>
  <c r="H1430" i="1"/>
  <c r="G1430" i="1"/>
  <c r="J1430" i="1" s="1"/>
  <c r="F1430" i="1"/>
  <c r="I1429" i="1"/>
  <c r="H1429" i="1"/>
  <c r="G1429" i="1"/>
  <c r="F1429" i="1"/>
  <c r="J1429" i="1" s="1"/>
  <c r="N1429" i="1" s="1"/>
  <c r="H1428" i="1"/>
  <c r="I1428" i="1" s="1"/>
  <c r="K1428" i="1" s="1"/>
  <c r="G1428" i="1"/>
  <c r="J1428" i="1" s="1"/>
  <c r="F1428" i="1"/>
  <c r="H1427" i="1"/>
  <c r="I1427" i="1" s="1"/>
  <c r="G1427" i="1"/>
  <c r="F1427" i="1"/>
  <c r="J1427" i="1" s="1"/>
  <c r="N1427" i="1" s="1"/>
  <c r="I1426" i="1"/>
  <c r="H1426" i="1"/>
  <c r="G1426" i="1"/>
  <c r="J1426" i="1" s="1"/>
  <c r="F1426" i="1"/>
  <c r="I1425" i="1"/>
  <c r="H1425" i="1"/>
  <c r="G1425" i="1"/>
  <c r="F1425" i="1"/>
  <c r="J1425" i="1" s="1"/>
  <c r="N1425" i="1" s="1"/>
  <c r="H1424" i="1"/>
  <c r="G1424" i="1"/>
  <c r="J1424" i="1" s="1"/>
  <c r="F1424" i="1"/>
  <c r="L1423" i="1"/>
  <c r="H1423" i="1"/>
  <c r="I1423" i="1" s="1"/>
  <c r="G1423" i="1"/>
  <c r="F1423" i="1"/>
  <c r="J1423" i="1" s="1"/>
  <c r="N1423" i="1" s="1"/>
  <c r="I1422" i="1"/>
  <c r="H1422" i="1"/>
  <c r="G1422" i="1"/>
  <c r="J1422" i="1" s="1"/>
  <c r="F1422" i="1"/>
  <c r="I1421" i="1"/>
  <c r="H1421" i="1"/>
  <c r="G1421" i="1"/>
  <c r="F1421" i="1"/>
  <c r="J1421" i="1" s="1"/>
  <c r="N1421" i="1" s="1"/>
  <c r="H1420" i="1"/>
  <c r="G1420" i="1"/>
  <c r="J1420" i="1" s="1"/>
  <c r="F1420" i="1"/>
  <c r="H1419" i="1"/>
  <c r="I1419" i="1" s="1"/>
  <c r="G1419" i="1"/>
  <c r="F1419" i="1"/>
  <c r="J1419" i="1" s="1"/>
  <c r="N1419" i="1" s="1"/>
  <c r="I1418" i="1"/>
  <c r="H1418" i="1"/>
  <c r="G1418" i="1"/>
  <c r="F1418" i="1"/>
  <c r="I1417" i="1"/>
  <c r="H1417" i="1"/>
  <c r="G1417" i="1"/>
  <c r="F1417" i="1"/>
  <c r="J1417" i="1" s="1"/>
  <c r="H1416" i="1"/>
  <c r="G1416" i="1"/>
  <c r="J1416" i="1" s="1"/>
  <c r="F1416" i="1"/>
  <c r="H1415" i="1"/>
  <c r="I1415" i="1" s="1"/>
  <c r="G1415" i="1"/>
  <c r="J1415" i="1" s="1"/>
  <c r="N1415" i="1" s="1"/>
  <c r="F1415" i="1"/>
  <c r="H1414" i="1"/>
  <c r="G1414" i="1"/>
  <c r="J1414" i="1" s="1"/>
  <c r="F1414" i="1"/>
  <c r="H1413" i="1"/>
  <c r="I1413" i="1" s="1"/>
  <c r="G1413" i="1"/>
  <c r="J1413" i="1" s="1"/>
  <c r="N1413" i="1" s="1"/>
  <c r="F1413" i="1"/>
  <c r="H1412" i="1"/>
  <c r="G1412" i="1"/>
  <c r="J1412" i="1" s="1"/>
  <c r="F1412" i="1"/>
  <c r="H1411" i="1"/>
  <c r="I1411" i="1" s="1"/>
  <c r="G1411" i="1"/>
  <c r="J1411" i="1" s="1"/>
  <c r="F1411" i="1"/>
  <c r="H1410" i="1"/>
  <c r="G1410" i="1"/>
  <c r="J1410" i="1" s="1"/>
  <c r="F1410" i="1"/>
  <c r="H1409" i="1"/>
  <c r="I1409" i="1" s="1"/>
  <c r="L1409" i="1" s="1"/>
  <c r="G1409" i="1"/>
  <c r="J1409" i="1" s="1"/>
  <c r="F1409" i="1"/>
  <c r="H1408" i="1"/>
  <c r="G1408" i="1"/>
  <c r="J1408" i="1" s="1"/>
  <c r="F1408" i="1"/>
  <c r="H1407" i="1"/>
  <c r="I1407" i="1" s="1"/>
  <c r="G1407" i="1"/>
  <c r="J1407" i="1" s="1"/>
  <c r="N1407" i="1" s="1"/>
  <c r="F1407" i="1"/>
  <c r="J1406" i="1"/>
  <c r="L1405" i="1"/>
  <c r="J1405" i="1"/>
  <c r="N1405" i="1" s="1"/>
  <c r="N1411" i="1" l="1"/>
  <c r="L1422" i="1"/>
  <c r="K1422" i="1"/>
  <c r="K1407" i="1"/>
  <c r="I1408" i="1"/>
  <c r="K1411" i="1"/>
  <c r="I1412" i="1"/>
  <c r="K1415" i="1"/>
  <c r="M1415" i="1"/>
  <c r="I1416" i="1"/>
  <c r="K1429" i="1"/>
  <c r="M1429" i="1"/>
  <c r="L1429" i="1"/>
  <c r="K1431" i="1"/>
  <c r="M1431" i="1"/>
  <c r="L1431" i="1"/>
  <c r="L1407" i="1"/>
  <c r="K1417" i="1"/>
  <c r="M1417" i="1"/>
  <c r="L1417" i="1"/>
  <c r="K1430" i="1"/>
  <c r="L1430" i="1"/>
  <c r="N1409" i="1"/>
  <c r="K1425" i="1"/>
  <c r="M1425" i="1"/>
  <c r="L1425" i="1"/>
  <c r="K1427" i="1"/>
  <c r="M1427" i="1"/>
  <c r="K1432" i="1"/>
  <c r="L1432" i="1"/>
  <c r="K1405" i="1"/>
  <c r="M1405" i="1"/>
  <c r="K1409" i="1"/>
  <c r="I1410" i="1"/>
  <c r="M1409" i="1" s="1"/>
  <c r="K1413" i="1"/>
  <c r="I1414" i="1"/>
  <c r="K1426" i="1"/>
  <c r="L1426" i="1"/>
  <c r="L1427" i="1"/>
  <c r="L1428" i="1"/>
  <c r="L1411" i="1"/>
  <c r="L1413" i="1"/>
  <c r="L1415" i="1"/>
  <c r="K1419" i="1"/>
  <c r="I1420" i="1"/>
  <c r="L1419" i="1"/>
  <c r="K1421" i="1"/>
  <c r="M1421" i="1"/>
  <c r="L1421" i="1"/>
  <c r="K1423" i="1"/>
  <c r="M1423" i="1"/>
  <c r="I1424" i="1"/>
  <c r="K1433" i="1"/>
  <c r="M1455" i="1"/>
  <c r="L1455" i="1"/>
  <c r="K1455" i="1"/>
  <c r="L1460" i="1"/>
  <c r="K1460" i="1"/>
  <c r="L1484" i="1"/>
  <c r="K1484" i="1"/>
  <c r="L1438" i="1"/>
  <c r="K1438" i="1"/>
  <c r="M1441" i="1"/>
  <c r="L1441" i="1"/>
  <c r="K1441" i="1"/>
  <c r="M1461" i="1"/>
  <c r="L1461" i="1"/>
  <c r="K1461" i="1"/>
  <c r="L1462" i="1"/>
  <c r="K1462" i="1"/>
  <c r="M1469" i="1"/>
  <c r="L1469" i="1"/>
  <c r="K1469" i="1"/>
  <c r="L1478" i="1"/>
  <c r="K1478" i="1"/>
  <c r="M1485" i="1"/>
  <c r="L1485" i="1"/>
  <c r="K1485" i="1"/>
  <c r="L1486" i="1"/>
  <c r="K1486" i="1"/>
  <c r="J1418" i="1"/>
  <c r="N1417" i="1" s="1"/>
  <c r="L1433" i="1"/>
  <c r="L1440" i="1"/>
  <c r="K1440" i="1"/>
  <c r="I1443" i="1"/>
  <c r="L1448" i="1"/>
  <c r="K1448" i="1"/>
  <c r="I1451" i="1"/>
  <c r="L1456" i="1"/>
  <c r="K1456" i="1"/>
  <c r="M1463" i="1"/>
  <c r="L1463" i="1"/>
  <c r="K1463" i="1"/>
  <c r="L1464" i="1"/>
  <c r="K1464" i="1"/>
  <c r="M1471" i="1"/>
  <c r="L1471" i="1"/>
  <c r="K1471" i="1"/>
  <c r="L1472" i="1"/>
  <c r="K1472" i="1"/>
  <c r="M1479" i="1"/>
  <c r="L1479" i="1"/>
  <c r="K1479" i="1"/>
  <c r="L1480" i="1"/>
  <c r="K1480" i="1"/>
  <c r="M1487" i="1"/>
  <c r="L1487" i="1"/>
  <c r="K1487" i="1"/>
  <c r="L1488" i="1"/>
  <c r="K1488" i="1"/>
  <c r="J1489" i="1"/>
  <c r="N1489" i="1" s="1"/>
  <c r="M1439" i="1"/>
  <c r="L1439" i="1"/>
  <c r="K1439" i="1"/>
  <c r="L1444" i="1"/>
  <c r="K1444" i="1"/>
  <c r="M1447" i="1"/>
  <c r="L1447" i="1"/>
  <c r="K1447" i="1"/>
  <c r="L1452" i="1"/>
  <c r="K1452" i="1"/>
  <c r="M1459" i="1"/>
  <c r="L1459" i="1"/>
  <c r="K1459" i="1"/>
  <c r="M1467" i="1"/>
  <c r="L1468" i="1"/>
  <c r="K1468" i="1"/>
  <c r="M1475" i="1"/>
  <c r="L1475" i="1"/>
  <c r="K1475" i="1"/>
  <c r="L1476" i="1"/>
  <c r="K1476" i="1"/>
  <c r="M1483" i="1"/>
  <c r="K1434" i="1"/>
  <c r="J1435" i="1"/>
  <c r="N1435" i="1" s="1"/>
  <c r="L1446" i="1"/>
  <c r="K1446" i="1"/>
  <c r="M1449" i="1"/>
  <c r="L1449" i="1"/>
  <c r="K1449" i="1"/>
  <c r="L1454" i="1"/>
  <c r="K1454" i="1"/>
  <c r="L1470" i="1"/>
  <c r="K1470" i="1"/>
  <c r="M1477" i="1"/>
  <c r="L1477" i="1"/>
  <c r="K1477" i="1"/>
  <c r="M1433" i="1"/>
  <c r="I1436" i="1"/>
  <c r="M1435" i="1" s="1"/>
  <c r="I1437" i="1"/>
  <c r="L1442" i="1"/>
  <c r="K1442" i="1"/>
  <c r="I1445" i="1"/>
  <c r="L1450" i="1"/>
  <c r="K1450" i="1"/>
  <c r="I1453" i="1"/>
  <c r="M1457" i="1"/>
  <c r="L1457" i="1"/>
  <c r="K1457" i="1"/>
  <c r="L1458" i="1"/>
  <c r="K1458" i="1"/>
  <c r="J1459" i="1"/>
  <c r="N1459" i="1" s="1"/>
  <c r="M1465" i="1"/>
  <c r="L1465" i="1"/>
  <c r="K1465" i="1"/>
  <c r="L1466" i="1"/>
  <c r="K1466" i="1"/>
  <c r="J1467" i="1"/>
  <c r="N1467" i="1" s="1"/>
  <c r="M1473" i="1"/>
  <c r="L1473" i="1"/>
  <c r="K1473" i="1"/>
  <c r="L1474" i="1"/>
  <c r="K1474" i="1"/>
  <c r="J1475" i="1"/>
  <c r="N1475" i="1" s="1"/>
  <c r="M1481" i="1"/>
  <c r="L1481" i="1"/>
  <c r="K1481" i="1"/>
  <c r="L1482" i="1"/>
  <c r="K1482" i="1"/>
  <c r="J1483" i="1"/>
  <c r="N1483" i="1" s="1"/>
  <c r="M1489" i="1"/>
  <c r="L1489" i="1"/>
  <c r="K1489" i="1"/>
  <c r="L1490" i="1"/>
  <c r="K1490" i="1"/>
  <c r="I1404" i="1"/>
  <c r="H1404" i="1"/>
  <c r="G1404" i="1"/>
  <c r="J1404" i="1" s="1"/>
  <c r="F1404" i="1"/>
  <c r="H1403" i="1"/>
  <c r="G1403" i="1"/>
  <c r="F1403" i="1"/>
  <c r="I1403" i="1" s="1"/>
  <c r="I1402" i="1"/>
  <c r="H1402" i="1"/>
  <c r="G1402" i="1"/>
  <c r="J1402" i="1" s="1"/>
  <c r="F1402" i="1"/>
  <c r="H1401" i="1"/>
  <c r="G1401" i="1"/>
  <c r="F1401" i="1"/>
  <c r="I1401" i="1" s="1"/>
  <c r="I1400" i="1"/>
  <c r="H1400" i="1"/>
  <c r="G1400" i="1"/>
  <c r="J1400" i="1" s="1"/>
  <c r="F1400" i="1"/>
  <c r="J1399" i="1"/>
  <c r="N1399" i="1" s="1"/>
  <c r="H1399" i="1"/>
  <c r="G1399" i="1"/>
  <c r="F1399" i="1"/>
  <c r="I1399" i="1" s="1"/>
  <c r="I1398" i="1"/>
  <c r="H1398" i="1"/>
  <c r="G1398" i="1"/>
  <c r="J1398" i="1" s="1"/>
  <c r="F1398" i="1"/>
  <c r="H1397" i="1"/>
  <c r="G1397" i="1"/>
  <c r="F1397" i="1"/>
  <c r="I1397" i="1" s="1"/>
  <c r="I1396" i="1"/>
  <c r="H1396" i="1"/>
  <c r="G1396" i="1"/>
  <c r="J1396" i="1" s="1"/>
  <c r="F1396" i="1"/>
  <c r="H1395" i="1"/>
  <c r="G1395" i="1"/>
  <c r="F1395" i="1"/>
  <c r="I1395" i="1" s="1"/>
  <c r="I1394" i="1"/>
  <c r="H1394" i="1"/>
  <c r="G1394" i="1"/>
  <c r="J1394" i="1" s="1"/>
  <c r="F1394" i="1"/>
  <c r="H1393" i="1"/>
  <c r="G1393" i="1"/>
  <c r="F1393" i="1"/>
  <c r="I1393" i="1" s="1"/>
  <c r="I1392" i="1"/>
  <c r="H1392" i="1"/>
  <c r="G1392" i="1"/>
  <c r="J1392" i="1" s="1"/>
  <c r="F1392" i="1"/>
  <c r="J1391" i="1"/>
  <c r="N1391" i="1" s="1"/>
  <c r="H1391" i="1"/>
  <c r="G1391" i="1"/>
  <c r="F1391" i="1"/>
  <c r="I1391" i="1" s="1"/>
  <c r="I1390" i="1"/>
  <c r="H1390" i="1"/>
  <c r="G1390" i="1"/>
  <c r="J1390" i="1" s="1"/>
  <c r="F1390" i="1"/>
  <c r="H1389" i="1"/>
  <c r="G1389" i="1"/>
  <c r="F1389" i="1"/>
  <c r="I1389" i="1" s="1"/>
  <c r="I1388" i="1"/>
  <c r="H1388" i="1"/>
  <c r="G1388" i="1"/>
  <c r="J1388" i="1" s="1"/>
  <c r="F1388" i="1"/>
  <c r="H1387" i="1"/>
  <c r="G1387" i="1"/>
  <c r="F1387" i="1"/>
  <c r="I1387" i="1" s="1"/>
  <c r="I1386" i="1"/>
  <c r="H1386" i="1"/>
  <c r="G1386" i="1"/>
  <c r="J1386" i="1" s="1"/>
  <c r="F1386" i="1"/>
  <c r="H1385" i="1"/>
  <c r="G1385" i="1"/>
  <c r="F1385" i="1"/>
  <c r="I1385" i="1" s="1"/>
  <c r="I1384" i="1"/>
  <c r="H1384" i="1"/>
  <c r="G1384" i="1"/>
  <c r="J1384" i="1" s="1"/>
  <c r="F1384" i="1"/>
  <c r="J1383" i="1"/>
  <c r="N1383" i="1" s="1"/>
  <c r="H1383" i="1"/>
  <c r="G1383" i="1"/>
  <c r="F1383" i="1"/>
  <c r="I1383" i="1" s="1"/>
  <c r="I1382" i="1"/>
  <c r="H1382" i="1"/>
  <c r="G1382" i="1"/>
  <c r="J1382" i="1" s="1"/>
  <c r="F1382" i="1"/>
  <c r="H1381" i="1"/>
  <c r="G1381" i="1"/>
  <c r="F1381" i="1"/>
  <c r="I1381" i="1" s="1"/>
  <c r="I1380" i="1"/>
  <c r="H1380" i="1"/>
  <c r="G1380" i="1"/>
  <c r="J1380" i="1" s="1"/>
  <c r="F1380" i="1"/>
  <c r="H1379" i="1"/>
  <c r="G1379" i="1"/>
  <c r="F1379" i="1"/>
  <c r="I1379" i="1" s="1"/>
  <c r="I1378" i="1"/>
  <c r="H1378" i="1"/>
  <c r="G1378" i="1"/>
  <c r="J1378" i="1" s="1"/>
  <c r="F1378" i="1"/>
  <c r="H1377" i="1"/>
  <c r="G1377" i="1"/>
  <c r="F1377" i="1"/>
  <c r="I1377" i="1" s="1"/>
  <c r="I1376" i="1"/>
  <c r="H1376" i="1"/>
  <c r="G1376" i="1"/>
  <c r="J1376" i="1" s="1"/>
  <c r="F1376" i="1"/>
  <c r="J1375" i="1"/>
  <c r="N1375" i="1" s="1"/>
  <c r="H1375" i="1"/>
  <c r="G1375" i="1"/>
  <c r="F1375" i="1"/>
  <c r="I1375" i="1" s="1"/>
  <c r="I1374" i="1"/>
  <c r="H1374" i="1"/>
  <c r="G1374" i="1"/>
  <c r="J1374" i="1" s="1"/>
  <c r="F1374" i="1"/>
  <c r="H1373" i="1"/>
  <c r="G1373" i="1"/>
  <c r="F1373" i="1"/>
  <c r="I1373" i="1" s="1"/>
  <c r="I1372" i="1"/>
  <c r="H1372" i="1"/>
  <c r="G1372" i="1"/>
  <c r="J1372" i="1" s="1"/>
  <c r="F1372" i="1"/>
  <c r="H1371" i="1"/>
  <c r="G1371" i="1"/>
  <c r="F1371" i="1"/>
  <c r="I1371" i="1" s="1"/>
  <c r="I1370" i="1"/>
  <c r="H1370" i="1"/>
  <c r="G1370" i="1"/>
  <c r="J1370" i="1" s="1"/>
  <c r="F1370" i="1"/>
  <c r="H1369" i="1"/>
  <c r="G1369" i="1"/>
  <c r="F1369" i="1"/>
  <c r="I1369" i="1" s="1"/>
  <c r="I1368" i="1"/>
  <c r="H1368" i="1"/>
  <c r="G1368" i="1"/>
  <c r="J1368" i="1" s="1"/>
  <c r="F1368" i="1"/>
  <c r="J1367" i="1"/>
  <c r="N1367" i="1" s="1"/>
  <c r="H1367" i="1"/>
  <c r="G1367" i="1"/>
  <c r="F1367" i="1"/>
  <c r="I1367" i="1" s="1"/>
  <c r="I1366" i="1"/>
  <c r="H1366" i="1"/>
  <c r="G1366" i="1"/>
  <c r="J1366" i="1" s="1"/>
  <c r="F1366" i="1"/>
  <c r="H1365" i="1"/>
  <c r="G1365" i="1"/>
  <c r="F1365" i="1"/>
  <c r="I1365" i="1" s="1"/>
  <c r="I1364" i="1"/>
  <c r="H1364" i="1"/>
  <c r="G1364" i="1"/>
  <c r="J1364" i="1" s="1"/>
  <c r="F1364" i="1"/>
  <c r="H1363" i="1"/>
  <c r="G1363" i="1"/>
  <c r="F1363" i="1"/>
  <c r="I1363" i="1" s="1"/>
  <c r="I1362" i="1"/>
  <c r="H1362" i="1"/>
  <c r="G1362" i="1"/>
  <c r="J1362" i="1" s="1"/>
  <c r="F1362" i="1"/>
  <c r="H1361" i="1"/>
  <c r="G1361" i="1"/>
  <c r="F1361" i="1"/>
  <c r="I1361" i="1" s="1"/>
  <c r="I1360" i="1"/>
  <c r="H1360" i="1"/>
  <c r="G1360" i="1"/>
  <c r="J1360" i="1" s="1"/>
  <c r="F1360" i="1"/>
  <c r="J1359" i="1"/>
  <c r="N1359" i="1" s="1"/>
  <c r="H1359" i="1"/>
  <c r="G1359" i="1"/>
  <c r="F1359" i="1"/>
  <c r="I1359" i="1" s="1"/>
  <c r="I1358" i="1"/>
  <c r="H1358" i="1"/>
  <c r="G1358" i="1"/>
  <c r="J1358" i="1" s="1"/>
  <c r="F1358" i="1"/>
  <c r="H1357" i="1"/>
  <c r="G1357" i="1"/>
  <c r="F1357" i="1"/>
  <c r="I1357" i="1" s="1"/>
  <c r="I1356" i="1"/>
  <c r="H1356" i="1"/>
  <c r="G1356" i="1"/>
  <c r="J1356" i="1" s="1"/>
  <c r="F1356" i="1"/>
  <c r="H1355" i="1"/>
  <c r="G1355" i="1"/>
  <c r="F1355" i="1"/>
  <c r="I1355" i="1" s="1"/>
  <c r="I1354" i="1"/>
  <c r="H1354" i="1"/>
  <c r="G1354" i="1"/>
  <c r="J1354" i="1" s="1"/>
  <c r="F1354" i="1"/>
  <c r="H1353" i="1"/>
  <c r="G1353" i="1"/>
  <c r="F1353" i="1"/>
  <c r="I1353" i="1" s="1"/>
  <c r="I1352" i="1"/>
  <c r="H1352" i="1"/>
  <c r="G1352" i="1"/>
  <c r="J1352" i="1" s="1"/>
  <c r="F1352" i="1"/>
  <c r="J1351" i="1"/>
  <c r="N1351" i="1" s="1"/>
  <c r="H1351" i="1"/>
  <c r="G1351" i="1"/>
  <c r="F1351" i="1"/>
  <c r="I1351" i="1" s="1"/>
  <c r="I1350" i="1"/>
  <c r="H1350" i="1"/>
  <c r="G1350" i="1"/>
  <c r="J1350" i="1" s="1"/>
  <c r="F1350" i="1"/>
  <c r="H1349" i="1"/>
  <c r="G1349" i="1"/>
  <c r="F1349" i="1"/>
  <c r="I1349" i="1" s="1"/>
  <c r="I1348" i="1"/>
  <c r="H1348" i="1"/>
  <c r="G1348" i="1"/>
  <c r="F1348" i="1"/>
  <c r="I1347" i="1"/>
  <c r="H1347" i="1"/>
  <c r="G1347" i="1"/>
  <c r="F1347" i="1"/>
  <c r="J1347" i="1" s="1"/>
  <c r="I1346" i="1"/>
  <c r="H1346" i="1"/>
  <c r="G1346" i="1"/>
  <c r="F1346" i="1"/>
  <c r="I1345" i="1"/>
  <c r="H1345" i="1"/>
  <c r="G1345" i="1"/>
  <c r="F1345" i="1"/>
  <c r="J1345" i="1" s="1"/>
  <c r="H1344" i="1"/>
  <c r="I1344" i="1" s="1"/>
  <c r="G1344" i="1"/>
  <c r="J1344" i="1" s="1"/>
  <c r="F1344" i="1"/>
  <c r="H1343" i="1"/>
  <c r="I1343" i="1" s="1"/>
  <c r="G1343" i="1"/>
  <c r="F1343" i="1"/>
  <c r="J1343" i="1" s="1"/>
  <c r="N1343" i="1" s="1"/>
  <c r="I1342" i="1"/>
  <c r="H1342" i="1"/>
  <c r="G1342" i="1"/>
  <c r="F1342" i="1"/>
  <c r="I1341" i="1"/>
  <c r="H1341" i="1"/>
  <c r="G1341" i="1"/>
  <c r="F1341" i="1"/>
  <c r="J1341" i="1" s="1"/>
  <c r="H1340" i="1"/>
  <c r="I1340" i="1" s="1"/>
  <c r="G1340" i="1"/>
  <c r="J1340" i="1" s="1"/>
  <c r="F1340" i="1"/>
  <c r="H1339" i="1"/>
  <c r="I1339" i="1" s="1"/>
  <c r="G1339" i="1"/>
  <c r="F1339" i="1"/>
  <c r="J1339" i="1" s="1"/>
  <c r="N1339" i="1" s="1"/>
  <c r="I1338" i="1"/>
  <c r="H1338" i="1"/>
  <c r="G1338" i="1"/>
  <c r="F1338" i="1"/>
  <c r="I1337" i="1"/>
  <c r="H1337" i="1"/>
  <c r="G1337" i="1"/>
  <c r="F1337" i="1"/>
  <c r="J1337" i="1" s="1"/>
  <c r="H1336" i="1"/>
  <c r="I1336" i="1" s="1"/>
  <c r="G1336" i="1"/>
  <c r="J1336" i="1" s="1"/>
  <c r="F1336" i="1"/>
  <c r="H1335" i="1"/>
  <c r="I1335" i="1" s="1"/>
  <c r="G1335" i="1"/>
  <c r="F1335" i="1"/>
  <c r="J1335" i="1" s="1"/>
  <c r="N1335" i="1" s="1"/>
  <c r="I1334" i="1"/>
  <c r="H1334" i="1"/>
  <c r="G1334" i="1"/>
  <c r="F1334" i="1"/>
  <c r="H1333" i="1"/>
  <c r="G1333" i="1"/>
  <c r="F1333" i="1"/>
  <c r="I1333" i="1" s="1"/>
  <c r="I1332" i="1"/>
  <c r="H1332" i="1"/>
  <c r="G1332" i="1"/>
  <c r="F1332" i="1"/>
  <c r="J1332" i="1" s="1"/>
  <c r="H1331" i="1"/>
  <c r="G1331" i="1"/>
  <c r="F1331" i="1"/>
  <c r="I1331" i="1" s="1"/>
  <c r="I1330" i="1"/>
  <c r="L1330" i="1" s="1"/>
  <c r="H1330" i="1"/>
  <c r="G1330" i="1"/>
  <c r="F1330" i="1"/>
  <c r="J1330" i="1" s="1"/>
  <c r="H1329" i="1"/>
  <c r="G1329" i="1"/>
  <c r="F1329" i="1"/>
  <c r="I1329" i="1" s="1"/>
  <c r="I1328" i="1"/>
  <c r="L1328" i="1" s="1"/>
  <c r="H1328" i="1"/>
  <c r="G1328" i="1"/>
  <c r="F1328" i="1"/>
  <c r="J1328" i="1" s="1"/>
  <c r="H1327" i="1"/>
  <c r="G1327" i="1"/>
  <c r="F1327" i="1"/>
  <c r="I1327" i="1" s="1"/>
  <c r="I1326" i="1"/>
  <c r="H1326" i="1"/>
  <c r="G1326" i="1"/>
  <c r="F1326" i="1"/>
  <c r="J1326" i="1" s="1"/>
  <c r="H1325" i="1"/>
  <c r="G1325" i="1"/>
  <c r="F1325" i="1"/>
  <c r="I1325" i="1" s="1"/>
  <c r="M1453" i="1" l="1"/>
  <c r="L1453" i="1"/>
  <c r="K1453" i="1"/>
  <c r="K1420" i="1"/>
  <c r="L1420" i="1"/>
  <c r="K1435" i="1"/>
  <c r="M1443" i="1"/>
  <c r="L1443" i="1"/>
  <c r="K1443" i="1"/>
  <c r="M1419" i="1"/>
  <c r="L1408" i="1"/>
  <c r="K1408" i="1"/>
  <c r="M1437" i="1"/>
  <c r="L1437" i="1"/>
  <c r="K1437" i="1"/>
  <c r="L1467" i="1"/>
  <c r="M1451" i="1"/>
  <c r="L1451" i="1"/>
  <c r="K1451" i="1"/>
  <c r="L1435" i="1"/>
  <c r="K1418" i="1"/>
  <c r="L1414" i="1"/>
  <c r="K1414" i="1"/>
  <c r="L1412" i="1"/>
  <c r="K1412" i="1"/>
  <c r="M1407" i="1"/>
  <c r="L1483" i="1"/>
  <c r="L1406" i="1"/>
  <c r="K1406" i="1"/>
  <c r="K1467" i="1"/>
  <c r="L1410" i="1"/>
  <c r="K1410" i="1"/>
  <c r="M1445" i="1"/>
  <c r="L1445" i="1"/>
  <c r="K1445" i="1"/>
  <c r="L1436" i="1"/>
  <c r="K1436" i="1"/>
  <c r="K1483" i="1"/>
  <c r="K1424" i="1"/>
  <c r="L1424" i="1"/>
  <c r="L1418" i="1"/>
  <c r="M1413" i="1"/>
  <c r="K1416" i="1"/>
  <c r="L1416" i="1"/>
  <c r="M1411" i="1"/>
  <c r="K1344" i="1"/>
  <c r="L1344" i="1"/>
  <c r="M1331" i="1"/>
  <c r="L1331" i="1"/>
  <c r="K1343" i="1"/>
  <c r="M1343" i="1"/>
  <c r="L1343" i="1"/>
  <c r="M1325" i="1"/>
  <c r="K1336" i="1"/>
  <c r="L1336" i="1"/>
  <c r="K1335" i="1"/>
  <c r="L1335" i="1"/>
  <c r="M1335" i="1"/>
  <c r="L1326" i="1"/>
  <c r="M1329" i="1"/>
  <c r="K1329" i="1"/>
  <c r="K1340" i="1"/>
  <c r="L1340" i="1"/>
  <c r="L1342" i="1"/>
  <c r="M1333" i="1"/>
  <c r="M1327" i="1"/>
  <c r="L1332" i="1"/>
  <c r="K1339" i="1"/>
  <c r="M1339" i="1"/>
  <c r="L1339" i="1"/>
  <c r="K1341" i="1"/>
  <c r="L1345" i="1"/>
  <c r="K1345" i="1"/>
  <c r="L1350" i="1"/>
  <c r="K1350" i="1"/>
  <c r="M1365" i="1"/>
  <c r="M1373" i="1"/>
  <c r="L1374" i="1"/>
  <c r="K1374" i="1"/>
  <c r="L1382" i="1"/>
  <c r="K1382" i="1"/>
  <c r="M1389" i="1"/>
  <c r="L1389" i="1"/>
  <c r="L1398" i="1"/>
  <c r="K1398" i="1"/>
  <c r="K1334" i="1"/>
  <c r="J1346" i="1"/>
  <c r="L1346" i="1" s="1"/>
  <c r="J1348" i="1"/>
  <c r="L1348" i="1" s="1"/>
  <c r="M1351" i="1"/>
  <c r="L1351" i="1"/>
  <c r="K1351" i="1"/>
  <c r="L1352" i="1"/>
  <c r="K1352" i="1"/>
  <c r="J1353" i="1"/>
  <c r="N1353" i="1" s="1"/>
  <c r="M1359" i="1"/>
  <c r="L1359" i="1"/>
  <c r="K1359" i="1"/>
  <c r="L1360" i="1"/>
  <c r="K1360" i="1"/>
  <c r="J1361" i="1"/>
  <c r="N1361" i="1" s="1"/>
  <c r="M1367" i="1"/>
  <c r="L1367" i="1"/>
  <c r="K1367" i="1"/>
  <c r="L1368" i="1"/>
  <c r="K1368" i="1"/>
  <c r="J1369" i="1"/>
  <c r="N1369" i="1" s="1"/>
  <c r="M1375" i="1"/>
  <c r="L1375" i="1"/>
  <c r="K1375" i="1"/>
  <c r="L1376" i="1"/>
  <c r="K1376" i="1"/>
  <c r="J1377" i="1"/>
  <c r="N1377" i="1" s="1"/>
  <c r="M1383" i="1"/>
  <c r="L1383" i="1"/>
  <c r="K1383" i="1"/>
  <c r="L1384" i="1"/>
  <c r="K1384" i="1"/>
  <c r="J1385" i="1"/>
  <c r="N1385" i="1" s="1"/>
  <c r="M1391" i="1"/>
  <c r="L1391" i="1"/>
  <c r="K1391" i="1"/>
  <c r="L1392" i="1"/>
  <c r="K1392" i="1"/>
  <c r="J1393" i="1"/>
  <c r="N1393" i="1" s="1"/>
  <c r="M1399" i="1"/>
  <c r="L1399" i="1"/>
  <c r="K1399" i="1"/>
  <c r="L1400" i="1"/>
  <c r="K1400" i="1"/>
  <c r="J1401" i="1"/>
  <c r="N1401" i="1" s="1"/>
  <c r="J1325" i="1"/>
  <c r="N1325" i="1" s="1"/>
  <c r="J1327" i="1"/>
  <c r="N1327" i="1" s="1"/>
  <c r="J1329" i="1"/>
  <c r="N1329" i="1" s="1"/>
  <c r="J1331" i="1"/>
  <c r="N1331" i="1" s="1"/>
  <c r="K1337" i="1"/>
  <c r="L1347" i="1"/>
  <c r="K1347" i="1"/>
  <c r="M1357" i="1"/>
  <c r="K1357" i="1"/>
  <c r="L1366" i="1"/>
  <c r="K1366" i="1"/>
  <c r="M1381" i="1"/>
  <c r="L1381" i="1"/>
  <c r="L1390" i="1"/>
  <c r="K1390" i="1"/>
  <c r="M1397" i="1"/>
  <c r="K1326" i="1"/>
  <c r="K1328" i="1"/>
  <c r="K1330" i="1"/>
  <c r="K1332" i="1"/>
  <c r="J1334" i="1"/>
  <c r="L1334" i="1" s="1"/>
  <c r="L1337" i="1"/>
  <c r="J1338" i="1"/>
  <c r="L1338" i="1" s="1"/>
  <c r="L1341" i="1"/>
  <c r="J1342" i="1"/>
  <c r="K1342" i="1" s="1"/>
  <c r="M1345" i="1"/>
  <c r="M1347" i="1"/>
  <c r="M1353" i="1"/>
  <c r="L1353" i="1"/>
  <c r="K1353" i="1"/>
  <c r="L1354" i="1"/>
  <c r="K1354" i="1"/>
  <c r="J1355" i="1"/>
  <c r="N1355" i="1" s="1"/>
  <c r="M1361" i="1"/>
  <c r="L1362" i="1"/>
  <c r="K1362" i="1"/>
  <c r="J1363" i="1"/>
  <c r="N1363" i="1" s="1"/>
  <c r="M1369" i="1"/>
  <c r="L1369" i="1"/>
  <c r="K1369" i="1"/>
  <c r="L1370" i="1"/>
  <c r="K1370" i="1"/>
  <c r="J1371" i="1"/>
  <c r="N1371" i="1" s="1"/>
  <c r="M1377" i="1"/>
  <c r="L1378" i="1"/>
  <c r="K1378" i="1"/>
  <c r="J1379" i="1"/>
  <c r="N1379" i="1" s="1"/>
  <c r="M1385" i="1"/>
  <c r="L1385" i="1"/>
  <c r="K1385" i="1"/>
  <c r="L1386" i="1"/>
  <c r="K1386" i="1"/>
  <c r="J1387" i="1"/>
  <c r="N1387" i="1" s="1"/>
  <c r="M1393" i="1"/>
  <c r="L1394" i="1"/>
  <c r="K1394" i="1"/>
  <c r="J1395" i="1"/>
  <c r="N1395" i="1" s="1"/>
  <c r="M1401" i="1"/>
  <c r="L1401" i="1"/>
  <c r="K1401" i="1"/>
  <c r="L1402" i="1"/>
  <c r="K1402" i="1"/>
  <c r="J1403" i="1"/>
  <c r="N1403" i="1" s="1"/>
  <c r="J1333" i="1"/>
  <c r="N1333" i="1" s="1"/>
  <c r="M1349" i="1"/>
  <c r="L1358" i="1"/>
  <c r="K1358" i="1"/>
  <c r="M1337" i="1"/>
  <c r="M1341" i="1"/>
  <c r="K1346" i="1"/>
  <c r="J1349" i="1"/>
  <c r="N1349" i="1" s="1"/>
  <c r="M1355" i="1"/>
  <c r="L1355" i="1"/>
  <c r="K1355" i="1"/>
  <c r="L1356" i="1"/>
  <c r="K1356" i="1"/>
  <c r="J1357" i="1"/>
  <c r="N1357" i="1" s="1"/>
  <c r="M1363" i="1"/>
  <c r="L1363" i="1"/>
  <c r="K1363" i="1"/>
  <c r="L1364" i="1"/>
  <c r="K1364" i="1"/>
  <c r="J1365" i="1"/>
  <c r="N1365" i="1" s="1"/>
  <c r="M1371" i="1"/>
  <c r="L1371" i="1"/>
  <c r="K1371" i="1"/>
  <c r="L1372" i="1"/>
  <c r="K1372" i="1"/>
  <c r="J1373" i="1"/>
  <c r="N1373" i="1" s="1"/>
  <c r="M1379" i="1"/>
  <c r="L1379" i="1"/>
  <c r="K1379" i="1"/>
  <c r="L1380" i="1"/>
  <c r="K1380" i="1"/>
  <c r="J1381" i="1"/>
  <c r="N1381" i="1" s="1"/>
  <c r="M1387" i="1"/>
  <c r="L1387" i="1"/>
  <c r="K1387" i="1"/>
  <c r="L1388" i="1"/>
  <c r="K1388" i="1"/>
  <c r="J1389" i="1"/>
  <c r="N1389" i="1" s="1"/>
  <c r="M1395" i="1"/>
  <c r="L1395" i="1"/>
  <c r="K1395" i="1"/>
  <c r="L1396" i="1"/>
  <c r="K1396" i="1"/>
  <c r="J1397" i="1"/>
  <c r="N1397" i="1" s="1"/>
  <c r="M1403" i="1"/>
  <c r="L1403" i="1"/>
  <c r="K1403" i="1"/>
  <c r="L1404" i="1"/>
  <c r="K1404" i="1"/>
  <c r="I1324" i="1"/>
  <c r="H1324" i="1"/>
  <c r="G1324" i="1"/>
  <c r="J1324" i="1" s="1"/>
  <c r="F1324" i="1"/>
  <c r="H1323" i="1"/>
  <c r="G1323" i="1"/>
  <c r="F1323" i="1"/>
  <c r="I1323" i="1" s="1"/>
  <c r="I1322" i="1"/>
  <c r="H1322" i="1"/>
  <c r="G1322" i="1"/>
  <c r="J1322" i="1" s="1"/>
  <c r="F1322" i="1"/>
  <c r="H1321" i="1"/>
  <c r="G1321" i="1"/>
  <c r="F1321" i="1"/>
  <c r="I1321" i="1" s="1"/>
  <c r="I1320" i="1"/>
  <c r="H1320" i="1"/>
  <c r="G1320" i="1"/>
  <c r="J1320" i="1" s="1"/>
  <c r="F1320" i="1"/>
  <c r="J1319" i="1"/>
  <c r="N1319" i="1" s="1"/>
  <c r="H1319" i="1"/>
  <c r="G1319" i="1"/>
  <c r="F1319" i="1"/>
  <c r="I1319" i="1" s="1"/>
  <c r="I1318" i="1"/>
  <c r="H1318" i="1"/>
  <c r="G1318" i="1"/>
  <c r="J1318" i="1" s="1"/>
  <c r="F1318" i="1"/>
  <c r="H1317" i="1"/>
  <c r="G1317" i="1"/>
  <c r="F1317" i="1"/>
  <c r="I1317" i="1" s="1"/>
  <c r="I1316" i="1"/>
  <c r="H1316" i="1"/>
  <c r="G1316" i="1"/>
  <c r="J1316" i="1" s="1"/>
  <c r="F1316" i="1"/>
  <c r="J1315" i="1"/>
  <c r="N1315" i="1" s="1"/>
  <c r="H1315" i="1"/>
  <c r="I1315" i="1" s="1"/>
  <c r="G1315" i="1"/>
  <c r="F1315" i="1"/>
  <c r="I1314" i="1"/>
  <c r="H1314" i="1"/>
  <c r="G1314" i="1"/>
  <c r="J1314" i="1" s="1"/>
  <c r="F1314" i="1"/>
  <c r="H1313" i="1"/>
  <c r="I1313" i="1" s="1"/>
  <c r="G1313" i="1"/>
  <c r="F1313" i="1"/>
  <c r="J1313" i="1" s="1"/>
  <c r="N1313" i="1" s="1"/>
  <c r="I1312" i="1"/>
  <c r="H1312" i="1"/>
  <c r="G1312" i="1"/>
  <c r="J1312" i="1" s="1"/>
  <c r="F1312" i="1"/>
  <c r="J1311" i="1"/>
  <c r="N1311" i="1" s="1"/>
  <c r="H1311" i="1"/>
  <c r="G1311" i="1"/>
  <c r="F1311" i="1"/>
  <c r="I1310" i="1"/>
  <c r="H1310" i="1"/>
  <c r="G1310" i="1"/>
  <c r="J1310" i="1" s="1"/>
  <c r="F1310" i="1"/>
  <c r="H1309" i="1"/>
  <c r="G1309" i="1"/>
  <c r="F1309" i="1"/>
  <c r="J1309" i="1" s="1"/>
  <c r="N1309" i="1" s="1"/>
  <c r="I1308" i="1"/>
  <c r="H1308" i="1"/>
  <c r="G1308" i="1"/>
  <c r="J1308" i="1" s="1"/>
  <c r="F1308" i="1"/>
  <c r="J1307" i="1"/>
  <c r="N1307" i="1" s="1"/>
  <c r="H1307" i="1"/>
  <c r="I1307" i="1" s="1"/>
  <c r="G1307" i="1"/>
  <c r="F1307" i="1"/>
  <c r="I1306" i="1"/>
  <c r="H1306" i="1"/>
  <c r="G1306" i="1"/>
  <c r="J1306" i="1" s="1"/>
  <c r="F1306" i="1"/>
  <c r="H1305" i="1"/>
  <c r="I1305" i="1" s="1"/>
  <c r="G1305" i="1"/>
  <c r="F1305" i="1"/>
  <c r="J1305" i="1" s="1"/>
  <c r="N1305" i="1" s="1"/>
  <c r="I1304" i="1"/>
  <c r="H1304" i="1"/>
  <c r="G1304" i="1"/>
  <c r="J1304" i="1" s="1"/>
  <c r="F1304" i="1"/>
  <c r="J1303" i="1"/>
  <c r="N1303" i="1" s="1"/>
  <c r="H1303" i="1"/>
  <c r="G1303" i="1"/>
  <c r="F1303" i="1"/>
  <c r="I1302" i="1"/>
  <c r="H1302" i="1"/>
  <c r="G1302" i="1"/>
  <c r="J1302" i="1" s="1"/>
  <c r="F1302" i="1"/>
  <c r="H1301" i="1"/>
  <c r="G1301" i="1"/>
  <c r="F1301" i="1"/>
  <c r="J1301" i="1" s="1"/>
  <c r="N1301" i="1" s="1"/>
  <c r="I1300" i="1"/>
  <c r="H1300" i="1"/>
  <c r="G1300" i="1"/>
  <c r="J1300" i="1" s="1"/>
  <c r="F1300" i="1"/>
  <c r="J1299" i="1"/>
  <c r="N1299" i="1" s="1"/>
  <c r="H1299" i="1"/>
  <c r="I1299" i="1" s="1"/>
  <c r="G1299" i="1"/>
  <c r="F1299" i="1"/>
  <c r="I1298" i="1"/>
  <c r="H1298" i="1"/>
  <c r="G1298" i="1"/>
  <c r="J1298" i="1" s="1"/>
  <c r="F1298" i="1"/>
  <c r="H1297" i="1"/>
  <c r="I1297" i="1" s="1"/>
  <c r="G1297" i="1"/>
  <c r="F1297" i="1"/>
  <c r="J1297" i="1" s="1"/>
  <c r="N1297" i="1" s="1"/>
  <c r="I1296" i="1"/>
  <c r="H1296" i="1"/>
  <c r="G1296" i="1"/>
  <c r="J1296" i="1" s="1"/>
  <c r="F1296" i="1"/>
  <c r="J1295" i="1"/>
  <c r="N1295" i="1" s="1"/>
  <c r="H1295" i="1"/>
  <c r="G1295" i="1"/>
  <c r="F1295" i="1"/>
  <c r="I1294" i="1"/>
  <c r="H1294" i="1"/>
  <c r="G1294" i="1"/>
  <c r="J1294" i="1" s="1"/>
  <c r="F1294" i="1"/>
  <c r="H1293" i="1"/>
  <c r="G1293" i="1"/>
  <c r="F1293" i="1"/>
  <c r="J1293" i="1" s="1"/>
  <c r="N1293" i="1" s="1"/>
  <c r="I1292" i="1"/>
  <c r="H1292" i="1"/>
  <c r="G1292" i="1"/>
  <c r="J1292" i="1" s="1"/>
  <c r="F1292" i="1"/>
  <c r="J1291" i="1"/>
  <c r="N1291" i="1" s="1"/>
  <c r="H1291" i="1"/>
  <c r="I1291" i="1" s="1"/>
  <c r="G1291" i="1"/>
  <c r="F1291" i="1"/>
  <c r="I1290" i="1"/>
  <c r="H1290" i="1"/>
  <c r="G1290" i="1"/>
  <c r="J1290" i="1" s="1"/>
  <c r="F1290" i="1"/>
  <c r="H1289" i="1"/>
  <c r="I1289" i="1" s="1"/>
  <c r="G1289" i="1"/>
  <c r="F1289" i="1"/>
  <c r="J1289" i="1" s="1"/>
  <c r="N1289" i="1" s="1"/>
  <c r="I1288" i="1"/>
  <c r="H1288" i="1"/>
  <c r="G1288" i="1"/>
  <c r="J1288" i="1" s="1"/>
  <c r="F1288" i="1"/>
  <c r="J1287" i="1"/>
  <c r="N1287" i="1" s="1"/>
  <c r="H1287" i="1"/>
  <c r="G1287" i="1"/>
  <c r="F1287" i="1"/>
  <c r="I1286" i="1"/>
  <c r="H1286" i="1"/>
  <c r="G1286" i="1"/>
  <c r="J1286" i="1" s="1"/>
  <c r="F1286" i="1"/>
  <c r="H1285" i="1"/>
  <c r="G1285" i="1"/>
  <c r="F1285" i="1"/>
  <c r="J1285" i="1" s="1"/>
  <c r="N1285" i="1" s="1"/>
  <c r="I1284" i="1"/>
  <c r="H1284" i="1"/>
  <c r="G1284" i="1"/>
  <c r="J1284" i="1" s="1"/>
  <c r="F1284" i="1"/>
  <c r="J1283" i="1"/>
  <c r="N1283" i="1" s="1"/>
  <c r="H1283" i="1"/>
  <c r="I1283" i="1" s="1"/>
  <c r="G1283" i="1"/>
  <c r="F1283" i="1"/>
  <c r="I1282" i="1"/>
  <c r="H1282" i="1"/>
  <c r="G1282" i="1"/>
  <c r="J1282" i="1" s="1"/>
  <c r="F1282" i="1"/>
  <c r="H1281" i="1"/>
  <c r="I1281" i="1" s="1"/>
  <c r="G1281" i="1"/>
  <c r="F1281" i="1"/>
  <c r="J1281" i="1" s="1"/>
  <c r="N1281" i="1" s="1"/>
  <c r="I1280" i="1"/>
  <c r="H1280" i="1"/>
  <c r="G1280" i="1"/>
  <c r="J1280" i="1" s="1"/>
  <c r="F1280" i="1"/>
  <c r="J1279" i="1"/>
  <c r="N1279" i="1" s="1"/>
  <c r="H1279" i="1"/>
  <c r="G1279" i="1"/>
  <c r="F1279" i="1"/>
  <c r="I1278" i="1"/>
  <c r="H1278" i="1"/>
  <c r="G1278" i="1"/>
  <c r="J1278" i="1" s="1"/>
  <c r="F1278" i="1"/>
  <c r="H1277" i="1"/>
  <c r="G1277" i="1"/>
  <c r="F1277" i="1"/>
  <c r="J1277" i="1" s="1"/>
  <c r="N1277" i="1" s="1"/>
  <c r="H1276" i="1"/>
  <c r="G1276" i="1"/>
  <c r="J1276" i="1" s="1"/>
  <c r="F1276" i="1"/>
  <c r="J1275" i="1"/>
  <c r="N1275" i="1" s="1"/>
  <c r="H1275" i="1"/>
  <c r="G1275" i="1"/>
  <c r="F1275" i="1"/>
  <c r="H1274" i="1"/>
  <c r="G1274" i="1"/>
  <c r="J1274" i="1" s="1"/>
  <c r="F1274" i="1"/>
  <c r="H1273" i="1"/>
  <c r="I1273" i="1" s="1"/>
  <c r="G1273" i="1"/>
  <c r="F1273" i="1"/>
  <c r="J1273" i="1" s="1"/>
  <c r="N1273" i="1" s="1"/>
  <c r="I1272" i="1"/>
  <c r="L1272" i="1" s="1"/>
  <c r="H1272" i="1"/>
  <c r="G1272" i="1"/>
  <c r="J1272" i="1" s="1"/>
  <c r="F1272" i="1"/>
  <c r="N1271" i="1"/>
  <c r="J1271" i="1"/>
  <c r="H1271" i="1"/>
  <c r="I1271" i="1" s="1"/>
  <c r="G1271" i="1"/>
  <c r="F1271" i="1"/>
  <c r="K1270" i="1"/>
  <c r="I1270" i="1"/>
  <c r="L1270" i="1" s="1"/>
  <c r="H1270" i="1"/>
  <c r="G1270" i="1"/>
  <c r="J1270" i="1" s="1"/>
  <c r="F1270" i="1"/>
  <c r="H1269" i="1"/>
  <c r="G1269" i="1"/>
  <c r="F1269" i="1"/>
  <c r="J1269" i="1" s="1"/>
  <c r="N1269" i="1" s="1"/>
  <c r="H1268" i="1"/>
  <c r="G1268" i="1"/>
  <c r="J1268" i="1" s="1"/>
  <c r="F1268" i="1"/>
  <c r="H1267" i="1"/>
  <c r="I1267" i="1" s="1"/>
  <c r="G1267" i="1"/>
  <c r="F1267" i="1"/>
  <c r="J1267" i="1" s="1"/>
  <c r="N1267" i="1" s="1"/>
  <c r="H1266" i="1"/>
  <c r="G1266" i="1"/>
  <c r="J1266" i="1" s="1"/>
  <c r="F1266" i="1"/>
  <c r="H1265" i="1"/>
  <c r="I1265" i="1" s="1"/>
  <c r="G1265" i="1"/>
  <c r="F1265" i="1"/>
  <c r="J1265" i="1" s="1"/>
  <c r="N1265" i="1" s="1"/>
  <c r="H1264" i="1"/>
  <c r="G1264" i="1"/>
  <c r="J1264" i="1" s="1"/>
  <c r="F1264" i="1"/>
  <c r="H1263" i="1"/>
  <c r="I1263" i="1" s="1"/>
  <c r="G1263" i="1"/>
  <c r="F1263" i="1"/>
  <c r="J1263" i="1" s="1"/>
  <c r="N1263" i="1" s="1"/>
  <c r="H1262" i="1"/>
  <c r="G1262" i="1"/>
  <c r="J1262" i="1" s="1"/>
  <c r="F1262" i="1"/>
  <c r="H1261" i="1"/>
  <c r="I1261" i="1" s="1"/>
  <c r="G1261" i="1"/>
  <c r="F1261" i="1"/>
  <c r="J1261" i="1" s="1"/>
  <c r="N1261" i="1" s="1"/>
  <c r="H1260" i="1"/>
  <c r="G1260" i="1"/>
  <c r="J1260" i="1" s="1"/>
  <c r="F1260" i="1"/>
  <c r="H1259" i="1"/>
  <c r="I1259" i="1" s="1"/>
  <c r="G1259" i="1"/>
  <c r="F1259" i="1"/>
  <c r="J1259" i="1" s="1"/>
  <c r="N1259" i="1" s="1"/>
  <c r="H1258" i="1"/>
  <c r="G1258" i="1"/>
  <c r="J1258" i="1" s="1"/>
  <c r="F1258" i="1"/>
  <c r="H1257" i="1"/>
  <c r="I1257" i="1" s="1"/>
  <c r="G1257" i="1"/>
  <c r="F1257" i="1"/>
  <c r="J1257" i="1" s="1"/>
  <c r="N1257" i="1" s="1"/>
  <c r="H1256" i="1"/>
  <c r="G1256" i="1"/>
  <c r="J1256" i="1" s="1"/>
  <c r="F1256" i="1"/>
  <c r="H1255" i="1"/>
  <c r="I1255" i="1" s="1"/>
  <c r="G1255" i="1"/>
  <c r="F1255" i="1"/>
  <c r="J1255" i="1" s="1"/>
  <c r="N1255" i="1" s="1"/>
  <c r="H1254" i="1"/>
  <c r="G1254" i="1"/>
  <c r="J1254" i="1" s="1"/>
  <c r="F1254" i="1"/>
  <c r="H1253" i="1"/>
  <c r="I1253" i="1" s="1"/>
  <c r="G1253" i="1"/>
  <c r="F1253" i="1"/>
  <c r="J1253" i="1" s="1"/>
  <c r="N1253" i="1" s="1"/>
  <c r="H1252" i="1"/>
  <c r="G1252" i="1"/>
  <c r="J1252" i="1" s="1"/>
  <c r="F1252" i="1"/>
  <c r="H1251" i="1"/>
  <c r="I1251" i="1" s="1"/>
  <c r="G1251" i="1"/>
  <c r="F1251" i="1"/>
  <c r="J1251" i="1" s="1"/>
  <c r="N1251" i="1" s="1"/>
  <c r="H1250" i="1"/>
  <c r="G1250" i="1"/>
  <c r="J1250" i="1" s="1"/>
  <c r="F1250" i="1"/>
  <c r="H1249" i="1"/>
  <c r="I1249" i="1" s="1"/>
  <c r="G1249" i="1"/>
  <c r="F1249" i="1"/>
  <c r="J1249" i="1" s="1"/>
  <c r="N1249" i="1" s="1"/>
  <c r="H1248" i="1"/>
  <c r="G1248" i="1"/>
  <c r="J1248" i="1" s="1"/>
  <c r="F1248" i="1"/>
  <c r="H1247" i="1"/>
  <c r="I1247" i="1" s="1"/>
  <c r="G1247" i="1"/>
  <c r="F1247" i="1"/>
  <c r="J1247" i="1" s="1"/>
  <c r="N1247" i="1" s="1"/>
  <c r="H1246" i="1"/>
  <c r="G1246" i="1"/>
  <c r="J1246" i="1" s="1"/>
  <c r="F1246" i="1"/>
  <c r="H1245" i="1"/>
  <c r="I1245" i="1" s="1"/>
  <c r="G1245" i="1"/>
  <c r="F1245" i="1"/>
  <c r="J1245" i="1" s="1"/>
  <c r="N1245" i="1" s="1"/>
  <c r="H1244" i="1"/>
  <c r="G1244" i="1"/>
  <c r="J1244" i="1" s="1"/>
  <c r="F1244" i="1"/>
  <c r="H1243" i="1"/>
  <c r="I1243" i="1" s="1"/>
  <c r="G1243" i="1"/>
  <c r="F1243" i="1"/>
  <c r="J1243" i="1" s="1"/>
  <c r="N1243" i="1" s="1"/>
  <c r="H1242" i="1"/>
  <c r="G1242" i="1"/>
  <c r="J1242" i="1" s="1"/>
  <c r="F1242" i="1"/>
  <c r="H1241" i="1"/>
  <c r="I1241" i="1" s="1"/>
  <c r="G1241" i="1"/>
  <c r="F1241" i="1"/>
  <c r="J1241" i="1" s="1"/>
  <c r="N1241" i="1" s="1"/>
  <c r="K1349" i="1" l="1"/>
  <c r="L1357" i="1"/>
  <c r="K1365" i="1"/>
  <c r="N1341" i="1"/>
  <c r="K1333" i="1"/>
  <c r="L1329" i="1"/>
  <c r="N1347" i="1"/>
  <c r="K1348" i="1"/>
  <c r="L1349" i="1"/>
  <c r="K1393" i="1"/>
  <c r="K1377" i="1"/>
  <c r="K1361" i="1"/>
  <c r="K1397" i="1"/>
  <c r="K1373" i="1"/>
  <c r="L1365" i="1"/>
  <c r="K1327" i="1"/>
  <c r="L1333" i="1"/>
  <c r="K1325" i="1"/>
  <c r="N1345" i="1"/>
  <c r="N1337" i="1"/>
  <c r="L1393" i="1"/>
  <c r="L1377" i="1"/>
  <c r="L1361" i="1"/>
  <c r="L1397" i="1"/>
  <c r="K1381" i="1"/>
  <c r="K1338" i="1"/>
  <c r="K1389" i="1"/>
  <c r="L1373" i="1"/>
  <c r="L1327" i="1"/>
  <c r="L1325" i="1"/>
  <c r="K1331" i="1"/>
  <c r="K1241" i="1"/>
  <c r="L1241" i="1"/>
  <c r="K1245" i="1"/>
  <c r="L1245" i="1"/>
  <c r="K1253" i="1"/>
  <c r="M1253" i="1"/>
  <c r="L1253" i="1"/>
  <c r="K1257" i="1"/>
  <c r="L1257" i="1"/>
  <c r="K1249" i="1"/>
  <c r="L1249" i="1"/>
  <c r="K1261" i="1"/>
  <c r="L1261" i="1"/>
  <c r="K1265" i="1"/>
  <c r="L1265" i="1"/>
  <c r="K1243" i="1"/>
  <c r="L1243" i="1"/>
  <c r="M1243" i="1"/>
  <c r="K1247" i="1"/>
  <c r="L1247" i="1"/>
  <c r="K1251" i="1"/>
  <c r="L1251" i="1"/>
  <c r="K1255" i="1"/>
  <c r="L1255" i="1"/>
  <c r="K1259" i="1"/>
  <c r="L1259" i="1"/>
  <c r="M1259" i="1"/>
  <c r="K1263" i="1"/>
  <c r="L1263" i="1"/>
  <c r="K1267" i="1"/>
  <c r="L1267" i="1"/>
  <c r="K1273" i="1"/>
  <c r="M1289" i="1"/>
  <c r="L1289" i="1"/>
  <c r="K1289" i="1"/>
  <c r="L1294" i="1"/>
  <c r="K1294" i="1"/>
  <c r="M1297" i="1"/>
  <c r="L1297" i="1"/>
  <c r="K1297" i="1"/>
  <c r="M1317" i="1"/>
  <c r="L1318" i="1"/>
  <c r="K1318" i="1"/>
  <c r="M1271" i="1"/>
  <c r="K1271" i="1"/>
  <c r="K1272" i="1"/>
  <c r="L1280" i="1"/>
  <c r="K1280" i="1"/>
  <c r="M1283" i="1"/>
  <c r="L1283" i="1"/>
  <c r="K1283" i="1"/>
  <c r="L1288" i="1"/>
  <c r="K1288" i="1"/>
  <c r="M1291" i="1"/>
  <c r="L1291" i="1"/>
  <c r="K1291" i="1"/>
  <c r="L1296" i="1"/>
  <c r="K1296" i="1"/>
  <c r="M1299" i="1"/>
  <c r="L1299" i="1"/>
  <c r="K1299" i="1"/>
  <c r="L1304" i="1"/>
  <c r="K1304" i="1"/>
  <c r="M1307" i="1"/>
  <c r="L1307" i="1"/>
  <c r="K1307" i="1"/>
  <c r="L1312" i="1"/>
  <c r="K1312" i="1"/>
  <c r="M1315" i="1"/>
  <c r="L1315" i="1"/>
  <c r="K1315" i="1"/>
  <c r="M1319" i="1"/>
  <c r="L1319" i="1"/>
  <c r="K1319" i="1"/>
  <c r="L1320" i="1"/>
  <c r="K1320" i="1"/>
  <c r="J1321" i="1"/>
  <c r="N1321" i="1" s="1"/>
  <c r="L1310" i="1"/>
  <c r="K1310" i="1"/>
  <c r="I1244" i="1"/>
  <c r="I1248" i="1"/>
  <c r="I1250" i="1"/>
  <c r="M1249" i="1" s="1"/>
  <c r="I1252" i="1"/>
  <c r="M1251" i="1" s="1"/>
  <c r="I1254" i="1"/>
  <c r="I1256" i="1"/>
  <c r="I1258" i="1"/>
  <c r="M1257" i="1" s="1"/>
  <c r="I1260" i="1"/>
  <c r="I1262" i="1"/>
  <c r="I1264" i="1"/>
  <c r="I1266" i="1"/>
  <c r="I1268" i="1"/>
  <c r="I1269" i="1"/>
  <c r="L1273" i="1"/>
  <c r="I1276" i="1"/>
  <c r="I1277" i="1"/>
  <c r="L1282" i="1"/>
  <c r="K1282" i="1"/>
  <c r="I1285" i="1"/>
  <c r="L1290" i="1"/>
  <c r="K1290" i="1"/>
  <c r="I1293" i="1"/>
  <c r="L1298" i="1"/>
  <c r="K1298" i="1"/>
  <c r="I1301" i="1"/>
  <c r="L1306" i="1"/>
  <c r="K1306" i="1"/>
  <c r="I1309" i="1"/>
  <c r="L1314" i="1"/>
  <c r="K1314" i="1"/>
  <c r="M1321" i="1"/>
  <c r="L1321" i="1"/>
  <c r="K1321" i="1"/>
  <c r="L1322" i="1"/>
  <c r="K1322" i="1"/>
  <c r="J1323" i="1"/>
  <c r="N1323" i="1" s="1"/>
  <c r="L1278" i="1"/>
  <c r="K1278" i="1"/>
  <c r="M1281" i="1"/>
  <c r="L1281" i="1"/>
  <c r="K1281" i="1"/>
  <c r="L1286" i="1"/>
  <c r="K1286" i="1"/>
  <c r="L1302" i="1"/>
  <c r="K1302" i="1"/>
  <c r="M1305" i="1"/>
  <c r="L1305" i="1"/>
  <c r="K1305" i="1"/>
  <c r="M1313" i="1"/>
  <c r="L1313" i="1"/>
  <c r="K1313" i="1"/>
  <c r="I1242" i="1"/>
  <c r="M1241" i="1" s="1"/>
  <c r="I1246" i="1"/>
  <c r="L1271" i="1"/>
  <c r="I1274" i="1"/>
  <c r="M1273" i="1" s="1"/>
  <c r="I1275" i="1"/>
  <c r="I1279" i="1"/>
  <c r="L1284" i="1"/>
  <c r="K1284" i="1"/>
  <c r="I1287" i="1"/>
  <c r="L1292" i="1"/>
  <c r="K1292" i="1"/>
  <c r="I1295" i="1"/>
  <c r="L1300" i="1"/>
  <c r="K1300" i="1"/>
  <c r="I1303" i="1"/>
  <c r="L1308" i="1"/>
  <c r="K1308" i="1"/>
  <c r="I1311" i="1"/>
  <c r="L1316" i="1"/>
  <c r="K1316" i="1"/>
  <c r="J1317" i="1"/>
  <c r="N1317" i="1" s="1"/>
  <c r="M1323" i="1"/>
  <c r="L1323" i="1"/>
  <c r="K1323" i="1"/>
  <c r="L1324" i="1"/>
  <c r="K1324" i="1"/>
  <c r="H1240" i="1"/>
  <c r="G1240" i="1"/>
  <c r="F1240" i="1"/>
  <c r="H1239" i="1"/>
  <c r="G1239" i="1"/>
  <c r="F1239" i="1"/>
  <c r="H1238" i="1"/>
  <c r="G1238" i="1"/>
  <c r="F1238" i="1"/>
  <c r="H1237" i="1"/>
  <c r="G1237" i="1"/>
  <c r="F1237" i="1"/>
  <c r="H1236" i="1"/>
  <c r="G1236" i="1"/>
  <c r="F1236" i="1"/>
  <c r="H1235" i="1"/>
  <c r="G1235" i="1"/>
  <c r="F1235" i="1"/>
  <c r="H1234" i="1"/>
  <c r="G1234" i="1"/>
  <c r="F1234" i="1"/>
  <c r="H1233" i="1"/>
  <c r="G1233" i="1"/>
  <c r="F1233" i="1"/>
  <c r="H1232" i="1"/>
  <c r="G1232" i="1"/>
  <c r="F1232" i="1"/>
  <c r="H1231" i="1"/>
  <c r="G1231" i="1"/>
  <c r="F1231" i="1"/>
  <c r="H1230" i="1"/>
  <c r="G1230" i="1"/>
  <c r="F1230" i="1"/>
  <c r="H1229" i="1"/>
  <c r="G1229" i="1"/>
  <c r="F1229" i="1"/>
  <c r="H1228" i="1"/>
  <c r="G1228" i="1"/>
  <c r="F1228" i="1"/>
  <c r="H1227" i="1"/>
  <c r="G1227" i="1"/>
  <c r="F1227" i="1"/>
  <c r="H1226" i="1"/>
  <c r="G1226" i="1"/>
  <c r="F1226" i="1"/>
  <c r="H1225" i="1"/>
  <c r="G1225" i="1"/>
  <c r="F1225" i="1"/>
  <c r="H1224" i="1"/>
  <c r="G1224" i="1"/>
  <c r="F1224" i="1"/>
  <c r="H1223" i="1"/>
  <c r="G1223" i="1"/>
  <c r="F1223" i="1"/>
  <c r="H1222" i="1"/>
  <c r="G1222" i="1"/>
  <c r="F1222" i="1"/>
  <c r="H1221" i="1"/>
  <c r="G1221" i="1"/>
  <c r="F1221" i="1"/>
  <c r="H1220" i="1"/>
  <c r="G1220" i="1"/>
  <c r="F1220" i="1"/>
  <c r="H1219" i="1"/>
  <c r="G1219" i="1"/>
  <c r="F1219" i="1"/>
  <c r="H1218" i="1"/>
  <c r="G1218" i="1"/>
  <c r="F1218" i="1"/>
  <c r="H1217" i="1"/>
  <c r="G1217" i="1"/>
  <c r="F1217" i="1"/>
  <c r="H1216" i="1"/>
  <c r="G1216" i="1"/>
  <c r="F1216" i="1"/>
  <c r="H1215" i="1"/>
  <c r="G1215" i="1"/>
  <c r="F1215" i="1"/>
  <c r="H1214" i="1"/>
  <c r="G1214" i="1"/>
  <c r="F1214" i="1"/>
  <c r="H1213" i="1"/>
  <c r="G1213" i="1"/>
  <c r="F1213" i="1"/>
  <c r="H1212" i="1"/>
  <c r="G1212" i="1"/>
  <c r="F1212" i="1"/>
  <c r="H1211" i="1"/>
  <c r="G1211" i="1"/>
  <c r="F1211" i="1"/>
  <c r="H1210" i="1"/>
  <c r="G1210" i="1"/>
  <c r="F1210" i="1"/>
  <c r="H1209" i="1"/>
  <c r="G1209" i="1"/>
  <c r="F1209" i="1"/>
  <c r="H1208" i="1"/>
  <c r="G1208" i="1"/>
  <c r="F1208" i="1"/>
  <c r="H1207" i="1"/>
  <c r="G1207" i="1"/>
  <c r="F1207" i="1"/>
  <c r="H1206" i="1"/>
  <c r="G1206" i="1"/>
  <c r="F1206" i="1"/>
  <c r="H1205" i="1"/>
  <c r="G1205" i="1"/>
  <c r="F1205" i="1"/>
  <c r="H1204" i="1"/>
  <c r="G1204" i="1"/>
  <c r="F1204" i="1"/>
  <c r="H1203" i="1"/>
  <c r="G1203" i="1"/>
  <c r="F1203" i="1"/>
  <c r="H1202" i="1"/>
  <c r="G1202" i="1"/>
  <c r="F1202" i="1"/>
  <c r="H1201" i="1"/>
  <c r="G1201" i="1"/>
  <c r="F1201" i="1"/>
  <c r="H1200" i="1"/>
  <c r="G1200" i="1"/>
  <c r="F1200" i="1"/>
  <c r="H1199" i="1"/>
  <c r="G1199" i="1"/>
  <c r="F1199" i="1"/>
  <c r="H1198" i="1"/>
  <c r="G1198" i="1"/>
  <c r="F1198" i="1"/>
  <c r="H1197" i="1"/>
  <c r="G1197" i="1"/>
  <c r="F1197" i="1"/>
  <c r="H1196" i="1"/>
  <c r="G1196" i="1"/>
  <c r="F1196" i="1"/>
  <c r="H1195" i="1"/>
  <c r="G1195" i="1"/>
  <c r="F1195" i="1"/>
  <c r="H1194" i="1"/>
  <c r="G1194" i="1"/>
  <c r="F1194" i="1"/>
  <c r="H1193" i="1"/>
  <c r="G1193" i="1"/>
  <c r="F1193" i="1"/>
  <c r="H1192" i="1"/>
  <c r="G1192" i="1"/>
  <c r="F1192" i="1"/>
  <c r="H1191" i="1"/>
  <c r="G1191" i="1"/>
  <c r="F1191" i="1"/>
  <c r="H1190" i="1"/>
  <c r="G1190" i="1"/>
  <c r="F1190" i="1"/>
  <c r="H1189" i="1"/>
  <c r="G1189" i="1"/>
  <c r="F1189" i="1"/>
  <c r="H1188" i="1"/>
  <c r="G1188" i="1"/>
  <c r="F1188" i="1"/>
  <c r="H1187" i="1"/>
  <c r="G1187" i="1"/>
  <c r="F1187" i="1"/>
  <c r="H1186" i="1"/>
  <c r="G1186" i="1"/>
  <c r="F1186" i="1"/>
  <c r="H1185" i="1"/>
  <c r="G1185" i="1"/>
  <c r="F1185" i="1"/>
  <c r="H1184" i="1"/>
  <c r="G1184" i="1"/>
  <c r="F1184" i="1"/>
  <c r="H1183" i="1"/>
  <c r="G1183" i="1"/>
  <c r="F1183" i="1"/>
  <c r="H1182" i="1"/>
  <c r="G1182" i="1"/>
  <c r="F1182" i="1"/>
  <c r="H1181" i="1"/>
  <c r="G1181" i="1"/>
  <c r="F1181" i="1"/>
  <c r="H1180" i="1"/>
  <c r="G1180" i="1"/>
  <c r="F1180" i="1"/>
  <c r="H1179" i="1"/>
  <c r="G1179" i="1"/>
  <c r="F1179" i="1"/>
  <c r="H1178" i="1"/>
  <c r="G1178" i="1"/>
  <c r="F1178" i="1"/>
  <c r="H1177" i="1"/>
  <c r="G1177" i="1"/>
  <c r="F1177" i="1"/>
  <c r="H1176" i="1"/>
  <c r="G1176" i="1"/>
  <c r="F1176" i="1"/>
  <c r="H1175" i="1"/>
  <c r="G1175" i="1"/>
  <c r="F1175" i="1"/>
  <c r="H1174" i="1"/>
  <c r="G1174" i="1"/>
  <c r="F1174" i="1"/>
  <c r="H1173" i="1"/>
  <c r="G1173" i="1"/>
  <c r="F1173" i="1"/>
  <c r="H1172" i="1"/>
  <c r="G1172" i="1"/>
  <c r="F1172" i="1"/>
  <c r="H1171" i="1"/>
  <c r="G1171" i="1"/>
  <c r="F1171" i="1"/>
  <c r="H1170" i="1"/>
  <c r="G1170" i="1"/>
  <c r="F1170" i="1"/>
  <c r="H1169" i="1"/>
  <c r="G1169" i="1"/>
  <c r="F1169" i="1"/>
  <c r="H1168" i="1"/>
  <c r="G1168" i="1"/>
  <c r="F1168" i="1"/>
  <c r="H1167" i="1"/>
  <c r="G1167" i="1"/>
  <c r="F1167" i="1"/>
  <c r="H1166" i="1"/>
  <c r="G1166" i="1"/>
  <c r="F1166" i="1"/>
  <c r="H1165" i="1"/>
  <c r="G1165" i="1"/>
  <c r="F1165" i="1"/>
  <c r="H1164" i="1"/>
  <c r="G1164" i="1"/>
  <c r="F1164" i="1"/>
  <c r="H1163" i="1"/>
  <c r="G1163" i="1"/>
  <c r="F1163" i="1"/>
  <c r="H1162" i="1"/>
  <c r="G1162" i="1"/>
  <c r="F1162" i="1"/>
  <c r="H1161" i="1"/>
  <c r="G1161" i="1"/>
  <c r="F1161" i="1"/>
  <c r="H1160" i="1"/>
  <c r="G1160" i="1"/>
  <c r="F1160" i="1"/>
  <c r="H1159" i="1"/>
  <c r="G1159" i="1"/>
  <c r="F1159" i="1"/>
  <c r="H1158" i="1"/>
  <c r="G1158" i="1"/>
  <c r="F1158" i="1"/>
  <c r="H1157" i="1"/>
  <c r="G1157" i="1"/>
  <c r="F1157" i="1"/>
  <c r="H1156" i="1"/>
  <c r="G1156" i="1"/>
  <c r="F1156" i="1"/>
  <c r="H1155" i="1"/>
  <c r="G1155" i="1"/>
  <c r="F1155" i="1"/>
  <c r="H1154" i="1"/>
  <c r="G1154" i="1"/>
  <c r="F1154" i="1"/>
  <c r="M1295" i="1" l="1"/>
  <c r="L1295" i="1"/>
  <c r="K1295" i="1"/>
  <c r="L1266" i="1"/>
  <c r="K1266" i="1"/>
  <c r="M1303" i="1"/>
  <c r="L1303" i="1"/>
  <c r="K1303" i="1"/>
  <c r="M1293" i="1"/>
  <c r="L1293" i="1"/>
  <c r="K1293" i="1"/>
  <c r="K1264" i="1"/>
  <c r="L1264" i="1"/>
  <c r="K1256" i="1"/>
  <c r="L1256" i="1"/>
  <c r="L1248" i="1"/>
  <c r="K1248" i="1"/>
  <c r="K1317" i="1"/>
  <c r="M1263" i="1"/>
  <c r="M1247" i="1"/>
  <c r="M1285" i="1"/>
  <c r="L1285" i="1"/>
  <c r="K1285" i="1"/>
  <c r="K1258" i="1"/>
  <c r="L1258" i="1"/>
  <c r="M1311" i="1"/>
  <c r="L1311" i="1"/>
  <c r="K1311" i="1"/>
  <c r="M1279" i="1"/>
  <c r="L1279" i="1"/>
  <c r="K1279" i="1"/>
  <c r="K1246" i="1"/>
  <c r="L1246" i="1"/>
  <c r="M1301" i="1"/>
  <c r="L1301" i="1"/>
  <c r="K1301" i="1"/>
  <c r="M1269" i="1"/>
  <c r="K1269" i="1"/>
  <c r="L1269" i="1"/>
  <c r="K1262" i="1"/>
  <c r="L1262" i="1"/>
  <c r="K1254" i="1"/>
  <c r="L1254" i="1"/>
  <c r="L1244" i="1"/>
  <c r="K1244" i="1"/>
  <c r="L1317" i="1"/>
  <c r="M1245" i="1"/>
  <c r="L1274" i="1"/>
  <c r="K1274" i="1"/>
  <c r="L1276" i="1"/>
  <c r="K1276" i="1"/>
  <c r="K1250" i="1"/>
  <c r="L1250" i="1"/>
  <c r="M1287" i="1"/>
  <c r="L1287" i="1"/>
  <c r="K1287" i="1"/>
  <c r="M1275" i="1"/>
  <c r="K1275" i="1"/>
  <c r="L1275" i="1"/>
  <c r="K1242" i="1"/>
  <c r="L1242" i="1"/>
  <c r="M1309" i="1"/>
  <c r="L1309" i="1"/>
  <c r="K1309" i="1"/>
  <c r="M1277" i="1"/>
  <c r="L1277" i="1"/>
  <c r="K1277" i="1"/>
  <c r="L1268" i="1"/>
  <c r="K1268" i="1"/>
  <c r="K1260" i="1"/>
  <c r="L1260" i="1"/>
  <c r="K1252" i="1"/>
  <c r="L1252" i="1"/>
  <c r="M1267" i="1"/>
  <c r="M1255" i="1"/>
  <c r="M1265" i="1"/>
  <c r="M1261" i="1"/>
  <c r="H1153" i="1"/>
  <c r="G1153" i="1"/>
  <c r="F1153" i="1"/>
  <c r="H1152" i="1"/>
  <c r="G1152" i="1"/>
  <c r="F1152" i="1"/>
  <c r="H1151" i="1"/>
  <c r="G1151" i="1"/>
  <c r="F1151" i="1"/>
  <c r="H1150" i="1"/>
  <c r="G1150" i="1"/>
  <c r="F1150" i="1"/>
  <c r="H1149" i="1"/>
  <c r="G1149" i="1"/>
  <c r="F1149" i="1"/>
  <c r="H1148" i="1"/>
  <c r="G1148" i="1"/>
  <c r="F1148" i="1"/>
  <c r="H1147" i="1"/>
  <c r="G1147" i="1"/>
  <c r="F1147" i="1"/>
  <c r="H1146" i="1"/>
  <c r="G1146" i="1"/>
  <c r="F1146" i="1"/>
  <c r="H1145" i="1"/>
  <c r="G1145" i="1"/>
  <c r="F1145" i="1"/>
  <c r="H1144" i="1"/>
  <c r="G1144" i="1"/>
  <c r="F1144" i="1"/>
  <c r="H1143" i="1"/>
  <c r="G1143" i="1"/>
  <c r="F1143" i="1"/>
  <c r="H1142" i="1"/>
  <c r="G1142" i="1"/>
  <c r="F1142" i="1"/>
  <c r="H1141" i="1"/>
  <c r="G1141" i="1"/>
  <c r="F1141" i="1"/>
  <c r="H1140" i="1"/>
  <c r="G1140" i="1"/>
  <c r="F1140" i="1"/>
  <c r="H1139" i="1"/>
  <c r="G1139" i="1"/>
  <c r="F1139" i="1"/>
  <c r="H1138" i="1"/>
  <c r="G1138" i="1"/>
  <c r="F1138" i="1"/>
  <c r="H1137" i="1"/>
  <c r="G1137" i="1"/>
  <c r="F1137" i="1"/>
  <c r="H1136" i="1"/>
  <c r="G1136" i="1"/>
  <c r="F1136" i="1"/>
  <c r="H1135" i="1"/>
  <c r="G1135" i="1"/>
  <c r="F1135" i="1"/>
  <c r="H1134" i="1"/>
  <c r="G1134" i="1"/>
  <c r="F1134" i="1"/>
  <c r="H1133" i="1"/>
  <c r="G1133" i="1"/>
  <c r="F1133" i="1"/>
  <c r="H1132" i="1"/>
  <c r="G1132" i="1"/>
  <c r="F1132" i="1"/>
  <c r="H1131" i="1"/>
  <c r="G1131" i="1"/>
  <c r="F1131" i="1"/>
  <c r="H1130" i="1"/>
  <c r="G1130" i="1"/>
  <c r="F1130" i="1"/>
  <c r="H1129" i="1"/>
  <c r="G1129" i="1"/>
  <c r="F1129" i="1"/>
  <c r="H1128" i="1"/>
  <c r="G1128" i="1"/>
  <c r="F1128" i="1"/>
  <c r="H1127" i="1"/>
  <c r="G1127" i="1"/>
  <c r="F1127" i="1"/>
  <c r="H1126" i="1"/>
  <c r="G1126" i="1"/>
  <c r="F1126" i="1"/>
  <c r="H1125" i="1"/>
  <c r="G1125" i="1"/>
  <c r="F1125" i="1"/>
  <c r="H1124" i="1"/>
  <c r="G1124" i="1"/>
  <c r="F1124" i="1"/>
  <c r="H1123" i="1"/>
  <c r="G1123" i="1"/>
  <c r="F1123" i="1"/>
  <c r="H1122" i="1"/>
  <c r="G1122" i="1"/>
  <c r="F1122" i="1"/>
  <c r="H1121" i="1"/>
  <c r="G1121" i="1"/>
  <c r="F1121" i="1"/>
  <c r="H1120" i="1"/>
  <c r="G1120" i="1"/>
  <c r="F1120" i="1"/>
  <c r="H1119" i="1"/>
  <c r="G1119" i="1"/>
  <c r="F1119" i="1"/>
  <c r="H1118" i="1"/>
  <c r="G1118" i="1"/>
  <c r="F1118" i="1"/>
  <c r="H1117" i="1"/>
  <c r="G1117" i="1"/>
  <c r="F1117" i="1"/>
  <c r="H1116" i="1"/>
  <c r="G1116" i="1"/>
  <c r="F1116" i="1"/>
  <c r="H1115" i="1"/>
  <c r="G1115" i="1"/>
  <c r="F1115" i="1"/>
  <c r="H1114" i="1"/>
  <c r="G1114" i="1"/>
  <c r="F1114" i="1"/>
  <c r="H1113" i="1"/>
  <c r="G1113" i="1"/>
  <c r="F1113" i="1"/>
  <c r="H1112" i="1"/>
  <c r="G1112" i="1"/>
  <c r="F1112" i="1"/>
  <c r="H1111" i="1"/>
  <c r="G1111" i="1"/>
  <c r="F1111" i="1"/>
  <c r="H1110" i="1"/>
  <c r="G1110" i="1"/>
  <c r="F1110" i="1"/>
  <c r="H1109" i="1"/>
  <c r="G1109" i="1"/>
  <c r="F1109" i="1"/>
  <c r="H1108" i="1"/>
  <c r="G1108" i="1"/>
  <c r="F1108" i="1"/>
  <c r="H1107" i="1"/>
  <c r="G1107" i="1"/>
  <c r="F1107" i="1"/>
  <c r="H1106" i="1"/>
  <c r="G1106" i="1"/>
  <c r="F1106" i="1"/>
  <c r="H1105" i="1"/>
  <c r="G1105" i="1"/>
  <c r="F1105" i="1"/>
  <c r="H1104" i="1"/>
  <c r="G1104" i="1"/>
  <c r="F1104" i="1"/>
  <c r="H1103" i="1"/>
  <c r="G1103" i="1"/>
  <c r="F1103" i="1"/>
  <c r="H1102" i="1"/>
  <c r="G1102" i="1"/>
  <c r="F1102" i="1"/>
  <c r="H1101" i="1"/>
  <c r="G1101" i="1"/>
  <c r="F1101" i="1"/>
  <c r="H1100" i="1"/>
  <c r="G1100" i="1"/>
  <c r="F1100" i="1"/>
  <c r="H1099" i="1"/>
  <c r="G1099" i="1"/>
  <c r="F1099" i="1"/>
  <c r="H1098" i="1"/>
  <c r="G1098" i="1"/>
  <c r="F1098" i="1"/>
  <c r="H1097" i="1"/>
  <c r="G1097" i="1"/>
  <c r="F1097" i="1"/>
  <c r="H1096" i="1"/>
  <c r="G1096" i="1"/>
  <c r="F1096" i="1"/>
  <c r="H1095" i="1"/>
  <c r="G1095" i="1"/>
  <c r="F1095" i="1"/>
  <c r="H1094" i="1"/>
  <c r="G1094" i="1"/>
  <c r="F1094" i="1"/>
  <c r="H1093" i="1"/>
  <c r="G1093" i="1"/>
  <c r="F1093" i="1"/>
  <c r="H1092" i="1"/>
  <c r="G1092" i="1"/>
  <c r="F1092" i="1"/>
  <c r="H1091" i="1"/>
  <c r="G1091" i="1"/>
  <c r="F1091" i="1"/>
  <c r="H1090" i="1"/>
  <c r="G1090" i="1"/>
  <c r="F1090" i="1"/>
  <c r="H1089" i="1"/>
  <c r="G1089" i="1"/>
  <c r="F1089" i="1"/>
  <c r="H1088" i="1"/>
  <c r="G1088" i="1"/>
  <c r="F1088" i="1"/>
  <c r="H1087" i="1"/>
  <c r="G1087" i="1"/>
  <c r="F1087" i="1"/>
  <c r="H1086" i="1"/>
  <c r="G1086" i="1"/>
  <c r="F1086" i="1"/>
  <c r="H1085" i="1"/>
  <c r="G1085" i="1"/>
  <c r="F1085" i="1"/>
  <c r="H1084" i="1"/>
  <c r="G1084" i="1"/>
  <c r="F1084" i="1"/>
  <c r="H1083" i="1"/>
  <c r="G1083" i="1"/>
  <c r="F1083" i="1"/>
  <c r="H1082" i="1"/>
  <c r="G1082" i="1"/>
  <c r="F1082" i="1"/>
  <c r="H1081" i="1"/>
  <c r="G1081" i="1"/>
  <c r="F1081" i="1"/>
  <c r="H1080" i="1"/>
  <c r="G1080" i="1"/>
  <c r="F1080" i="1"/>
  <c r="H1079" i="1"/>
  <c r="G1079" i="1"/>
  <c r="F1079" i="1"/>
  <c r="H1078" i="1"/>
  <c r="G1078" i="1"/>
  <c r="F1078" i="1"/>
  <c r="H1077" i="1"/>
  <c r="G1077" i="1"/>
  <c r="F1077" i="1"/>
  <c r="H1076" i="1"/>
  <c r="G1076" i="1"/>
  <c r="F1076" i="1"/>
  <c r="H1075" i="1"/>
  <c r="G1075" i="1"/>
  <c r="F1075" i="1"/>
  <c r="H1074" i="1"/>
  <c r="G1074" i="1"/>
  <c r="F1074" i="1"/>
  <c r="H1073" i="1" l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H985" i="1" l="1"/>
  <c r="G985" i="1"/>
  <c r="F985" i="1"/>
  <c r="H984" i="1"/>
  <c r="G984" i="1"/>
  <c r="F984" i="1"/>
  <c r="H983" i="1"/>
  <c r="G983" i="1"/>
  <c r="F983" i="1"/>
  <c r="H982" i="1"/>
  <c r="G982" i="1"/>
  <c r="F982" i="1"/>
  <c r="H981" i="1"/>
  <c r="G981" i="1"/>
  <c r="F981" i="1"/>
  <c r="H980" i="1"/>
  <c r="G980" i="1"/>
  <c r="F980" i="1"/>
  <c r="H979" i="1"/>
  <c r="G979" i="1"/>
  <c r="F979" i="1"/>
  <c r="H978" i="1"/>
  <c r="G978" i="1"/>
  <c r="F978" i="1"/>
  <c r="H977" i="1"/>
  <c r="G977" i="1"/>
  <c r="F977" i="1"/>
  <c r="H976" i="1"/>
  <c r="G976" i="1"/>
  <c r="F976" i="1"/>
  <c r="H975" i="1"/>
  <c r="G975" i="1"/>
  <c r="F975" i="1"/>
  <c r="H974" i="1"/>
  <c r="G974" i="1"/>
  <c r="F974" i="1"/>
  <c r="H973" i="1"/>
  <c r="G973" i="1"/>
  <c r="F973" i="1"/>
  <c r="H972" i="1"/>
  <c r="G972" i="1"/>
  <c r="F972" i="1"/>
  <c r="H971" i="1"/>
  <c r="G971" i="1"/>
  <c r="F971" i="1"/>
  <c r="H970" i="1"/>
  <c r="G970" i="1"/>
  <c r="F970" i="1"/>
  <c r="H969" i="1"/>
  <c r="G969" i="1"/>
  <c r="F969" i="1"/>
  <c r="H968" i="1"/>
  <c r="G968" i="1"/>
  <c r="F968" i="1"/>
  <c r="H967" i="1"/>
  <c r="G967" i="1"/>
  <c r="F967" i="1"/>
  <c r="H966" i="1"/>
  <c r="G966" i="1"/>
  <c r="F966" i="1"/>
  <c r="H965" i="1"/>
  <c r="G965" i="1"/>
  <c r="F965" i="1"/>
  <c r="H964" i="1"/>
  <c r="G964" i="1"/>
  <c r="F964" i="1"/>
  <c r="H963" i="1"/>
  <c r="G963" i="1"/>
  <c r="F963" i="1"/>
  <c r="H962" i="1"/>
  <c r="G962" i="1"/>
  <c r="F962" i="1"/>
  <c r="H961" i="1"/>
  <c r="G961" i="1"/>
  <c r="F961" i="1"/>
  <c r="H960" i="1"/>
  <c r="G960" i="1"/>
  <c r="F960" i="1"/>
  <c r="H959" i="1"/>
  <c r="G959" i="1"/>
  <c r="F959" i="1"/>
  <c r="H958" i="1"/>
  <c r="G958" i="1"/>
  <c r="F958" i="1"/>
  <c r="H957" i="1"/>
  <c r="G957" i="1"/>
  <c r="F957" i="1"/>
  <c r="H956" i="1"/>
  <c r="G956" i="1"/>
  <c r="F956" i="1"/>
  <c r="H955" i="1"/>
  <c r="G955" i="1"/>
  <c r="F955" i="1"/>
  <c r="H954" i="1"/>
  <c r="G954" i="1"/>
  <c r="F954" i="1"/>
  <c r="H953" i="1"/>
  <c r="G953" i="1"/>
  <c r="F953" i="1"/>
  <c r="H952" i="1"/>
  <c r="G952" i="1"/>
  <c r="F952" i="1"/>
  <c r="H951" i="1"/>
  <c r="G951" i="1"/>
  <c r="F951" i="1"/>
  <c r="H950" i="1"/>
  <c r="G950" i="1"/>
  <c r="F950" i="1"/>
  <c r="H949" i="1"/>
  <c r="G949" i="1"/>
  <c r="F949" i="1"/>
  <c r="H948" i="1"/>
  <c r="G948" i="1"/>
  <c r="F948" i="1"/>
  <c r="H947" i="1"/>
  <c r="G947" i="1"/>
  <c r="F947" i="1"/>
  <c r="H946" i="1"/>
  <c r="G946" i="1"/>
  <c r="F946" i="1"/>
  <c r="H945" i="1"/>
  <c r="G945" i="1"/>
  <c r="F945" i="1"/>
  <c r="H944" i="1"/>
  <c r="G944" i="1"/>
  <c r="F944" i="1"/>
  <c r="H943" i="1"/>
  <c r="G943" i="1"/>
  <c r="F943" i="1"/>
  <c r="H942" i="1"/>
  <c r="G942" i="1"/>
  <c r="F942" i="1"/>
  <c r="H941" i="1"/>
  <c r="G941" i="1"/>
  <c r="F941" i="1"/>
  <c r="H940" i="1"/>
  <c r="G940" i="1"/>
  <c r="F940" i="1"/>
  <c r="H939" i="1"/>
  <c r="G939" i="1"/>
  <c r="F939" i="1"/>
  <c r="H938" i="1"/>
  <c r="G938" i="1"/>
  <c r="F938" i="1"/>
  <c r="H937" i="1"/>
  <c r="G937" i="1"/>
  <c r="F937" i="1"/>
  <c r="H936" i="1"/>
  <c r="G936" i="1"/>
  <c r="F936" i="1"/>
  <c r="H935" i="1"/>
  <c r="G935" i="1"/>
  <c r="F935" i="1"/>
  <c r="H934" i="1"/>
  <c r="G934" i="1"/>
  <c r="F934" i="1"/>
  <c r="H933" i="1"/>
  <c r="G933" i="1"/>
  <c r="F933" i="1"/>
  <c r="H932" i="1"/>
  <c r="G932" i="1"/>
  <c r="F932" i="1"/>
  <c r="H931" i="1"/>
  <c r="G931" i="1"/>
  <c r="F931" i="1"/>
  <c r="H930" i="1"/>
  <c r="G930" i="1"/>
  <c r="F930" i="1"/>
  <c r="H929" i="1"/>
  <c r="G929" i="1"/>
  <c r="F929" i="1"/>
  <c r="H928" i="1"/>
  <c r="G928" i="1"/>
  <c r="F928" i="1"/>
  <c r="H927" i="1"/>
  <c r="G927" i="1"/>
  <c r="F927" i="1"/>
  <c r="H926" i="1"/>
  <c r="G926" i="1"/>
  <c r="F926" i="1"/>
  <c r="H925" i="1"/>
  <c r="G925" i="1"/>
  <c r="F925" i="1"/>
  <c r="H924" i="1"/>
  <c r="G924" i="1"/>
  <c r="F924" i="1"/>
  <c r="H923" i="1"/>
  <c r="G923" i="1"/>
  <c r="F923" i="1"/>
  <c r="H922" i="1"/>
  <c r="G922" i="1"/>
  <c r="F922" i="1"/>
  <c r="H921" i="1"/>
  <c r="G921" i="1"/>
  <c r="F921" i="1"/>
  <c r="H920" i="1"/>
  <c r="G920" i="1"/>
  <c r="F920" i="1"/>
  <c r="H919" i="1"/>
  <c r="G919" i="1"/>
  <c r="F919" i="1"/>
  <c r="H918" i="1"/>
  <c r="G918" i="1"/>
  <c r="F918" i="1"/>
  <c r="H917" i="1"/>
  <c r="G917" i="1"/>
  <c r="F917" i="1"/>
  <c r="H916" i="1"/>
  <c r="G916" i="1"/>
  <c r="F916" i="1"/>
  <c r="H915" i="1"/>
  <c r="G915" i="1"/>
  <c r="F915" i="1"/>
  <c r="H914" i="1"/>
  <c r="G914" i="1"/>
  <c r="F914" i="1"/>
  <c r="H913" i="1"/>
  <c r="G913" i="1"/>
  <c r="F913" i="1"/>
  <c r="H912" i="1"/>
  <c r="G912" i="1"/>
  <c r="F912" i="1"/>
  <c r="H911" i="1"/>
  <c r="G911" i="1"/>
  <c r="F911" i="1"/>
  <c r="H910" i="1"/>
  <c r="G910" i="1"/>
  <c r="F910" i="1"/>
  <c r="H909" i="1"/>
  <c r="G909" i="1"/>
  <c r="F909" i="1"/>
  <c r="H908" i="1"/>
  <c r="G908" i="1"/>
  <c r="F908" i="1"/>
  <c r="H907" i="1"/>
  <c r="G907" i="1"/>
  <c r="F907" i="1"/>
  <c r="H906" i="1"/>
  <c r="G906" i="1"/>
  <c r="F906" i="1"/>
  <c r="H905" i="1"/>
  <c r="G905" i="1"/>
  <c r="F905" i="1"/>
  <c r="H904" i="1"/>
  <c r="G904" i="1"/>
  <c r="F904" i="1"/>
  <c r="H903" i="1"/>
  <c r="G903" i="1"/>
  <c r="F903" i="1"/>
  <c r="H902" i="1"/>
  <c r="G902" i="1"/>
  <c r="F902" i="1"/>
  <c r="H901" i="1"/>
  <c r="G901" i="1"/>
  <c r="F901" i="1"/>
  <c r="H900" i="1"/>
  <c r="G900" i="1"/>
  <c r="F900" i="1"/>
  <c r="H899" i="1"/>
  <c r="G899" i="1"/>
  <c r="F899" i="1"/>
  <c r="H898" i="1"/>
  <c r="G898" i="1"/>
  <c r="F898" i="1"/>
  <c r="H897" i="1" l="1"/>
  <c r="G897" i="1"/>
  <c r="F897" i="1"/>
  <c r="H896" i="1"/>
  <c r="G896" i="1"/>
  <c r="F896" i="1"/>
  <c r="H895" i="1"/>
  <c r="G895" i="1"/>
  <c r="F895" i="1"/>
  <c r="H894" i="1"/>
  <c r="G894" i="1"/>
  <c r="F894" i="1"/>
  <c r="H893" i="1"/>
  <c r="G893" i="1"/>
  <c r="F893" i="1"/>
  <c r="H892" i="1"/>
  <c r="G892" i="1"/>
  <c r="F892" i="1"/>
  <c r="H891" i="1"/>
  <c r="G891" i="1"/>
  <c r="F891" i="1"/>
  <c r="H890" i="1"/>
  <c r="G890" i="1"/>
  <c r="F890" i="1"/>
  <c r="H889" i="1"/>
  <c r="G889" i="1"/>
  <c r="F889" i="1"/>
  <c r="H888" i="1"/>
  <c r="G888" i="1"/>
  <c r="F888" i="1"/>
  <c r="H887" i="1"/>
  <c r="G887" i="1"/>
  <c r="F887" i="1"/>
  <c r="H886" i="1"/>
  <c r="G886" i="1"/>
  <c r="F886" i="1"/>
  <c r="H885" i="1"/>
  <c r="G885" i="1"/>
  <c r="F885" i="1"/>
  <c r="H884" i="1"/>
  <c r="G884" i="1"/>
  <c r="F884" i="1"/>
  <c r="H883" i="1"/>
  <c r="G883" i="1"/>
  <c r="F883" i="1"/>
  <c r="H882" i="1"/>
  <c r="G882" i="1"/>
  <c r="F882" i="1"/>
  <c r="H881" i="1"/>
  <c r="G881" i="1"/>
  <c r="F881" i="1"/>
  <c r="H880" i="1"/>
  <c r="G880" i="1"/>
  <c r="F880" i="1"/>
  <c r="H879" i="1"/>
  <c r="G879" i="1"/>
  <c r="F879" i="1"/>
  <c r="H878" i="1"/>
  <c r="G878" i="1"/>
  <c r="F878" i="1"/>
  <c r="H877" i="1"/>
  <c r="G877" i="1"/>
  <c r="F877" i="1"/>
  <c r="H876" i="1"/>
  <c r="G876" i="1"/>
  <c r="F876" i="1"/>
  <c r="H875" i="1"/>
  <c r="G875" i="1"/>
  <c r="F875" i="1"/>
  <c r="H874" i="1"/>
  <c r="G874" i="1"/>
  <c r="F874" i="1"/>
  <c r="H873" i="1"/>
  <c r="G873" i="1"/>
  <c r="F873" i="1"/>
  <c r="H872" i="1"/>
  <c r="G872" i="1"/>
  <c r="F872" i="1"/>
  <c r="H871" i="1"/>
  <c r="G871" i="1"/>
  <c r="F871" i="1"/>
  <c r="H870" i="1"/>
  <c r="G870" i="1"/>
  <c r="F870" i="1"/>
  <c r="H869" i="1"/>
  <c r="G869" i="1"/>
  <c r="F869" i="1"/>
  <c r="H868" i="1"/>
  <c r="G868" i="1"/>
  <c r="F868" i="1"/>
  <c r="H867" i="1"/>
  <c r="G867" i="1"/>
  <c r="F867" i="1"/>
  <c r="H866" i="1"/>
  <c r="G866" i="1"/>
  <c r="F866" i="1"/>
  <c r="H865" i="1"/>
  <c r="G865" i="1"/>
  <c r="F865" i="1"/>
  <c r="H864" i="1"/>
  <c r="G864" i="1"/>
  <c r="F864" i="1"/>
  <c r="H863" i="1"/>
  <c r="G863" i="1"/>
  <c r="F863" i="1"/>
  <c r="H862" i="1"/>
  <c r="G862" i="1"/>
  <c r="F862" i="1"/>
  <c r="H861" i="1"/>
  <c r="G861" i="1"/>
  <c r="F861" i="1"/>
  <c r="H860" i="1"/>
  <c r="G860" i="1"/>
  <c r="F860" i="1"/>
  <c r="H859" i="1"/>
  <c r="G859" i="1"/>
  <c r="F859" i="1"/>
  <c r="H858" i="1"/>
  <c r="G858" i="1"/>
  <c r="F858" i="1"/>
  <c r="H857" i="1"/>
  <c r="G857" i="1"/>
  <c r="F857" i="1"/>
  <c r="H856" i="1"/>
  <c r="G856" i="1"/>
  <c r="F856" i="1"/>
  <c r="H855" i="1"/>
  <c r="G855" i="1"/>
  <c r="F855" i="1"/>
  <c r="H854" i="1"/>
  <c r="G854" i="1"/>
  <c r="F854" i="1"/>
  <c r="H853" i="1"/>
  <c r="G853" i="1"/>
  <c r="F853" i="1"/>
  <c r="H852" i="1"/>
  <c r="G852" i="1"/>
  <c r="F852" i="1"/>
  <c r="H851" i="1"/>
  <c r="G851" i="1"/>
  <c r="F851" i="1"/>
  <c r="H850" i="1"/>
  <c r="G850" i="1"/>
  <c r="F850" i="1"/>
  <c r="H849" i="1"/>
  <c r="G849" i="1"/>
  <c r="F849" i="1"/>
  <c r="H848" i="1"/>
  <c r="G848" i="1"/>
  <c r="F848" i="1"/>
  <c r="H847" i="1"/>
  <c r="G847" i="1"/>
  <c r="F847" i="1"/>
  <c r="H846" i="1"/>
  <c r="G846" i="1"/>
  <c r="F846" i="1"/>
  <c r="H845" i="1"/>
  <c r="G845" i="1"/>
  <c r="F845" i="1"/>
  <c r="H844" i="1"/>
  <c r="G844" i="1"/>
  <c r="F844" i="1"/>
  <c r="H843" i="1"/>
  <c r="G843" i="1"/>
  <c r="F843" i="1"/>
  <c r="H842" i="1"/>
  <c r="G842" i="1"/>
  <c r="F842" i="1"/>
  <c r="H841" i="1"/>
  <c r="G841" i="1"/>
  <c r="F841" i="1"/>
  <c r="H840" i="1"/>
  <c r="G840" i="1"/>
  <c r="F840" i="1"/>
  <c r="H839" i="1"/>
  <c r="G839" i="1"/>
  <c r="F839" i="1"/>
  <c r="H838" i="1"/>
  <c r="G838" i="1"/>
  <c r="F838" i="1"/>
  <c r="H837" i="1"/>
  <c r="G837" i="1"/>
  <c r="F837" i="1"/>
  <c r="H836" i="1"/>
  <c r="G836" i="1"/>
  <c r="F836" i="1"/>
  <c r="H835" i="1"/>
  <c r="G835" i="1"/>
  <c r="F835" i="1"/>
  <c r="H834" i="1"/>
  <c r="G834" i="1"/>
  <c r="F834" i="1"/>
  <c r="H833" i="1"/>
  <c r="G833" i="1"/>
  <c r="F833" i="1"/>
  <c r="H832" i="1"/>
  <c r="G832" i="1"/>
  <c r="F832" i="1"/>
  <c r="H831" i="1"/>
  <c r="G831" i="1"/>
  <c r="F831" i="1"/>
  <c r="H830" i="1"/>
  <c r="G830" i="1"/>
  <c r="F830" i="1"/>
  <c r="H829" i="1"/>
  <c r="G829" i="1"/>
  <c r="F829" i="1"/>
  <c r="H828" i="1"/>
  <c r="G828" i="1"/>
  <c r="F828" i="1"/>
  <c r="H827" i="1"/>
  <c r="G827" i="1"/>
  <c r="F827" i="1"/>
  <c r="H826" i="1"/>
  <c r="G826" i="1"/>
  <c r="F826" i="1"/>
  <c r="H825" i="1"/>
  <c r="G825" i="1"/>
  <c r="F825" i="1"/>
  <c r="H824" i="1"/>
  <c r="G824" i="1"/>
  <c r="F824" i="1"/>
  <c r="H823" i="1"/>
  <c r="G823" i="1"/>
  <c r="F823" i="1"/>
  <c r="H822" i="1"/>
  <c r="G822" i="1"/>
  <c r="F822" i="1"/>
  <c r="H821" i="1"/>
  <c r="G821" i="1"/>
  <c r="F821" i="1"/>
  <c r="H820" i="1"/>
  <c r="G820" i="1"/>
  <c r="F820" i="1"/>
  <c r="H819" i="1"/>
  <c r="G819" i="1"/>
  <c r="F819" i="1"/>
  <c r="H818" i="1"/>
  <c r="G818" i="1"/>
  <c r="F818" i="1"/>
  <c r="H817" i="1"/>
  <c r="G817" i="1"/>
  <c r="F817" i="1"/>
  <c r="H816" i="1"/>
  <c r="G816" i="1"/>
  <c r="F816" i="1"/>
  <c r="H815" i="1"/>
  <c r="G815" i="1"/>
  <c r="F815" i="1"/>
  <c r="H814" i="1"/>
  <c r="G814" i="1"/>
  <c r="F814" i="1"/>
  <c r="H813" i="1" l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H729" i="1" l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H555" i="1" l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H283" i="1" l="1"/>
  <c r="G283" i="1"/>
  <c r="F283" i="1"/>
  <c r="H282" i="1"/>
  <c r="G282" i="1"/>
  <c r="F282" i="1"/>
  <c r="H281" i="1"/>
  <c r="G281" i="1"/>
  <c r="F281" i="1"/>
  <c r="H280" i="1"/>
  <c r="G280" i="1"/>
  <c r="F280" i="1"/>
  <c r="H279" i="1"/>
  <c r="G279" i="1"/>
  <c r="F279" i="1"/>
  <c r="H278" i="1"/>
  <c r="G278" i="1"/>
  <c r="F278" i="1"/>
  <c r="H277" i="1"/>
  <c r="G277" i="1"/>
  <c r="F277" i="1"/>
  <c r="H276" i="1"/>
  <c r="G276" i="1"/>
  <c r="F276" i="1"/>
  <c r="H275" i="1"/>
  <c r="G275" i="1"/>
  <c r="F275" i="1"/>
  <c r="H274" i="1"/>
  <c r="G274" i="1"/>
  <c r="F274" i="1"/>
  <c r="H273" i="1"/>
  <c r="G273" i="1"/>
  <c r="F273" i="1"/>
  <c r="H272" i="1"/>
  <c r="G272" i="1"/>
  <c r="F272" i="1"/>
  <c r="H271" i="1"/>
  <c r="G271" i="1"/>
  <c r="F271" i="1"/>
  <c r="H270" i="1"/>
  <c r="G270" i="1"/>
  <c r="F270" i="1"/>
  <c r="H269" i="1"/>
  <c r="G269" i="1"/>
  <c r="F269" i="1"/>
  <c r="H268" i="1"/>
  <c r="G268" i="1"/>
  <c r="F268" i="1"/>
  <c r="H267" i="1"/>
  <c r="G267" i="1"/>
  <c r="F267" i="1"/>
  <c r="H266" i="1"/>
  <c r="G266" i="1"/>
  <c r="F266" i="1"/>
  <c r="H265" i="1"/>
  <c r="G265" i="1"/>
  <c r="F265" i="1"/>
  <c r="H264" i="1"/>
  <c r="G264" i="1"/>
  <c r="F264" i="1"/>
  <c r="H263" i="1"/>
  <c r="G263" i="1"/>
  <c r="F263" i="1"/>
  <c r="H262" i="1"/>
  <c r="G262" i="1"/>
  <c r="F262" i="1"/>
  <c r="H261" i="1"/>
  <c r="G261" i="1"/>
  <c r="F261" i="1"/>
  <c r="H260" i="1"/>
  <c r="G260" i="1"/>
  <c r="F260" i="1"/>
  <c r="H259" i="1"/>
  <c r="G259" i="1"/>
  <c r="F259" i="1"/>
  <c r="H258" i="1"/>
  <c r="G258" i="1"/>
  <c r="F258" i="1"/>
  <c r="H257" i="1"/>
  <c r="G257" i="1"/>
  <c r="F257" i="1"/>
  <c r="H256" i="1"/>
  <c r="G256" i="1"/>
  <c r="F256" i="1"/>
  <c r="H255" i="1"/>
  <c r="G255" i="1"/>
  <c r="F255" i="1"/>
  <c r="H254" i="1"/>
  <c r="G254" i="1"/>
  <c r="F254" i="1"/>
  <c r="H253" i="1"/>
  <c r="G253" i="1"/>
  <c r="F253" i="1"/>
  <c r="H252" i="1"/>
  <c r="G252" i="1"/>
  <c r="F252" i="1"/>
  <c r="H251" i="1"/>
  <c r="G251" i="1"/>
  <c r="F251" i="1"/>
  <c r="H250" i="1"/>
  <c r="G250" i="1"/>
  <c r="F250" i="1"/>
  <c r="H249" i="1"/>
  <c r="G249" i="1"/>
  <c r="F249" i="1"/>
  <c r="H248" i="1"/>
  <c r="G248" i="1"/>
  <c r="F248" i="1"/>
  <c r="H247" i="1"/>
  <c r="G247" i="1"/>
  <c r="F247" i="1"/>
  <c r="H246" i="1"/>
  <c r="G246" i="1"/>
  <c r="F246" i="1"/>
  <c r="H245" i="1"/>
  <c r="G245" i="1"/>
  <c r="F245" i="1"/>
  <c r="H244" i="1"/>
  <c r="G244" i="1"/>
  <c r="F244" i="1"/>
  <c r="H243" i="1"/>
  <c r="G243" i="1"/>
  <c r="F243" i="1"/>
  <c r="H242" i="1"/>
  <c r="G242" i="1"/>
  <c r="F242" i="1"/>
  <c r="H241" i="1"/>
  <c r="G241" i="1"/>
  <c r="F241" i="1"/>
  <c r="H240" i="1"/>
  <c r="G240" i="1"/>
  <c r="F240" i="1"/>
  <c r="H239" i="1"/>
  <c r="G239" i="1"/>
  <c r="F239" i="1"/>
  <c r="H238" i="1"/>
  <c r="G238" i="1"/>
  <c r="F238" i="1"/>
  <c r="H237" i="1"/>
  <c r="G237" i="1"/>
  <c r="F237" i="1"/>
  <c r="H236" i="1"/>
  <c r="G236" i="1"/>
  <c r="F236" i="1"/>
  <c r="H235" i="1"/>
  <c r="G235" i="1"/>
  <c r="F235" i="1"/>
  <c r="H234" i="1"/>
  <c r="G234" i="1"/>
  <c r="F234" i="1"/>
  <c r="H233" i="1"/>
  <c r="G233" i="1"/>
  <c r="F233" i="1"/>
  <c r="H232" i="1"/>
  <c r="G232" i="1"/>
  <c r="F232" i="1"/>
  <c r="H231" i="1"/>
  <c r="G231" i="1"/>
  <c r="F231" i="1"/>
  <c r="H230" i="1"/>
  <c r="G230" i="1"/>
  <c r="F230" i="1"/>
  <c r="H229" i="1"/>
  <c r="G229" i="1"/>
  <c r="F229" i="1"/>
  <c r="H228" i="1"/>
  <c r="G228" i="1"/>
  <c r="F228" i="1"/>
  <c r="H227" i="1"/>
  <c r="G227" i="1"/>
  <c r="F227" i="1"/>
  <c r="H226" i="1"/>
  <c r="G226" i="1"/>
  <c r="F226" i="1"/>
  <c r="H225" i="1"/>
  <c r="G225" i="1"/>
  <c r="F225" i="1"/>
  <c r="H224" i="1"/>
  <c r="G224" i="1"/>
  <c r="F224" i="1"/>
  <c r="H223" i="1"/>
  <c r="G223" i="1"/>
  <c r="F223" i="1"/>
  <c r="H222" i="1"/>
  <c r="G222" i="1"/>
  <c r="F222" i="1"/>
  <c r="H221" i="1"/>
  <c r="G221" i="1"/>
  <c r="F221" i="1"/>
  <c r="H220" i="1"/>
  <c r="G220" i="1"/>
  <c r="F220" i="1"/>
  <c r="H219" i="1"/>
  <c r="G219" i="1"/>
  <c r="F219" i="1"/>
  <c r="H218" i="1"/>
  <c r="G218" i="1"/>
  <c r="F218" i="1"/>
  <c r="H217" i="1"/>
  <c r="G217" i="1"/>
  <c r="F217" i="1"/>
  <c r="H216" i="1"/>
  <c r="G216" i="1"/>
  <c r="F216" i="1"/>
  <c r="H215" i="1"/>
  <c r="G215" i="1"/>
  <c r="F215" i="1"/>
  <c r="H214" i="1"/>
  <c r="G214" i="1"/>
  <c r="F214" i="1"/>
  <c r="H213" i="1"/>
  <c r="G213" i="1"/>
  <c r="F213" i="1"/>
  <c r="H212" i="1"/>
  <c r="G212" i="1"/>
  <c r="F212" i="1"/>
  <c r="H211" i="1"/>
  <c r="G211" i="1"/>
  <c r="F211" i="1"/>
  <c r="H210" i="1"/>
  <c r="G210" i="1"/>
  <c r="F210" i="1"/>
  <c r="H209" i="1"/>
  <c r="G209" i="1"/>
  <c r="F209" i="1"/>
  <c r="H208" i="1"/>
  <c r="G208" i="1"/>
  <c r="F208" i="1"/>
  <c r="H207" i="1"/>
  <c r="G207" i="1"/>
  <c r="F207" i="1"/>
  <c r="H206" i="1"/>
  <c r="G206" i="1"/>
  <c r="F206" i="1"/>
  <c r="H205" i="1"/>
  <c r="G205" i="1"/>
  <c r="F205" i="1"/>
  <c r="H204" i="1"/>
  <c r="G204" i="1"/>
  <c r="F204" i="1"/>
  <c r="H203" i="1"/>
  <c r="G203" i="1"/>
  <c r="F203" i="1"/>
  <c r="H202" i="1"/>
  <c r="G202" i="1"/>
  <c r="F202" i="1"/>
  <c r="H201" i="1"/>
  <c r="G201" i="1"/>
  <c r="F201" i="1"/>
  <c r="H200" i="1"/>
  <c r="G200" i="1"/>
  <c r="F200" i="1"/>
  <c r="H199" i="1"/>
  <c r="G199" i="1"/>
  <c r="F199" i="1"/>
  <c r="H198" i="1"/>
  <c r="G198" i="1"/>
  <c r="F198" i="1"/>
  <c r="H197" i="1"/>
  <c r="G197" i="1"/>
  <c r="F197" i="1"/>
  <c r="H196" i="1"/>
  <c r="G196" i="1"/>
  <c r="F196" i="1"/>
  <c r="H195" i="1"/>
  <c r="G195" i="1"/>
  <c r="F195" i="1"/>
  <c r="H194" i="1"/>
  <c r="G194" i="1"/>
  <c r="F194" i="1"/>
  <c r="H193" i="1" l="1"/>
  <c r="G193" i="1"/>
  <c r="F193" i="1"/>
  <c r="H192" i="1"/>
  <c r="G192" i="1"/>
  <c r="F192" i="1"/>
  <c r="H191" i="1"/>
  <c r="G191" i="1"/>
  <c r="F191" i="1"/>
  <c r="H190" i="1"/>
  <c r="G190" i="1"/>
  <c r="F190" i="1"/>
  <c r="H189" i="1"/>
  <c r="G189" i="1"/>
  <c r="F189" i="1"/>
  <c r="H188" i="1"/>
  <c r="G188" i="1"/>
  <c r="F188" i="1"/>
  <c r="H187" i="1"/>
  <c r="G187" i="1"/>
  <c r="F187" i="1"/>
  <c r="H186" i="1"/>
  <c r="G186" i="1"/>
  <c r="F186" i="1"/>
  <c r="H185" i="1"/>
  <c r="G185" i="1"/>
  <c r="F185" i="1"/>
  <c r="H184" i="1"/>
  <c r="G184" i="1"/>
  <c r="F184" i="1"/>
  <c r="H183" i="1"/>
  <c r="G183" i="1"/>
  <c r="F183" i="1"/>
  <c r="H182" i="1"/>
  <c r="G182" i="1"/>
  <c r="F182" i="1"/>
  <c r="H181" i="1"/>
  <c r="G181" i="1"/>
  <c r="F181" i="1"/>
  <c r="H180" i="1"/>
  <c r="G180" i="1"/>
  <c r="F180" i="1"/>
  <c r="H179" i="1"/>
  <c r="G179" i="1"/>
  <c r="F179" i="1"/>
  <c r="H178" i="1"/>
  <c r="G178" i="1"/>
  <c r="F178" i="1"/>
  <c r="H177" i="1"/>
  <c r="G177" i="1"/>
  <c r="F177" i="1"/>
  <c r="H176" i="1"/>
  <c r="G176" i="1"/>
  <c r="F176" i="1"/>
  <c r="H175" i="1"/>
  <c r="G175" i="1"/>
  <c r="F175" i="1"/>
  <c r="H174" i="1"/>
  <c r="G174" i="1"/>
  <c r="F174" i="1"/>
  <c r="H173" i="1"/>
  <c r="G173" i="1"/>
  <c r="F173" i="1"/>
  <c r="H172" i="1"/>
  <c r="G172" i="1"/>
  <c r="F172" i="1"/>
  <c r="H171" i="1"/>
  <c r="G171" i="1"/>
  <c r="F171" i="1"/>
  <c r="H170" i="1"/>
  <c r="G170" i="1"/>
  <c r="F170" i="1"/>
  <c r="H169" i="1"/>
  <c r="G169" i="1"/>
  <c r="F169" i="1"/>
  <c r="H168" i="1"/>
  <c r="G168" i="1"/>
  <c r="F168" i="1"/>
  <c r="H167" i="1"/>
  <c r="G167" i="1"/>
  <c r="F167" i="1"/>
  <c r="H166" i="1"/>
  <c r="G166" i="1"/>
  <c r="F166" i="1"/>
  <c r="H165" i="1"/>
  <c r="G165" i="1"/>
  <c r="F165" i="1"/>
  <c r="H164" i="1"/>
  <c r="G164" i="1"/>
  <c r="F164" i="1"/>
  <c r="H163" i="1"/>
  <c r="G163" i="1"/>
  <c r="F163" i="1"/>
  <c r="H162" i="1"/>
  <c r="G162" i="1"/>
  <c r="F162" i="1"/>
  <c r="H161" i="1"/>
  <c r="G161" i="1"/>
  <c r="F161" i="1"/>
  <c r="H160" i="1"/>
  <c r="G160" i="1"/>
  <c r="F160" i="1"/>
  <c r="H159" i="1"/>
  <c r="G159" i="1"/>
  <c r="F159" i="1"/>
  <c r="H158" i="1"/>
  <c r="G158" i="1"/>
  <c r="F158" i="1"/>
  <c r="H157" i="1"/>
  <c r="G157" i="1"/>
  <c r="F157" i="1"/>
  <c r="H156" i="1"/>
  <c r="G156" i="1"/>
  <c r="F156" i="1"/>
  <c r="H155" i="1"/>
  <c r="G155" i="1"/>
  <c r="F155" i="1"/>
  <c r="H154" i="1"/>
  <c r="G154" i="1"/>
  <c r="F154" i="1"/>
  <c r="H153" i="1"/>
  <c r="G153" i="1"/>
  <c r="F153" i="1"/>
  <c r="H152" i="1"/>
  <c r="G152" i="1"/>
  <c r="F152" i="1"/>
  <c r="H151" i="1"/>
  <c r="G151" i="1"/>
  <c r="F151" i="1"/>
  <c r="H150" i="1"/>
  <c r="G150" i="1"/>
  <c r="F150" i="1"/>
  <c r="H149" i="1"/>
  <c r="G149" i="1"/>
  <c r="F149" i="1"/>
  <c r="H148" i="1"/>
  <c r="G148" i="1"/>
  <c r="F148" i="1"/>
  <c r="H147" i="1"/>
  <c r="G147" i="1"/>
  <c r="F147" i="1"/>
  <c r="H146" i="1"/>
  <c r="G146" i="1"/>
  <c r="F146" i="1"/>
  <c r="H145" i="1"/>
  <c r="G145" i="1"/>
  <c r="F145" i="1"/>
  <c r="H144" i="1"/>
  <c r="G144" i="1"/>
  <c r="F144" i="1"/>
  <c r="H143" i="1"/>
  <c r="G143" i="1"/>
  <c r="F143" i="1"/>
  <c r="H142" i="1"/>
  <c r="G142" i="1"/>
  <c r="F142" i="1"/>
  <c r="H141" i="1"/>
  <c r="G141" i="1"/>
  <c r="F141" i="1"/>
  <c r="H140" i="1"/>
  <c r="G140" i="1"/>
  <c r="F140" i="1"/>
  <c r="H139" i="1"/>
  <c r="G139" i="1"/>
  <c r="F139" i="1"/>
  <c r="H138" i="1"/>
  <c r="G138" i="1"/>
  <c r="F138" i="1"/>
  <c r="H137" i="1"/>
  <c r="G137" i="1"/>
  <c r="F137" i="1"/>
  <c r="H136" i="1"/>
  <c r="G136" i="1"/>
  <c r="F136" i="1"/>
  <c r="H135" i="1"/>
  <c r="G135" i="1"/>
  <c r="F135" i="1"/>
  <c r="H134" i="1"/>
  <c r="G134" i="1"/>
  <c r="F134" i="1"/>
  <c r="H133" i="1"/>
  <c r="G133" i="1"/>
  <c r="F133" i="1"/>
  <c r="H132" i="1"/>
  <c r="G132" i="1"/>
  <c r="F132" i="1"/>
  <c r="H131" i="1"/>
  <c r="G131" i="1"/>
  <c r="F131" i="1"/>
  <c r="H130" i="1"/>
  <c r="G130" i="1"/>
  <c r="F130" i="1"/>
  <c r="H129" i="1"/>
  <c r="G129" i="1"/>
  <c r="F129" i="1"/>
  <c r="H128" i="1"/>
  <c r="G128" i="1"/>
  <c r="F128" i="1"/>
  <c r="H127" i="1"/>
  <c r="G127" i="1"/>
  <c r="F127" i="1"/>
  <c r="H126" i="1"/>
  <c r="G126" i="1"/>
  <c r="F126" i="1"/>
  <c r="H125" i="1"/>
  <c r="G125" i="1"/>
  <c r="F125" i="1"/>
  <c r="H124" i="1"/>
  <c r="G124" i="1"/>
  <c r="F124" i="1"/>
  <c r="H123" i="1"/>
  <c r="G123" i="1"/>
  <c r="F123" i="1"/>
  <c r="H122" i="1"/>
  <c r="G122" i="1"/>
  <c r="F122" i="1"/>
  <c r="H121" i="1"/>
  <c r="G121" i="1"/>
  <c r="F121" i="1"/>
  <c r="H120" i="1"/>
  <c r="G120" i="1"/>
  <c r="F120" i="1"/>
  <c r="H119" i="1"/>
  <c r="G119" i="1"/>
  <c r="F119" i="1"/>
  <c r="H118" i="1"/>
  <c r="G118" i="1"/>
  <c r="F118" i="1"/>
  <c r="H117" i="1"/>
  <c r="G117" i="1"/>
  <c r="F117" i="1"/>
  <c r="H116" i="1"/>
  <c r="G116" i="1"/>
  <c r="F116" i="1"/>
  <c r="H115" i="1"/>
  <c r="G115" i="1"/>
  <c r="F115" i="1"/>
  <c r="H114" i="1"/>
  <c r="G114" i="1"/>
  <c r="F114" i="1"/>
  <c r="H113" i="1"/>
  <c r="G113" i="1"/>
  <c r="F113" i="1"/>
  <c r="H112" i="1"/>
  <c r="G112" i="1"/>
  <c r="F112" i="1"/>
  <c r="H111" i="1"/>
  <c r="G111" i="1"/>
  <c r="F111" i="1"/>
  <c r="H110" i="1"/>
  <c r="G110" i="1"/>
  <c r="F110" i="1"/>
  <c r="H109" i="1"/>
  <c r="G109" i="1"/>
  <c r="F109" i="1"/>
  <c r="H108" i="1"/>
  <c r="G108" i="1"/>
  <c r="F108" i="1"/>
  <c r="H107" i="1"/>
  <c r="G107" i="1"/>
  <c r="F107" i="1"/>
  <c r="H106" i="1"/>
  <c r="G106" i="1"/>
  <c r="F106" i="1"/>
  <c r="H105" i="1"/>
  <c r="G105" i="1"/>
  <c r="F105" i="1"/>
  <c r="H104" i="1"/>
  <c r="G104" i="1"/>
  <c r="F104" i="1"/>
  <c r="H103" i="1"/>
  <c r="G103" i="1"/>
  <c r="F103" i="1"/>
  <c r="H102" i="1"/>
  <c r="G102" i="1"/>
  <c r="F102" i="1"/>
  <c r="H101" i="1"/>
  <c r="G101" i="1"/>
  <c r="F101" i="1"/>
  <c r="H100" i="1"/>
  <c r="G100" i="1"/>
  <c r="F100" i="1"/>
  <c r="H99" i="1"/>
  <c r="G99" i="1"/>
  <c r="F99" i="1"/>
  <c r="H98" i="1"/>
  <c r="G98" i="1"/>
  <c r="F98" i="1"/>
  <c r="H97" i="1"/>
  <c r="G97" i="1"/>
  <c r="F97" i="1"/>
  <c r="H96" i="1"/>
  <c r="G96" i="1"/>
  <c r="F96" i="1"/>
  <c r="H95" i="1"/>
  <c r="G95" i="1"/>
  <c r="F95" i="1"/>
  <c r="H94" i="1"/>
  <c r="G94" i="1"/>
  <c r="F94" i="1"/>
  <c r="H93" i="1"/>
  <c r="G93" i="1"/>
  <c r="F93" i="1"/>
  <c r="H92" i="1"/>
  <c r="G92" i="1"/>
  <c r="F92" i="1"/>
  <c r="H91" i="1"/>
  <c r="G91" i="1"/>
  <c r="F91" i="1"/>
  <c r="H90" i="1"/>
  <c r="G90" i="1"/>
  <c r="F90" i="1"/>
  <c r="H89" i="1"/>
  <c r="G89" i="1"/>
  <c r="F89" i="1"/>
  <c r="H88" i="1"/>
  <c r="G88" i="1"/>
  <c r="F88" i="1"/>
  <c r="H87" i="1"/>
  <c r="G87" i="1"/>
  <c r="F87" i="1"/>
  <c r="H86" i="1"/>
  <c r="G86" i="1"/>
  <c r="F86" i="1"/>
  <c r="H85" i="1"/>
  <c r="G85" i="1"/>
  <c r="F85" i="1"/>
  <c r="H84" i="1"/>
  <c r="G84" i="1"/>
  <c r="F84" i="1"/>
  <c r="H83" i="1"/>
  <c r="G83" i="1"/>
  <c r="F83" i="1"/>
  <c r="H82" i="1"/>
  <c r="G82" i="1"/>
  <c r="F82" i="1"/>
  <c r="H81" i="1"/>
  <c r="G81" i="1"/>
  <c r="F81" i="1"/>
  <c r="H80" i="1"/>
  <c r="G80" i="1"/>
  <c r="F80" i="1"/>
  <c r="H79" i="1"/>
  <c r="G79" i="1"/>
  <c r="F79" i="1"/>
  <c r="H78" i="1"/>
  <c r="G78" i="1"/>
  <c r="F78" i="1"/>
  <c r="H77" i="1"/>
  <c r="G77" i="1"/>
  <c r="F77" i="1"/>
  <c r="H76" i="1"/>
  <c r="G76" i="1"/>
  <c r="F76" i="1"/>
  <c r="H75" i="1"/>
  <c r="G75" i="1"/>
  <c r="F75" i="1"/>
  <c r="H74" i="1"/>
  <c r="G74" i="1"/>
  <c r="F74" i="1"/>
  <c r="H73" i="1"/>
  <c r="G73" i="1"/>
  <c r="F73" i="1"/>
  <c r="H72" i="1"/>
  <c r="G72" i="1"/>
  <c r="F72" i="1"/>
  <c r="H71" i="1"/>
  <c r="G71" i="1"/>
  <c r="F71" i="1"/>
  <c r="H70" i="1"/>
  <c r="G70" i="1"/>
  <c r="F70" i="1"/>
  <c r="H69" i="1"/>
  <c r="G69" i="1"/>
  <c r="F69" i="1"/>
  <c r="H68" i="1"/>
  <c r="G68" i="1"/>
  <c r="F68" i="1"/>
  <c r="H67" i="1"/>
  <c r="G67" i="1"/>
  <c r="F67" i="1"/>
  <c r="H66" i="1"/>
  <c r="G66" i="1"/>
  <c r="F66" i="1"/>
  <c r="H65" i="1"/>
  <c r="G65" i="1"/>
  <c r="F65" i="1"/>
  <c r="H64" i="1"/>
  <c r="G64" i="1"/>
  <c r="F64" i="1"/>
  <c r="H63" i="1"/>
  <c r="G63" i="1"/>
  <c r="F63" i="1"/>
  <c r="H62" i="1"/>
  <c r="G62" i="1"/>
  <c r="F62" i="1"/>
  <c r="H61" i="1"/>
  <c r="G61" i="1"/>
  <c r="F61" i="1"/>
  <c r="H60" i="1"/>
  <c r="G60" i="1"/>
  <c r="F60" i="1"/>
  <c r="H59" i="1"/>
  <c r="G59" i="1"/>
  <c r="F59" i="1"/>
  <c r="H58" i="1"/>
  <c r="G58" i="1"/>
  <c r="F58" i="1"/>
  <c r="H57" i="1"/>
  <c r="G57" i="1"/>
  <c r="F57" i="1"/>
  <c r="H56" i="1"/>
  <c r="G56" i="1"/>
  <c r="F56" i="1"/>
  <c r="H55" i="1"/>
  <c r="G55" i="1"/>
  <c r="F55" i="1"/>
  <c r="H54" i="1"/>
  <c r="G54" i="1"/>
  <c r="F54" i="1"/>
  <c r="H53" i="1"/>
  <c r="G53" i="1"/>
  <c r="F53" i="1"/>
  <c r="H52" i="1"/>
  <c r="G52" i="1"/>
  <c r="F52" i="1"/>
  <c r="H51" i="1"/>
  <c r="G51" i="1"/>
  <c r="F51" i="1"/>
  <c r="H50" i="1"/>
  <c r="G50" i="1"/>
  <c r="F50" i="1"/>
  <c r="H49" i="1"/>
  <c r="G49" i="1"/>
  <c r="F49" i="1"/>
  <c r="H48" i="1"/>
  <c r="G48" i="1"/>
  <c r="F48" i="1"/>
  <c r="H47" i="1"/>
  <c r="G47" i="1"/>
  <c r="F47" i="1"/>
  <c r="H46" i="1"/>
  <c r="G46" i="1"/>
  <c r="F46" i="1"/>
  <c r="H45" i="1"/>
  <c r="G45" i="1"/>
  <c r="F45" i="1"/>
  <c r="H44" i="1"/>
  <c r="G44" i="1"/>
  <c r="F44" i="1"/>
  <c r="H43" i="1"/>
  <c r="G43" i="1"/>
  <c r="F43" i="1"/>
  <c r="H42" i="1"/>
  <c r="G42" i="1"/>
  <c r="F42" i="1"/>
  <c r="H41" i="1"/>
  <c r="G41" i="1"/>
  <c r="F41" i="1"/>
  <c r="H40" i="1"/>
  <c r="G40" i="1"/>
  <c r="F40" i="1"/>
  <c r="H39" i="1"/>
  <c r="G39" i="1"/>
  <c r="F39" i="1"/>
  <c r="H38" i="1"/>
  <c r="G38" i="1"/>
  <c r="F38" i="1"/>
  <c r="H37" i="1"/>
  <c r="G37" i="1"/>
  <c r="F37" i="1"/>
  <c r="H36" i="1"/>
  <c r="G36" i="1"/>
  <c r="F36" i="1"/>
  <c r="H35" i="1"/>
  <c r="G35" i="1"/>
  <c r="F35" i="1"/>
  <c r="H34" i="1"/>
  <c r="G34" i="1"/>
  <c r="F34" i="1"/>
  <c r="H33" i="1"/>
  <c r="G33" i="1"/>
  <c r="F33" i="1"/>
  <c r="H32" i="1"/>
  <c r="G32" i="1"/>
  <c r="F32" i="1"/>
  <c r="H31" i="1"/>
  <c r="G31" i="1"/>
  <c r="F31" i="1"/>
  <c r="H30" i="1"/>
  <c r="G30" i="1"/>
  <c r="F30" i="1"/>
  <c r="H29" i="1"/>
  <c r="G29" i="1"/>
  <c r="F29" i="1"/>
  <c r="H28" i="1"/>
  <c r="G28" i="1"/>
  <c r="F28" i="1"/>
  <c r="H27" i="1"/>
  <c r="G27" i="1"/>
  <c r="F27" i="1"/>
  <c r="H26" i="1"/>
  <c r="G26" i="1"/>
  <c r="F26" i="1"/>
  <c r="H25" i="1"/>
  <c r="G25" i="1"/>
  <c r="F25" i="1"/>
  <c r="H24" i="1"/>
  <c r="G24" i="1"/>
  <c r="F24" i="1"/>
  <c r="H23" i="1"/>
  <c r="G23" i="1"/>
  <c r="F23" i="1"/>
  <c r="H22" i="1"/>
  <c r="G22" i="1"/>
  <c r="F22" i="1"/>
  <c r="H21" i="1"/>
  <c r="G21" i="1"/>
  <c r="F21" i="1"/>
  <c r="H20" i="1"/>
  <c r="G20" i="1"/>
  <c r="F20" i="1"/>
  <c r="H19" i="1"/>
  <c r="G19" i="1"/>
  <c r="F19" i="1"/>
  <c r="H18" i="1"/>
  <c r="G18" i="1"/>
  <c r="F18" i="1"/>
  <c r="H17" i="1"/>
  <c r="G17" i="1"/>
  <c r="F17" i="1"/>
  <c r="H16" i="1"/>
  <c r="G16" i="1"/>
  <c r="F16" i="1"/>
  <c r="H15" i="1"/>
  <c r="G15" i="1"/>
  <c r="I118" i="1" l="1"/>
  <c r="I124" i="1"/>
  <c r="M124" i="1" s="1"/>
  <c r="I153" i="1"/>
  <c r="I185" i="1"/>
  <c r="I29" i="1"/>
  <c r="K29" i="1" s="1"/>
  <c r="J77" i="1"/>
  <c r="I109" i="1"/>
  <c r="J163" i="1"/>
  <c r="J21" i="1"/>
  <c r="J29" i="1"/>
  <c r="I53" i="1"/>
  <c r="J64" i="1"/>
  <c r="I81" i="1"/>
  <c r="J90" i="1"/>
  <c r="J105" i="1"/>
  <c r="J117" i="1"/>
  <c r="J126" i="1"/>
  <c r="J155" i="1"/>
  <c r="J164" i="1"/>
  <c r="I190" i="1"/>
  <c r="J22" i="1"/>
  <c r="I61" i="1"/>
  <c r="I94" i="1"/>
  <c r="I125" i="1"/>
  <c r="K125" i="1" s="1"/>
  <c r="I19" i="1"/>
  <c r="K19" i="1" s="1"/>
  <c r="I27" i="1"/>
  <c r="K27" i="1" s="1"/>
  <c r="J48" i="1"/>
  <c r="J60" i="1"/>
  <c r="I77" i="1"/>
  <c r="K77" i="1" s="1"/>
  <c r="J88" i="1"/>
  <c r="J95" i="1"/>
  <c r="I105" i="1"/>
  <c r="K105" i="1" s="1"/>
  <c r="I117" i="1"/>
  <c r="L117" i="1" s="1"/>
  <c r="I129" i="1"/>
  <c r="J147" i="1"/>
  <c r="I152" i="1"/>
  <c r="M152" i="1" s="1"/>
  <c r="J179" i="1"/>
  <c r="I184" i="1"/>
  <c r="J18" i="1"/>
  <c r="J76" i="1"/>
  <c r="N76" i="1" s="1"/>
  <c r="J121" i="1"/>
  <c r="J19" i="1"/>
  <c r="J27" i="1"/>
  <c r="J46" i="1"/>
  <c r="I69" i="1"/>
  <c r="J80" i="1"/>
  <c r="J93" i="1"/>
  <c r="I103" i="1"/>
  <c r="I113" i="1"/>
  <c r="J125" i="1"/>
  <c r="J139" i="1"/>
  <c r="I144" i="1"/>
  <c r="I158" i="1"/>
  <c r="J177" i="1"/>
  <c r="L29" i="1"/>
  <c r="I32" i="1"/>
  <c r="J37" i="1"/>
  <c r="I40" i="1"/>
  <c r="I44" i="1"/>
  <c r="I48" i="1"/>
  <c r="J51" i="1"/>
  <c r="J63" i="1"/>
  <c r="J87" i="1"/>
  <c r="J33" i="1"/>
  <c r="L77" i="1"/>
  <c r="J132" i="1"/>
  <c r="J154" i="1"/>
  <c r="N154" i="1" s="1"/>
  <c r="J186" i="1"/>
  <c r="J123" i="1"/>
  <c r="J136" i="1"/>
  <c r="M184" i="1"/>
  <c r="I170" i="1"/>
  <c r="I193" i="1"/>
  <c r="I168" i="1"/>
  <c r="H14" i="1"/>
  <c r="A3" i="1"/>
  <c r="I80" i="1" s="1"/>
  <c r="K80" i="1" l="1"/>
  <c r="M80" i="1"/>
  <c r="L80" i="1"/>
  <c r="N60" i="1"/>
  <c r="K53" i="1"/>
  <c r="K129" i="1"/>
  <c r="K69" i="1"/>
  <c r="N122" i="1"/>
  <c r="I76" i="1"/>
  <c r="I82" i="1"/>
  <c r="I104" i="1"/>
  <c r="I147" i="1"/>
  <c r="I43" i="1"/>
  <c r="I96" i="1"/>
  <c r="I188" i="1"/>
  <c r="I160" i="1"/>
  <c r="I178" i="1"/>
  <c r="K178" i="1" s="1"/>
  <c r="I156" i="1"/>
  <c r="L158" i="1"/>
  <c r="J178" i="1"/>
  <c r="N178" i="1" s="1"/>
  <c r="J146" i="1"/>
  <c r="N146" i="1" s="1"/>
  <c r="L125" i="1"/>
  <c r="M94" i="1"/>
  <c r="J31" i="1"/>
  <c r="I50" i="1"/>
  <c r="J47" i="1"/>
  <c r="J43" i="1"/>
  <c r="L43" i="1" s="1"/>
  <c r="J39" i="1"/>
  <c r="I36" i="1"/>
  <c r="I30" i="1"/>
  <c r="L27" i="1"/>
  <c r="L19" i="1"/>
  <c r="I175" i="1"/>
  <c r="J148" i="1"/>
  <c r="I143" i="1"/>
  <c r="I137" i="1"/>
  <c r="J122" i="1"/>
  <c r="I111" i="1"/>
  <c r="J101" i="1"/>
  <c r="J85" i="1"/>
  <c r="J78" i="1"/>
  <c r="I67" i="1"/>
  <c r="J38" i="1"/>
  <c r="L38" i="1" s="1"/>
  <c r="I24" i="1"/>
  <c r="I16" i="1"/>
  <c r="J112" i="1"/>
  <c r="J70" i="1"/>
  <c r="N70" i="1" s="1"/>
  <c r="J188" i="1"/>
  <c r="I183" i="1"/>
  <c r="I166" i="1"/>
  <c r="I151" i="1"/>
  <c r="J135" i="1"/>
  <c r="J128" i="1"/>
  <c r="J113" i="1"/>
  <c r="K113" i="1" s="1"/>
  <c r="J103" i="1"/>
  <c r="L103" i="1" s="1"/>
  <c r="J94" i="1"/>
  <c r="K94" i="1" s="1"/>
  <c r="J86" i="1"/>
  <c r="I75" i="1"/>
  <c r="J59" i="1"/>
  <c r="J40" i="1"/>
  <c r="J24" i="1"/>
  <c r="J16" i="1"/>
  <c r="J119" i="1"/>
  <c r="I91" i="1"/>
  <c r="I57" i="1"/>
  <c r="J193" i="1"/>
  <c r="J189" i="1"/>
  <c r="J161" i="1"/>
  <c r="J137" i="1"/>
  <c r="I123" i="1"/>
  <c r="J114" i="1"/>
  <c r="J102" i="1"/>
  <c r="I87" i="1"/>
  <c r="K87" i="1" s="1"/>
  <c r="J69" i="1"/>
  <c r="J62" i="1"/>
  <c r="N62" i="1" s="1"/>
  <c r="J50" i="1"/>
  <c r="I26" i="1"/>
  <c r="I18" i="1"/>
  <c r="J140" i="1"/>
  <c r="N140" i="1" s="1"/>
  <c r="I101" i="1"/>
  <c r="I63" i="1"/>
  <c r="K63" i="1" s="1"/>
  <c r="I25" i="1"/>
  <c r="I181" i="1"/>
  <c r="M180" i="1" s="1"/>
  <c r="I149" i="1"/>
  <c r="I112" i="1"/>
  <c r="I60" i="1"/>
  <c r="I106" i="1"/>
  <c r="I78" i="1"/>
  <c r="I72" i="1"/>
  <c r="I135" i="1"/>
  <c r="I39" i="1"/>
  <c r="I120" i="1"/>
  <c r="I88" i="1"/>
  <c r="N136" i="1"/>
  <c r="L87" i="1"/>
  <c r="N18" i="1"/>
  <c r="I148" i="1"/>
  <c r="M148" i="1" s="1"/>
  <c r="I154" i="1"/>
  <c r="I164" i="1"/>
  <c r="J170" i="1"/>
  <c r="L170" i="1" s="1"/>
  <c r="J138" i="1"/>
  <c r="K117" i="1"/>
  <c r="L69" i="1"/>
  <c r="L53" i="1"/>
  <c r="J89" i="1"/>
  <c r="J81" i="1"/>
  <c r="N80" i="1" s="1"/>
  <c r="J73" i="1"/>
  <c r="J65" i="1"/>
  <c r="L65" i="1" s="1"/>
  <c r="J57" i="1"/>
  <c r="K57" i="1" s="1"/>
  <c r="J79" i="1"/>
  <c r="J55" i="1"/>
  <c r="I46" i="1"/>
  <c r="L46" i="1" s="1"/>
  <c r="I42" i="1"/>
  <c r="I38" i="1"/>
  <c r="J35" i="1"/>
  <c r="J173" i="1"/>
  <c r="I146" i="1"/>
  <c r="M146" i="1" s="1"/>
  <c r="I142" i="1"/>
  <c r="J131" i="1"/>
  <c r="J118" i="1"/>
  <c r="N118" i="1" s="1"/>
  <c r="J109" i="1"/>
  <c r="J98" i="1"/>
  <c r="J84" i="1"/>
  <c r="N84" i="1" s="1"/>
  <c r="J74" i="1"/>
  <c r="N74" i="1" s="1"/>
  <c r="I65" i="1"/>
  <c r="J30" i="1"/>
  <c r="N30" i="1" s="1"/>
  <c r="J23" i="1"/>
  <c r="N22" i="1" s="1"/>
  <c r="J169" i="1"/>
  <c r="J107" i="1"/>
  <c r="J66" i="1"/>
  <c r="I186" i="1"/>
  <c r="I182" i="1"/>
  <c r="J156" i="1"/>
  <c r="I150" i="1"/>
  <c r="J134" i="1"/>
  <c r="N134" i="1" s="1"/>
  <c r="J124" i="1"/>
  <c r="J111" i="1"/>
  <c r="J100" i="1"/>
  <c r="J92" i="1"/>
  <c r="N92" i="1" s="1"/>
  <c r="J82" i="1"/>
  <c r="N82" i="1" s="1"/>
  <c r="I73" i="1"/>
  <c r="K73" i="1" s="1"/>
  <c r="J56" i="1"/>
  <c r="N56" i="1" s="1"/>
  <c r="J32" i="1"/>
  <c r="I23" i="1"/>
  <c r="I167" i="1"/>
  <c r="J116" i="1"/>
  <c r="N116" i="1" s="1"/>
  <c r="J75" i="1"/>
  <c r="J52" i="1"/>
  <c r="N52" i="1" s="1"/>
  <c r="I192" i="1"/>
  <c r="J187" i="1"/>
  <c r="I159" i="1"/>
  <c r="I128" i="1"/>
  <c r="I121" i="1"/>
  <c r="J110" i="1"/>
  <c r="N110" i="1" s="1"/>
  <c r="I99" i="1"/>
  <c r="I85" i="1"/>
  <c r="J68" i="1"/>
  <c r="N68" i="1" s="1"/>
  <c r="J58" i="1"/>
  <c r="J42" i="1"/>
  <c r="J25" i="1"/>
  <c r="J17" i="1"/>
  <c r="I133" i="1"/>
  <c r="J96" i="1"/>
  <c r="I59" i="1"/>
  <c r="I21" i="1"/>
  <c r="I169" i="1"/>
  <c r="I93" i="1"/>
  <c r="I100" i="1"/>
  <c r="I134" i="1"/>
  <c r="I98" i="1"/>
  <c r="I66" i="1"/>
  <c r="I179" i="1"/>
  <c r="I51" i="1"/>
  <c r="K51" i="1" s="1"/>
  <c r="I35" i="1"/>
  <c r="I116" i="1"/>
  <c r="L113" i="1"/>
  <c r="K109" i="1"/>
  <c r="I1232" i="1"/>
  <c r="J1231" i="1"/>
  <c r="J1230" i="1"/>
  <c r="J1229" i="1"/>
  <c r="J1172" i="1"/>
  <c r="J1161" i="1"/>
  <c r="I1216" i="1"/>
  <c r="J1215" i="1"/>
  <c r="J1213" i="1"/>
  <c r="N1213" i="1" s="1"/>
  <c r="I1194" i="1"/>
  <c r="I1188" i="1"/>
  <c r="I1240" i="1"/>
  <c r="I1234" i="1"/>
  <c r="I1224" i="1"/>
  <c r="J1223" i="1"/>
  <c r="J1222" i="1"/>
  <c r="J1221" i="1"/>
  <c r="N1221" i="1" s="1"/>
  <c r="J1199" i="1"/>
  <c r="J1198" i="1"/>
  <c r="J1197" i="1"/>
  <c r="J1191" i="1"/>
  <c r="N1191" i="1" s="1"/>
  <c r="J1184" i="1"/>
  <c r="J1168" i="1"/>
  <c r="J1157" i="1"/>
  <c r="J1237" i="1"/>
  <c r="J1205" i="1"/>
  <c r="I1204" i="1"/>
  <c r="J1176" i="1"/>
  <c r="J1180" i="1"/>
  <c r="J1164" i="1"/>
  <c r="J1214" i="1"/>
  <c r="I1212" i="1"/>
  <c r="I1202" i="1"/>
  <c r="I1200" i="1"/>
  <c r="I1180" i="1"/>
  <c r="I1239" i="1"/>
  <c r="I1168" i="1"/>
  <c r="I1185" i="1"/>
  <c r="J1204" i="1"/>
  <c r="J1216" i="1"/>
  <c r="I1237" i="1"/>
  <c r="J1218" i="1"/>
  <c r="J1155" i="1"/>
  <c r="J1171" i="1"/>
  <c r="I1186" i="1"/>
  <c r="L1186" i="1" s="1"/>
  <c r="J1202" i="1"/>
  <c r="J1158" i="1"/>
  <c r="J1207" i="1"/>
  <c r="J1154" i="1"/>
  <c r="N1154" i="1" s="1"/>
  <c r="J1175" i="1"/>
  <c r="N1175" i="1" s="1"/>
  <c r="J1192" i="1"/>
  <c r="J1203" i="1"/>
  <c r="I1213" i="1"/>
  <c r="J1227" i="1"/>
  <c r="J1196" i="1"/>
  <c r="I1162" i="1"/>
  <c r="I1177" i="1"/>
  <c r="I1203" i="1"/>
  <c r="I1170" i="1"/>
  <c r="I1160" i="1"/>
  <c r="I1175" i="1"/>
  <c r="J1189" i="1"/>
  <c r="J1206" i="1"/>
  <c r="J1239" i="1"/>
  <c r="I1217" i="1"/>
  <c r="I1207" i="1"/>
  <c r="I1235" i="1"/>
  <c r="I1137" i="1"/>
  <c r="J1136" i="1"/>
  <c r="N1136" i="1" s="1"/>
  <c r="I1135" i="1"/>
  <c r="I1121" i="1"/>
  <c r="J1120" i="1"/>
  <c r="I1119" i="1"/>
  <c r="I1105" i="1"/>
  <c r="J1104" i="1"/>
  <c r="I1103" i="1"/>
  <c r="I1218" i="1"/>
  <c r="I1208" i="1"/>
  <c r="J1225" i="1"/>
  <c r="I1157" i="1"/>
  <c r="J1173" i="1"/>
  <c r="N1173" i="1" s="1"/>
  <c r="J1190" i="1"/>
  <c r="I1206" i="1"/>
  <c r="K1206" i="1" s="1"/>
  <c r="J1219" i="1"/>
  <c r="I1238" i="1"/>
  <c r="K1238" i="1" s="1"/>
  <c r="I1229" i="1"/>
  <c r="J1160" i="1"/>
  <c r="N1160" i="1" s="1"/>
  <c r="I1172" i="1"/>
  <c r="J1187" i="1"/>
  <c r="N1187" i="1" s="1"/>
  <c r="J1210" i="1"/>
  <c r="J1163" i="1"/>
  <c r="N1163" i="1" s="1"/>
  <c r="I1211" i="1"/>
  <c r="J1159" i="1"/>
  <c r="I1176" i="1"/>
  <c r="J1193" i="1"/>
  <c r="N1193" i="1" s="1"/>
  <c r="I1205" i="1"/>
  <c r="J1220" i="1"/>
  <c r="N1219" i="1" s="1"/>
  <c r="J1234" i="1"/>
  <c r="J1217" i="1"/>
  <c r="N1217" i="1" s="1"/>
  <c r="I1195" i="1"/>
  <c r="J1209" i="1"/>
  <c r="N1209" i="1" s="1"/>
  <c r="I1236" i="1"/>
  <c r="I1165" i="1"/>
  <c r="I1181" i="1"/>
  <c r="I1163" i="1"/>
  <c r="I1179" i="1"/>
  <c r="I1190" i="1"/>
  <c r="I1189" i="1"/>
  <c r="I1209" i="1"/>
  <c r="I1215" i="1"/>
  <c r="J1140" i="1"/>
  <c r="I1125" i="1"/>
  <c r="J1124" i="1"/>
  <c r="J1108" i="1"/>
  <c r="I1226" i="1"/>
  <c r="I1220" i="1"/>
  <c r="I1230" i="1"/>
  <c r="J1162" i="1"/>
  <c r="N1162" i="1" s="1"/>
  <c r="J1178" i="1"/>
  <c r="J1194" i="1"/>
  <c r="J1212" i="1"/>
  <c r="I1221" i="1"/>
  <c r="J1174" i="1"/>
  <c r="J1232" i="1"/>
  <c r="I1161" i="1"/>
  <c r="J1177" i="1"/>
  <c r="J1188" i="1"/>
  <c r="J1226" i="1"/>
  <c r="J1169" i="1"/>
  <c r="I1231" i="1"/>
  <c r="J1165" i="1"/>
  <c r="J1181" i="1"/>
  <c r="I1198" i="1"/>
  <c r="J1208" i="1"/>
  <c r="I1222" i="1"/>
  <c r="J1240" i="1"/>
  <c r="I1159" i="1"/>
  <c r="I1154" i="1"/>
  <c r="I1169" i="1"/>
  <c r="I1155" i="1"/>
  <c r="I1166" i="1"/>
  <c r="I1178" i="1"/>
  <c r="I1167" i="1"/>
  <c r="I1183" i="1"/>
  <c r="J1233" i="1"/>
  <c r="N1233" i="1" s="1"/>
  <c r="I1192" i="1"/>
  <c r="I1201" i="1"/>
  <c r="I1191" i="1"/>
  <c r="I1223" i="1"/>
  <c r="J1144" i="1"/>
  <c r="J1128" i="1"/>
  <c r="J1112" i="1"/>
  <c r="I1210" i="1"/>
  <c r="J1183" i="1"/>
  <c r="N1183" i="1" s="1"/>
  <c r="I1196" i="1"/>
  <c r="L1196" i="1" s="1"/>
  <c r="J1195" i="1"/>
  <c r="N1195" i="1" s="1"/>
  <c r="J1170" i="1"/>
  <c r="J1224" i="1"/>
  <c r="I1182" i="1"/>
  <c r="I1173" i="1"/>
  <c r="I1193" i="1"/>
  <c r="I1149" i="1"/>
  <c r="J1148" i="1"/>
  <c r="I1147" i="1"/>
  <c r="I1228" i="1"/>
  <c r="K1228" i="1" s="1"/>
  <c r="I1131" i="1"/>
  <c r="I1164" i="1"/>
  <c r="I1197" i="1"/>
  <c r="J1156" i="1"/>
  <c r="N1156" i="1" s="1"/>
  <c r="J1236" i="1"/>
  <c r="I1184" i="1"/>
  <c r="J1185" i="1"/>
  <c r="I1156" i="1"/>
  <c r="J1201" i="1"/>
  <c r="N1201" i="1" s="1"/>
  <c r="I1101" i="1"/>
  <c r="J1182" i="1"/>
  <c r="I1174" i="1"/>
  <c r="I1158" i="1"/>
  <c r="I1187" i="1"/>
  <c r="I1225" i="1"/>
  <c r="I1233" i="1"/>
  <c r="I1214" i="1"/>
  <c r="J1166" i="1"/>
  <c r="J1179" i="1"/>
  <c r="J1200" i="1"/>
  <c r="J1228" i="1"/>
  <c r="J1186" i="1"/>
  <c r="I1171" i="1"/>
  <c r="I1219" i="1"/>
  <c r="I1199" i="1"/>
  <c r="I1117" i="1"/>
  <c r="J1116" i="1"/>
  <c r="I1115" i="1"/>
  <c r="J1100" i="1"/>
  <c r="J1167" i="1"/>
  <c r="N1167" i="1" s="1"/>
  <c r="J1235" i="1"/>
  <c r="N1235" i="1" s="1"/>
  <c r="J1211" i="1"/>
  <c r="J1238" i="1"/>
  <c r="I1227" i="1"/>
  <c r="I1133" i="1"/>
  <c r="J1132" i="1"/>
  <c r="N1132" i="1" s="1"/>
  <c r="I1092" i="1"/>
  <c r="I1096" i="1"/>
  <c r="J1078" i="1"/>
  <c r="J1096" i="1"/>
  <c r="J1092" i="1"/>
  <c r="I1129" i="1"/>
  <c r="I1151" i="1"/>
  <c r="J1089" i="1"/>
  <c r="J1075" i="1"/>
  <c r="I1081" i="1"/>
  <c r="J1087" i="1"/>
  <c r="J1093" i="1"/>
  <c r="J1123" i="1"/>
  <c r="I1152" i="1"/>
  <c r="I1083" i="1"/>
  <c r="J1125" i="1"/>
  <c r="J1098" i="1"/>
  <c r="I1112" i="1"/>
  <c r="I1153" i="1"/>
  <c r="I1110" i="1"/>
  <c r="I1126" i="1"/>
  <c r="I1142" i="1"/>
  <c r="I1100" i="1"/>
  <c r="J1115" i="1"/>
  <c r="J1131" i="1"/>
  <c r="J1147" i="1"/>
  <c r="J1111" i="1"/>
  <c r="J1127" i="1"/>
  <c r="J1143" i="1"/>
  <c r="I1088" i="1"/>
  <c r="I1095" i="1"/>
  <c r="J1081" i="1"/>
  <c r="I1111" i="1"/>
  <c r="J1095" i="1"/>
  <c r="J1138" i="1"/>
  <c r="I1079" i="1"/>
  <c r="J1094" i="1"/>
  <c r="I1077" i="1"/>
  <c r="J1083" i="1"/>
  <c r="J1088" i="1"/>
  <c r="N1088" i="1" s="1"/>
  <c r="I1109" i="1"/>
  <c r="I1128" i="1"/>
  <c r="J1153" i="1"/>
  <c r="J1086" i="1"/>
  <c r="N1086" i="1" s="1"/>
  <c r="I1141" i="1"/>
  <c r="J1099" i="1"/>
  <c r="I1123" i="1"/>
  <c r="J1102" i="1"/>
  <c r="N1102" i="1" s="1"/>
  <c r="J1118" i="1"/>
  <c r="J1134" i="1"/>
  <c r="I1148" i="1"/>
  <c r="J1101" i="1"/>
  <c r="J1117" i="1"/>
  <c r="J1133" i="1"/>
  <c r="J1149" i="1"/>
  <c r="J1113" i="1"/>
  <c r="J1129" i="1"/>
  <c r="J1145" i="1"/>
  <c r="I1090" i="1"/>
  <c r="I1114" i="1"/>
  <c r="I1094" i="1"/>
  <c r="J1085" i="1"/>
  <c r="I1074" i="1"/>
  <c r="J1097" i="1"/>
  <c r="J1139" i="1"/>
  <c r="J1082" i="1"/>
  <c r="N1082" i="1" s="1"/>
  <c r="I1107" i="1"/>
  <c r="J1079" i="1"/>
  <c r="J1084" i="1"/>
  <c r="I1089" i="1"/>
  <c r="I1113" i="1"/>
  <c r="I1139" i="1"/>
  <c r="J1074" i="1"/>
  <c r="N1074" i="1" s="1"/>
  <c r="J1090" i="1"/>
  <c r="J1076" i="1"/>
  <c r="J1106" i="1"/>
  <c r="N1106" i="1" s="1"/>
  <c r="I1127" i="1"/>
  <c r="J1103" i="1"/>
  <c r="J1119" i="1"/>
  <c r="J1135" i="1"/>
  <c r="I1150" i="1"/>
  <c r="I1104" i="1"/>
  <c r="I1120" i="1"/>
  <c r="I1136" i="1"/>
  <c r="I1102" i="1"/>
  <c r="I1118" i="1"/>
  <c r="I1134" i="1"/>
  <c r="I1082" i="1"/>
  <c r="I1097" i="1"/>
  <c r="I1075" i="1"/>
  <c r="I1144" i="1"/>
  <c r="I1085" i="1"/>
  <c r="J1077" i="1"/>
  <c r="J1141" i="1"/>
  <c r="J1151" i="1"/>
  <c r="J1110" i="1"/>
  <c r="N1110" i="1" s="1"/>
  <c r="I1098" i="1"/>
  <c r="J1152" i="1"/>
  <c r="N1152" i="1" s="1"/>
  <c r="I1132" i="1"/>
  <c r="J1071" i="1"/>
  <c r="I1068" i="1"/>
  <c r="J1066" i="1"/>
  <c r="J1063" i="1"/>
  <c r="I1060" i="1"/>
  <c r="J1058" i="1"/>
  <c r="J1055" i="1"/>
  <c r="I1052" i="1"/>
  <c r="J1050" i="1"/>
  <c r="N1050" i="1" s="1"/>
  <c r="J1047" i="1"/>
  <c r="I1044" i="1"/>
  <c r="J1042" i="1"/>
  <c r="J1039" i="1"/>
  <c r="I1036" i="1"/>
  <c r="J1034" i="1"/>
  <c r="J1031" i="1"/>
  <c r="I1028" i="1"/>
  <c r="J1026" i="1"/>
  <c r="J1023" i="1"/>
  <c r="I1016" i="1"/>
  <c r="I1014" i="1"/>
  <c r="I1012" i="1"/>
  <c r="I1004" i="1"/>
  <c r="J998" i="1"/>
  <c r="J990" i="1"/>
  <c r="N990" i="1" s="1"/>
  <c r="I1143" i="1"/>
  <c r="I1091" i="1"/>
  <c r="I1087" i="1"/>
  <c r="J1091" i="1"/>
  <c r="I1099" i="1"/>
  <c r="J1105" i="1"/>
  <c r="J1114" i="1"/>
  <c r="J1126" i="1"/>
  <c r="N1126" i="1" s="1"/>
  <c r="I1138" i="1"/>
  <c r="I1080" i="1"/>
  <c r="I1124" i="1"/>
  <c r="J1072" i="1"/>
  <c r="J1069" i="1"/>
  <c r="I1066" i="1"/>
  <c r="J1064" i="1"/>
  <c r="J1061" i="1"/>
  <c r="J1056" i="1"/>
  <c r="J1053" i="1"/>
  <c r="J1048" i="1"/>
  <c r="J1045" i="1"/>
  <c r="I1042" i="1"/>
  <c r="J1040" i="1"/>
  <c r="J1037" i="1"/>
  <c r="J1032" i="1"/>
  <c r="N1032" i="1" s="1"/>
  <c r="J1029" i="1"/>
  <c r="J1024" i="1"/>
  <c r="J1021" i="1"/>
  <c r="J1019" i="1"/>
  <c r="J1017" i="1"/>
  <c r="I1008" i="1"/>
  <c r="J996" i="1"/>
  <c r="J988" i="1"/>
  <c r="J1080" i="1"/>
  <c r="J1107" i="1"/>
  <c r="I1146" i="1"/>
  <c r="J1150" i="1"/>
  <c r="N1150" i="1" s="1"/>
  <c r="I1078" i="1"/>
  <c r="I1145" i="1"/>
  <c r="J1122" i="1"/>
  <c r="N1122" i="1" s="1"/>
  <c r="I1076" i="1"/>
  <c r="J1121" i="1"/>
  <c r="J1130" i="1"/>
  <c r="N1130" i="1" s="1"/>
  <c r="J1142" i="1"/>
  <c r="N1142" i="1" s="1"/>
  <c r="I1086" i="1"/>
  <c r="I1106" i="1"/>
  <c r="I1130" i="1"/>
  <c r="I1084" i="1"/>
  <c r="I1116" i="1"/>
  <c r="J1146" i="1"/>
  <c r="N1146" i="1" s="1"/>
  <c r="J1070" i="1"/>
  <c r="J1067" i="1"/>
  <c r="J1062" i="1"/>
  <c r="N1062" i="1" s="1"/>
  <c r="J1059" i="1"/>
  <c r="J1054" i="1"/>
  <c r="N1054" i="1" s="1"/>
  <c r="J1051" i="1"/>
  <c r="J1046" i="1"/>
  <c r="N1046" i="1" s="1"/>
  <c r="J1043" i="1"/>
  <c r="J1038" i="1"/>
  <c r="J1035" i="1"/>
  <c r="J1030" i="1"/>
  <c r="N1030" i="1" s="1"/>
  <c r="J1027" i="1"/>
  <c r="J1022" i="1"/>
  <c r="N1022" i="1" s="1"/>
  <c r="J1015" i="1"/>
  <c r="J1013" i="1"/>
  <c r="J1011" i="1"/>
  <c r="J1009" i="1"/>
  <c r="J994" i="1"/>
  <c r="J986" i="1"/>
  <c r="N986" i="1" s="1"/>
  <c r="J1109" i="1"/>
  <c r="J1137" i="1"/>
  <c r="I1093" i="1"/>
  <c r="I1122" i="1"/>
  <c r="I1140" i="1"/>
  <c r="J1060" i="1"/>
  <c r="J1057" i="1"/>
  <c r="I1054" i="1"/>
  <c r="J1028" i="1"/>
  <c r="N1028" i="1" s="1"/>
  <c r="J1025" i="1"/>
  <c r="I1022" i="1"/>
  <c r="I994" i="1"/>
  <c r="I1020" i="1"/>
  <c r="I1108" i="1"/>
  <c r="J1068" i="1"/>
  <c r="N1068" i="1" s="1"/>
  <c r="J1065" i="1"/>
  <c r="I1062" i="1"/>
  <c r="J1036" i="1"/>
  <c r="N1036" i="1" s="1"/>
  <c r="J1033" i="1"/>
  <c r="I1030" i="1"/>
  <c r="J1049" i="1"/>
  <c r="J1007" i="1"/>
  <c r="J992" i="1"/>
  <c r="I1070" i="1"/>
  <c r="J1044" i="1"/>
  <c r="J1041" i="1"/>
  <c r="I1038" i="1"/>
  <c r="I1018" i="1"/>
  <c r="J1001" i="1"/>
  <c r="J1052" i="1"/>
  <c r="N1052" i="1" s="1"/>
  <c r="I1046" i="1"/>
  <c r="I986" i="1"/>
  <c r="I1011" i="1"/>
  <c r="I996" i="1"/>
  <c r="I1050" i="1"/>
  <c r="I1032" i="1"/>
  <c r="I1048" i="1"/>
  <c r="I1026" i="1"/>
  <c r="I992" i="1"/>
  <c r="I1034" i="1"/>
  <c r="J991" i="1"/>
  <c r="J1008" i="1"/>
  <c r="N1008" i="1" s="1"/>
  <c r="I1029" i="1"/>
  <c r="I1061" i="1"/>
  <c r="I1002" i="1"/>
  <c r="J1012" i="1"/>
  <c r="I1031" i="1"/>
  <c r="I1063" i="1"/>
  <c r="I1000" i="1"/>
  <c r="J1020" i="1"/>
  <c r="N1020" i="1" s="1"/>
  <c r="I1049" i="1"/>
  <c r="J980" i="1"/>
  <c r="N980" i="1" s="1"/>
  <c r="I903" i="1"/>
  <c r="I1021" i="1"/>
  <c r="I995" i="1"/>
  <c r="I967" i="1"/>
  <c r="I941" i="1"/>
  <c r="I924" i="1"/>
  <c r="I1035" i="1"/>
  <c r="J1005" i="1"/>
  <c r="I1056" i="1"/>
  <c r="J997" i="1"/>
  <c r="I1051" i="1"/>
  <c r="I1064" i="1"/>
  <c r="I998" i="1"/>
  <c r="I1040" i="1"/>
  <c r="J999" i="1"/>
  <c r="I1017" i="1"/>
  <c r="I1037" i="1"/>
  <c r="I1069" i="1"/>
  <c r="J1004" i="1"/>
  <c r="J1014" i="1"/>
  <c r="N1014" i="1" s="1"/>
  <c r="I1039" i="1"/>
  <c r="I1071" i="1"/>
  <c r="I1007" i="1"/>
  <c r="I1025" i="1"/>
  <c r="I1057" i="1"/>
  <c r="I989" i="1"/>
  <c r="I993" i="1"/>
  <c r="I997" i="1"/>
  <c r="I983" i="1"/>
  <c r="I973" i="1"/>
  <c r="J972" i="1"/>
  <c r="I971" i="1"/>
  <c r="I961" i="1"/>
  <c r="I951" i="1"/>
  <c r="J950" i="1"/>
  <c r="J948" i="1"/>
  <c r="N948" i="1" s="1"/>
  <c r="J934" i="1"/>
  <c r="J932" i="1"/>
  <c r="I1027" i="1"/>
  <c r="I991" i="1"/>
  <c r="I1005" i="1"/>
  <c r="I957" i="1"/>
  <c r="J956" i="1"/>
  <c r="I955" i="1"/>
  <c r="J942" i="1"/>
  <c r="I939" i="1"/>
  <c r="I1058" i="1"/>
  <c r="I1024" i="1"/>
  <c r="I1059" i="1"/>
  <c r="I1009" i="1"/>
  <c r="I990" i="1"/>
  <c r="I988" i="1"/>
  <c r="J1003" i="1"/>
  <c r="I1043" i="1"/>
  <c r="J1002" i="1"/>
  <c r="N1002" i="1" s="1"/>
  <c r="I1019" i="1"/>
  <c r="I1045" i="1"/>
  <c r="J993" i="1"/>
  <c r="I1006" i="1"/>
  <c r="J1016" i="1"/>
  <c r="N1016" i="1" s="1"/>
  <c r="I1047" i="1"/>
  <c r="J987" i="1"/>
  <c r="I1010" i="1"/>
  <c r="I1033" i="1"/>
  <c r="I1065" i="1"/>
  <c r="I1073" i="1"/>
  <c r="J964" i="1"/>
  <c r="I1067" i="1"/>
  <c r="I1001" i="1"/>
  <c r="I1013" i="1"/>
  <c r="I1015" i="1"/>
  <c r="J989" i="1"/>
  <c r="I1003" i="1"/>
  <c r="I1072" i="1"/>
  <c r="J1006" i="1"/>
  <c r="N1006" i="1" s="1"/>
  <c r="I1053" i="1"/>
  <c r="J1000" i="1"/>
  <c r="N1000" i="1" s="1"/>
  <c r="J1010" i="1"/>
  <c r="N1010" i="1" s="1"/>
  <c r="I1023" i="1"/>
  <c r="I1055" i="1"/>
  <c r="J995" i="1"/>
  <c r="J1018" i="1"/>
  <c r="I1041" i="1"/>
  <c r="J1073" i="1"/>
  <c r="I987" i="1"/>
  <c r="I999" i="1"/>
  <c r="I977" i="1"/>
  <c r="I943" i="1"/>
  <c r="J940" i="1"/>
  <c r="I925" i="1"/>
  <c r="I917" i="1"/>
  <c r="I916" i="1"/>
  <c r="I909" i="1"/>
  <c r="I901" i="1"/>
  <c r="I912" i="1"/>
  <c r="I935" i="1"/>
  <c r="I975" i="1"/>
  <c r="I905" i="1"/>
  <c r="I933" i="1"/>
  <c r="I953" i="1"/>
  <c r="I985" i="1"/>
  <c r="I960" i="1"/>
  <c r="J911" i="1"/>
  <c r="J919" i="1"/>
  <c r="J927" i="1"/>
  <c r="J944" i="1"/>
  <c r="N944" i="1" s="1"/>
  <c r="I956" i="1"/>
  <c r="J969" i="1"/>
  <c r="J903" i="1"/>
  <c r="I970" i="1"/>
  <c r="J899" i="1"/>
  <c r="I911" i="1"/>
  <c r="J939" i="1"/>
  <c r="J955" i="1"/>
  <c r="J967" i="1"/>
  <c r="I915" i="1"/>
  <c r="I980" i="1"/>
  <c r="I910" i="1"/>
  <c r="I918" i="1"/>
  <c r="I926" i="1"/>
  <c r="J937" i="1"/>
  <c r="J953" i="1"/>
  <c r="I972" i="1"/>
  <c r="J985" i="1"/>
  <c r="J930" i="1"/>
  <c r="J966" i="1"/>
  <c r="N966" i="1" s="1"/>
  <c r="J982" i="1"/>
  <c r="J913" i="1"/>
  <c r="L913" i="1" s="1"/>
  <c r="J921" i="1"/>
  <c r="J929" i="1"/>
  <c r="K929" i="1" s="1"/>
  <c r="I938" i="1"/>
  <c r="J960" i="1"/>
  <c r="N960" i="1" s="1"/>
  <c r="J976" i="1"/>
  <c r="J902" i="1"/>
  <c r="N902" i="1" s="1"/>
  <c r="J876" i="1"/>
  <c r="I963" i="1"/>
  <c r="I929" i="1"/>
  <c r="I981" i="1"/>
  <c r="J918" i="1"/>
  <c r="I934" i="1"/>
  <c r="I968" i="1"/>
  <c r="J961" i="1"/>
  <c r="I908" i="1"/>
  <c r="I954" i="1"/>
  <c r="I904" i="1"/>
  <c r="J915" i="1"/>
  <c r="J936" i="1"/>
  <c r="N936" i="1" s="1"/>
  <c r="J965" i="1"/>
  <c r="I936" i="1"/>
  <c r="I895" i="1"/>
  <c r="J884" i="1"/>
  <c r="I883" i="1"/>
  <c r="I851" i="1"/>
  <c r="I928" i="1"/>
  <c r="I947" i="1"/>
  <c r="I979" i="1"/>
  <c r="I913" i="1"/>
  <c r="I937" i="1"/>
  <c r="I965" i="1"/>
  <c r="I923" i="1"/>
  <c r="J983" i="1"/>
  <c r="I914" i="1"/>
  <c r="I922" i="1"/>
  <c r="I930" i="1"/>
  <c r="J945" i="1"/>
  <c r="I958" i="1"/>
  <c r="I978" i="1"/>
  <c r="J935" i="1"/>
  <c r="J973" i="1"/>
  <c r="I900" i="1"/>
  <c r="I919" i="1"/>
  <c r="J941" i="1"/>
  <c r="J957" i="1"/>
  <c r="I976" i="1"/>
  <c r="J946" i="1"/>
  <c r="I898" i="1"/>
  <c r="J912" i="1"/>
  <c r="J920" i="1"/>
  <c r="N920" i="1" s="1"/>
  <c r="J928" i="1"/>
  <c r="I940" i="1"/>
  <c r="I962" i="1"/>
  <c r="I974" i="1"/>
  <c r="J898" i="1"/>
  <c r="N898" i="1" s="1"/>
  <c r="J904" i="1"/>
  <c r="N904" i="1" s="1"/>
  <c r="J970" i="1"/>
  <c r="I889" i="1"/>
  <c r="I879" i="1"/>
  <c r="I869" i="1"/>
  <c r="J868" i="1"/>
  <c r="I867" i="1"/>
  <c r="I857" i="1"/>
  <c r="I899" i="1"/>
  <c r="I906" i="1"/>
  <c r="I984" i="1"/>
  <c r="J909" i="1"/>
  <c r="K909" i="1" s="1"/>
  <c r="J900" i="1"/>
  <c r="J962" i="1"/>
  <c r="I885" i="1"/>
  <c r="I873" i="1"/>
  <c r="I843" i="1"/>
  <c r="I907" i="1"/>
  <c r="I959" i="1"/>
  <c r="I920" i="1"/>
  <c r="I921" i="1"/>
  <c r="L921" i="1" s="1"/>
  <c r="I945" i="1"/>
  <c r="I969" i="1"/>
  <c r="J933" i="1"/>
  <c r="J901" i="1"/>
  <c r="J916" i="1"/>
  <c r="J924" i="1"/>
  <c r="N924" i="1" s="1"/>
  <c r="I932" i="1"/>
  <c r="I948" i="1"/>
  <c r="J959" i="1"/>
  <c r="J979" i="1"/>
  <c r="J949" i="1"/>
  <c r="I982" i="1"/>
  <c r="J907" i="1"/>
  <c r="I927" i="1"/>
  <c r="J943" i="1"/>
  <c r="I964" i="1"/>
  <c r="J977" i="1"/>
  <c r="J951" i="1"/>
  <c r="J905" i="1"/>
  <c r="J914" i="1"/>
  <c r="N914" i="1" s="1"/>
  <c r="J922" i="1"/>
  <c r="J931" i="1"/>
  <c r="I942" i="1"/>
  <c r="J963" i="1"/>
  <c r="J975" i="1"/>
  <c r="J908" i="1"/>
  <c r="N908" i="1" s="1"/>
  <c r="I944" i="1"/>
  <c r="J958" i="1"/>
  <c r="N958" i="1" s="1"/>
  <c r="J974" i="1"/>
  <c r="N974" i="1" s="1"/>
  <c r="J917" i="1"/>
  <c r="N916" i="1" s="1"/>
  <c r="J925" i="1"/>
  <c r="L925" i="1" s="1"/>
  <c r="J952" i="1"/>
  <c r="N952" i="1" s="1"/>
  <c r="J968" i="1"/>
  <c r="J984" i="1"/>
  <c r="J906" i="1"/>
  <c r="N906" i="1" s="1"/>
  <c r="J954" i="1"/>
  <c r="N954" i="1" s="1"/>
  <c r="J978" i="1"/>
  <c r="J892" i="1"/>
  <c r="J860" i="1"/>
  <c r="J844" i="1"/>
  <c r="N844" i="1" s="1"/>
  <c r="I931" i="1"/>
  <c r="I949" i="1"/>
  <c r="J947" i="1"/>
  <c r="J910" i="1"/>
  <c r="N910" i="1" s="1"/>
  <c r="J926" i="1"/>
  <c r="N926" i="1" s="1"/>
  <c r="I950" i="1"/>
  <c r="J981" i="1"/>
  <c r="I902" i="1"/>
  <c r="J938" i="1"/>
  <c r="N938" i="1" s="1"/>
  <c r="I966" i="1"/>
  <c r="J971" i="1"/>
  <c r="J923" i="1"/>
  <c r="I952" i="1"/>
  <c r="I946" i="1"/>
  <c r="I863" i="1"/>
  <c r="I853" i="1"/>
  <c r="J852" i="1"/>
  <c r="I855" i="1"/>
  <c r="I887" i="1"/>
  <c r="I865" i="1"/>
  <c r="I897" i="1"/>
  <c r="J867" i="1"/>
  <c r="I819" i="1"/>
  <c r="I827" i="1"/>
  <c r="L827" i="1" s="1"/>
  <c r="I835" i="1"/>
  <c r="J846" i="1"/>
  <c r="J864" i="1"/>
  <c r="J875" i="1"/>
  <c r="I896" i="1"/>
  <c r="I842" i="1"/>
  <c r="I816" i="1"/>
  <c r="I832" i="1"/>
  <c r="J850" i="1"/>
  <c r="J863" i="1"/>
  <c r="J882" i="1"/>
  <c r="I894" i="1"/>
  <c r="I834" i="1"/>
  <c r="J869" i="1"/>
  <c r="I817" i="1"/>
  <c r="I825" i="1"/>
  <c r="I833" i="1"/>
  <c r="I841" i="1"/>
  <c r="I852" i="1"/>
  <c r="J861" i="1"/>
  <c r="J881" i="1"/>
  <c r="J893" i="1"/>
  <c r="J823" i="1"/>
  <c r="J839" i="1"/>
  <c r="L839" i="1" s="1"/>
  <c r="I872" i="1"/>
  <c r="J894" i="1"/>
  <c r="J825" i="1"/>
  <c r="I874" i="1"/>
  <c r="J819" i="1"/>
  <c r="L819" i="1" s="1"/>
  <c r="J890" i="1"/>
  <c r="J764" i="1"/>
  <c r="J754" i="1"/>
  <c r="N754" i="1" s="1"/>
  <c r="J746" i="1"/>
  <c r="I859" i="1"/>
  <c r="I891" i="1"/>
  <c r="I877" i="1"/>
  <c r="I818" i="1"/>
  <c r="J879" i="1"/>
  <c r="J820" i="1"/>
  <c r="J828" i="1"/>
  <c r="J836" i="1"/>
  <c r="J847" i="1"/>
  <c r="J865" i="1"/>
  <c r="J877" i="1"/>
  <c r="J897" i="1"/>
  <c r="J857" i="1"/>
  <c r="I820" i="1"/>
  <c r="I836" i="1"/>
  <c r="J851" i="1"/>
  <c r="J872" i="1"/>
  <c r="J883" i="1"/>
  <c r="J895" i="1"/>
  <c r="I844" i="1"/>
  <c r="J878" i="1"/>
  <c r="N878" i="1" s="1"/>
  <c r="J818" i="1"/>
  <c r="N818" i="1" s="1"/>
  <c r="J826" i="1"/>
  <c r="N826" i="1" s="1"/>
  <c r="J834" i="1"/>
  <c r="J845" i="1"/>
  <c r="I854" i="1"/>
  <c r="J870" i="1"/>
  <c r="I886" i="1"/>
  <c r="J827" i="1"/>
  <c r="J842" i="1"/>
  <c r="I864" i="1"/>
  <c r="J815" i="1"/>
  <c r="J831" i="1"/>
  <c r="I845" i="1"/>
  <c r="I866" i="1"/>
  <c r="J829" i="1"/>
  <c r="I884" i="1"/>
  <c r="I803" i="1"/>
  <c r="I795" i="1"/>
  <c r="I787" i="1"/>
  <c r="I779" i="1"/>
  <c r="J768" i="1"/>
  <c r="I754" i="1"/>
  <c r="J752" i="1"/>
  <c r="I746" i="1"/>
  <c r="J744" i="1"/>
  <c r="I742" i="1"/>
  <c r="I734" i="1"/>
  <c r="I861" i="1"/>
  <c r="J889" i="1"/>
  <c r="J843" i="1"/>
  <c r="I878" i="1"/>
  <c r="I826" i="1"/>
  <c r="J866" i="1"/>
  <c r="N866" i="1" s="1"/>
  <c r="J822" i="1"/>
  <c r="N822" i="1" s="1"/>
  <c r="J830" i="1"/>
  <c r="J849" i="1"/>
  <c r="J859" i="1"/>
  <c r="J891" i="1"/>
  <c r="J835" i="1"/>
  <c r="K835" i="1" s="1"/>
  <c r="I880" i="1"/>
  <c r="J821" i="1"/>
  <c r="I850" i="1"/>
  <c r="J896" i="1"/>
  <c r="N896" i="1" s="1"/>
  <c r="I868" i="1"/>
  <c r="I807" i="1"/>
  <c r="I791" i="1"/>
  <c r="I783" i="1"/>
  <c r="I775" i="1"/>
  <c r="J756" i="1"/>
  <c r="I750" i="1"/>
  <c r="J748" i="1"/>
  <c r="I871" i="1"/>
  <c r="I849" i="1"/>
  <c r="I881" i="1"/>
  <c r="I838" i="1"/>
  <c r="I815" i="1"/>
  <c r="K815" i="1" s="1"/>
  <c r="I823" i="1"/>
  <c r="L823" i="1" s="1"/>
  <c r="I831" i="1"/>
  <c r="K831" i="1" s="1"/>
  <c r="I839" i="1"/>
  <c r="J854" i="1"/>
  <c r="I870" i="1"/>
  <c r="J886" i="1"/>
  <c r="N886" i="1" s="1"/>
  <c r="I822" i="1"/>
  <c r="I860" i="1"/>
  <c r="I824" i="1"/>
  <c r="I840" i="1"/>
  <c r="J853" i="1"/>
  <c r="J873" i="1"/>
  <c r="J885" i="1"/>
  <c r="I814" i="1"/>
  <c r="J856" i="1"/>
  <c r="N856" i="1" s="1"/>
  <c r="J888" i="1"/>
  <c r="N888" i="1" s="1"/>
  <c r="I821" i="1"/>
  <c r="L821" i="1" s="1"/>
  <c r="I829" i="1"/>
  <c r="I837" i="1"/>
  <c r="J848" i="1"/>
  <c r="N848" i="1" s="1"/>
  <c r="J858" i="1"/>
  <c r="N858" i="1" s="1"/>
  <c r="J871" i="1"/>
  <c r="I890" i="1"/>
  <c r="J833" i="1"/>
  <c r="L833" i="1" s="1"/>
  <c r="I847" i="1"/>
  <c r="I856" i="1"/>
  <c r="I888" i="1"/>
  <c r="J817" i="1"/>
  <c r="L817" i="1" s="1"/>
  <c r="J837" i="1"/>
  <c r="N836" i="1" s="1"/>
  <c r="I846" i="1"/>
  <c r="I858" i="1"/>
  <c r="J841" i="1"/>
  <c r="N840" i="1" s="1"/>
  <c r="I876" i="1"/>
  <c r="J750" i="1"/>
  <c r="N750" i="1" s="1"/>
  <c r="I875" i="1"/>
  <c r="I893" i="1"/>
  <c r="I862" i="1"/>
  <c r="J816" i="1"/>
  <c r="N816" i="1" s="1"/>
  <c r="J824" i="1"/>
  <c r="J832" i="1"/>
  <c r="N832" i="1" s="1"/>
  <c r="J840" i="1"/>
  <c r="J855" i="1"/>
  <c r="J874" i="1"/>
  <c r="J887" i="1"/>
  <c r="I830" i="1"/>
  <c r="I828" i="1"/>
  <c r="J862" i="1"/>
  <c r="N862" i="1" s="1"/>
  <c r="I892" i="1"/>
  <c r="J814" i="1"/>
  <c r="N814" i="1" s="1"/>
  <c r="J838" i="1"/>
  <c r="N838" i="1" s="1"/>
  <c r="J880" i="1"/>
  <c r="N880" i="1" s="1"/>
  <c r="I848" i="1"/>
  <c r="I882" i="1"/>
  <c r="I799" i="1"/>
  <c r="J760" i="1"/>
  <c r="I730" i="1"/>
  <c r="I738" i="1"/>
  <c r="J736" i="1"/>
  <c r="J733" i="1"/>
  <c r="I756" i="1"/>
  <c r="J773" i="1"/>
  <c r="J734" i="1"/>
  <c r="N734" i="1" s="1"/>
  <c r="J755" i="1"/>
  <c r="I770" i="1"/>
  <c r="J795" i="1"/>
  <c r="I813" i="1"/>
  <c r="J763" i="1"/>
  <c r="J789" i="1"/>
  <c r="J740" i="1"/>
  <c r="I764" i="1"/>
  <c r="J785" i="1"/>
  <c r="I811" i="1"/>
  <c r="J738" i="1"/>
  <c r="I758" i="1"/>
  <c r="J775" i="1"/>
  <c r="J791" i="1"/>
  <c r="J807" i="1"/>
  <c r="J772" i="1"/>
  <c r="N772" i="1" s="1"/>
  <c r="J784" i="1"/>
  <c r="N784" i="1" s="1"/>
  <c r="J794" i="1"/>
  <c r="N794" i="1" s="1"/>
  <c r="J806" i="1"/>
  <c r="N806" i="1" s="1"/>
  <c r="J758" i="1"/>
  <c r="N758" i="1" s="1"/>
  <c r="J766" i="1"/>
  <c r="J786" i="1"/>
  <c r="J798" i="1"/>
  <c r="J808" i="1"/>
  <c r="N808" i="1" s="1"/>
  <c r="J780" i="1"/>
  <c r="J790" i="1"/>
  <c r="N790" i="1" s="1"/>
  <c r="J804" i="1"/>
  <c r="J668" i="1"/>
  <c r="J660" i="1"/>
  <c r="J652" i="1"/>
  <c r="J623" i="1"/>
  <c r="J609" i="1"/>
  <c r="J607" i="1"/>
  <c r="J593" i="1"/>
  <c r="J591" i="1"/>
  <c r="J577" i="1"/>
  <c r="J575" i="1"/>
  <c r="J759" i="1"/>
  <c r="J776" i="1"/>
  <c r="J800" i="1"/>
  <c r="N800" i="1" s="1"/>
  <c r="J792" i="1"/>
  <c r="J782" i="1"/>
  <c r="J810" i="1"/>
  <c r="J770" i="1"/>
  <c r="I736" i="1"/>
  <c r="I744" i="1"/>
  <c r="I781" i="1"/>
  <c r="J797" i="1"/>
  <c r="J739" i="1"/>
  <c r="I759" i="1"/>
  <c r="I773" i="1"/>
  <c r="I797" i="1"/>
  <c r="J741" i="1"/>
  <c r="J765" i="1"/>
  <c r="J805" i="1"/>
  <c r="J749" i="1"/>
  <c r="J767" i="1"/>
  <c r="J793" i="1"/>
  <c r="J730" i="1"/>
  <c r="I740" i="1"/>
  <c r="I760" i="1"/>
  <c r="L760" i="1" s="1"/>
  <c r="I777" i="1"/>
  <c r="I793" i="1"/>
  <c r="I809" i="1"/>
  <c r="I772" i="1"/>
  <c r="I784" i="1"/>
  <c r="I794" i="1"/>
  <c r="I806" i="1"/>
  <c r="I731" i="1"/>
  <c r="I735" i="1"/>
  <c r="I739" i="1"/>
  <c r="I743" i="1"/>
  <c r="I747" i="1"/>
  <c r="I751" i="1"/>
  <c r="I755" i="1"/>
  <c r="I786" i="1"/>
  <c r="I798" i="1"/>
  <c r="I808" i="1"/>
  <c r="I780" i="1"/>
  <c r="I790" i="1"/>
  <c r="I804" i="1"/>
  <c r="I761" i="1"/>
  <c r="I769" i="1"/>
  <c r="J666" i="1"/>
  <c r="N666" i="1" s="1"/>
  <c r="J658" i="1"/>
  <c r="J650" i="1"/>
  <c r="J629" i="1"/>
  <c r="J621" i="1"/>
  <c r="J619" i="1"/>
  <c r="J605" i="1"/>
  <c r="J603" i="1"/>
  <c r="J589" i="1"/>
  <c r="J587" i="1"/>
  <c r="J573" i="1"/>
  <c r="J571" i="1"/>
  <c r="J565" i="1"/>
  <c r="I748" i="1"/>
  <c r="I789" i="1"/>
  <c r="J813" i="1"/>
  <c r="J742" i="1"/>
  <c r="N742" i="1" s="1"/>
  <c r="I766" i="1"/>
  <c r="J779" i="1"/>
  <c r="J803" i="1"/>
  <c r="J745" i="1"/>
  <c r="J769" i="1"/>
  <c r="J732" i="1"/>
  <c r="N732" i="1" s="1"/>
  <c r="J757" i="1"/>
  <c r="J771" i="1"/>
  <c r="J801" i="1"/>
  <c r="I732" i="1"/>
  <c r="J743" i="1"/>
  <c r="I762" i="1"/>
  <c r="J783" i="1"/>
  <c r="J799" i="1"/>
  <c r="J788" i="1"/>
  <c r="N788" i="1" s="1"/>
  <c r="J812" i="1"/>
  <c r="N812" i="1" s="1"/>
  <c r="J778" i="1"/>
  <c r="J802" i="1"/>
  <c r="N802" i="1" s="1"/>
  <c r="J774" i="1"/>
  <c r="N774" i="1" s="1"/>
  <c r="J796" i="1"/>
  <c r="N796" i="1" s="1"/>
  <c r="J762" i="1"/>
  <c r="N762" i="1" s="1"/>
  <c r="I763" i="1"/>
  <c r="J747" i="1"/>
  <c r="J753" i="1"/>
  <c r="J777" i="1"/>
  <c r="I767" i="1"/>
  <c r="I800" i="1"/>
  <c r="I741" i="1"/>
  <c r="I757" i="1"/>
  <c r="I802" i="1"/>
  <c r="I796" i="1"/>
  <c r="I723" i="1"/>
  <c r="I672" i="1"/>
  <c r="J670" i="1"/>
  <c r="I658" i="1"/>
  <c r="I656" i="1"/>
  <c r="J654" i="1"/>
  <c r="I640" i="1"/>
  <c r="J613" i="1"/>
  <c r="I608" i="1"/>
  <c r="I606" i="1"/>
  <c r="J601" i="1"/>
  <c r="J581" i="1"/>
  <c r="I576" i="1"/>
  <c r="I574" i="1"/>
  <c r="I559" i="1"/>
  <c r="I805" i="1"/>
  <c r="J737" i="1"/>
  <c r="J735" i="1"/>
  <c r="I801" i="1"/>
  <c r="I776" i="1"/>
  <c r="I749" i="1"/>
  <c r="I774" i="1"/>
  <c r="I707" i="1"/>
  <c r="J676" i="1"/>
  <c r="I648" i="1"/>
  <c r="J646" i="1"/>
  <c r="I622" i="1"/>
  <c r="J617" i="1"/>
  <c r="J597" i="1"/>
  <c r="J811" i="1"/>
  <c r="I788" i="1"/>
  <c r="I737" i="1"/>
  <c r="I792" i="1"/>
  <c r="I771" i="1"/>
  <c r="J672" i="1"/>
  <c r="J611" i="1"/>
  <c r="I604" i="1"/>
  <c r="I594" i="1"/>
  <c r="J579" i="1"/>
  <c r="I572" i="1"/>
  <c r="J563" i="1"/>
  <c r="J557" i="1"/>
  <c r="I752" i="1"/>
  <c r="I768" i="1"/>
  <c r="L768" i="1" s="1"/>
  <c r="J781" i="1"/>
  <c r="J809" i="1"/>
  <c r="I785" i="1"/>
  <c r="I812" i="1"/>
  <c r="I745" i="1"/>
  <c r="I765" i="1"/>
  <c r="I810" i="1"/>
  <c r="I715" i="1"/>
  <c r="J664" i="1"/>
  <c r="J648" i="1"/>
  <c r="I644" i="1"/>
  <c r="I642" i="1"/>
  <c r="J633" i="1"/>
  <c r="I630" i="1"/>
  <c r="I620" i="1"/>
  <c r="J615" i="1"/>
  <c r="J595" i="1"/>
  <c r="I588" i="1"/>
  <c r="J583" i="1"/>
  <c r="I566" i="1"/>
  <c r="J787" i="1"/>
  <c r="I733" i="1"/>
  <c r="I778" i="1"/>
  <c r="I664" i="1"/>
  <c r="J662" i="1"/>
  <c r="N662" i="1" s="1"/>
  <c r="I590" i="1"/>
  <c r="J585" i="1"/>
  <c r="I570" i="1"/>
  <c r="J731" i="1"/>
  <c r="J761" i="1"/>
  <c r="J751" i="1"/>
  <c r="I753" i="1"/>
  <c r="I782" i="1"/>
  <c r="J656" i="1"/>
  <c r="J599" i="1"/>
  <c r="I610" i="1"/>
  <c r="I565" i="1"/>
  <c r="J614" i="1"/>
  <c r="N614" i="1" s="1"/>
  <c r="I629" i="1"/>
  <c r="K629" i="1" s="1"/>
  <c r="J687" i="1"/>
  <c r="I703" i="1"/>
  <c r="J561" i="1"/>
  <c r="I605" i="1"/>
  <c r="I660" i="1"/>
  <c r="I571" i="1"/>
  <c r="I598" i="1"/>
  <c r="J640" i="1"/>
  <c r="I705" i="1"/>
  <c r="I617" i="1"/>
  <c r="I646" i="1"/>
  <c r="I558" i="1"/>
  <c r="I592" i="1"/>
  <c r="I627" i="1"/>
  <c r="I589" i="1"/>
  <c r="I599" i="1"/>
  <c r="J675" i="1"/>
  <c r="I713" i="1"/>
  <c r="J564" i="1"/>
  <c r="I577" i="1"/>
  <c r="I593" i="1"/>
  <c r="I609" i="1"/>
  <c r="J628" i="1"/>
  <c r="N628" i="1" s="1"/>
  <c r="J709" i="1"/>
  <c r="J719" i="1"/>
  <c r="I564" i="1"/>
  <c r="J572" i="1"/>
  <c r="N572" i="1" s="1"/>
  <c r="I584" i="1"/>
  <c r="I595" i="1"/>
  <c r="J604" i="1"/>
  <c r="N604" i="1" s="1"/>
  <c r="I616" i="1"/>
  <c r="I628" i="1"/>
  <c r="I636" i="1"/>
  <c r="J707" i="1"/>
  <c r="J723" i="1"/>
  <c r="J655" i="1"/>
  <c r="J671" i="1"/>
  <c r="J569" i="1"/>
  <c r="K569" i="1" s="1"/>
  <c r="J625" i="1"/>
  <c r="I685" i="1"/>
  <c r="I641" i="1"/>
  <c r="I626" i="1"/>
  <c r="J651" i="1"/>
  <c r="J667" i="1"/>
  <c r="I693" i="1"/>
  <c r="I706" i="1"/>
  <c r="I722" i="1"/>
  <c r="J635" i="1"/>
  <c r="I643" i="1"/>
  <c r="J704" i="1"/>
  <c r="N704" i="1" s="1"/>
  <c r="J720" i="1"/>
  <c r="J653" i="1"/>
  <c r="N652" i="1" s="1"/>
  <c r="I657" i="1"/>
  <c r="J665" i="1"/>
  <c r="N664" i="1" s="1"/>
  <c r="I669" i="1"/>
  <c r="J681" i="1"/>
  <c r="J697" i="1"/>
  <c r="J718" i="1"/>
  <c r="N718" i="1" s="1"/>
  <c r="I674" i="1"/>
  <c r="J716" i="1"/>
  <c r="J684" i="1"/>
  <c r="J692" i="1"/>
  <c r="N692" i="1" s="1"/>
  <c r="J700" i="1"/>
  <c r="I679" i="1"/>
  <c r="J686" i="1"/>
  <c r="N686" i="1" s="1"/>
  <c r="I690" i="1"/>
  <c r="I695" i="1"/>
  <c r="J702" i="1"/>
  <c r="I541" i="1"/>
  <c r="I533" i="1"/>
  <c r="I525" i="1"/>
  <c r="I517" i="1"/>
  <c r="I505" i="1"/>
  <c r="J496" i="1"/>
  <c r="J495" i="1"/>
  <c r="I494" i="1"/>
  <c r="J492" i="1"/>
  <c r="J488" i="1"/>
  <c r="N488" i="1" s="1"/>
  <c r="J487" i="1"/>
  <c r="I486" i="1"/>
  <c r="J484" i="1"/>
  <c r="J480" i="1"/>
  <c r="N480" i="1" s="1"/>
  <c r="J479" i="1"/>
  <c r="I478" i="1"/>
  <c r="J476" i="1"/>
  <c r="J472" i="1"/>
  <c r="N472" i="1" s="1"/>
  <c r="J471" i="1"/>
  <c r="I470" i="1"/>
  <c r="J468" i="1"/>
  <c r="J464" i="1"/>
  <c r="J463" i="1"/>
  <c r="I462" i="1"/>
  <c r="J460" i="1"/>
  <c r="J456" i="1"/>
  <c r="N456" i="1" s="1"/>
  <c r="J455" i="1"/>
  <c r="I454" i="1"/>
  <c r="J452" i="1"/>
  <c r="J448" i="1"/>
  <c r="J447" i="1"/>
  <c r="I446" i="1"/>
  <c r="J444" i="1"/>
  <c r="J438" i="1"/>
  <c r="N438" i="1" s="1"/>
  <c r="J437" i="1"/>
  <c r="I436" i="1"/>
  <c r="J430" i="1"/>
  <c r="J429" i="1"/>
  <c r="I428" i="1"/>
  <c r="J423" i="1"/>
  <c r="J422" i="1"/>
  <c r="I421" i="1"/>
  <c r="J418" i="1"/>
  <c r="I417" i="1"/>
  <c r="J413" i="1"/>
  <c r="J409" i="1"/>
  <c r="J404" i="1"/>
  <c r="I403" i="1"/>
  <c r="J400" i="1"/>
  <c r="I399" i="1"/>
  <c r="I395" i="1"/>
  <c r="J393" i="1"/>
  <c r="J390" i="1"/>
  <c r="I387" i="1"/>
  <c r="J385" i="1"/>
  <c r="J382" i="1"/>
  <c r="I379" i="1"/>
  <c r="J377" i="1"/>
  <c r="J374" i="1"/>
  <c r="J364" i="1"/>
  <c r="J363" i="1"/>
  <c r="I362" i="1"/>
  <c r="I361" i="1"/>
  <c r="J356" i="1"/>
  <c r="J355" i="1"/>
  <c r="I354" i="1"/>
  <c r="I353" i="1"/>
  <c r="J346" i="1"/>
  <c r="J345" i="1"/>
  <c r="I344" i="1"/>
  <c r="I343" i="1"/>
  <c r="J338" i="1"/>
  <c r="J337" i="1"/>
  <c r="I336" i="1"/>
  <c r="I335" i="1"/>
  <c r="J330" i="1"/>
  <c r="J329" i="1"/>
  <c r="I328" i="1"/>
  <c r="I327" i="1"/>
  <c r="J322" i="1"/>
  <c r="J321" i="1"/>
  <c r="I320" i="1"/>
  <c r="I319" i="1"/>
  <c r="J314" i="1"/>
  <c r="J313" i="1"/>
  <c r="I312" i="1"/>
  <c r="I311" i="1"/>
  <c r="J306" i="1"/>
  <c r="J305" i="1"/>
  <c r="I304" i="1"/>
  <c r="I303" i="1"/>
  <c r="J298" i="1"/>
  <c r="J297" i="1"/>
  <c r="I296" i="1"/>
  <c r="I295" i="1"/>
  <c r="J290" i="1"/>
  <c r="J289" i="1"/>
  <c r="I288" i="1"/>
  <c r="I287" i="1"/>
  <c r="I666" i="1"/>
  <c r="J582" i="1"/>
  <c r="N582" i="1" s="1"/>
  <c r="I614" i="1"/>
  <c r="I662" i="1"/>
  <c r="J691" i="1"/>
  <c r="J721" i="1"/>
  <c r="J578" i="1"/>
  <c r="N578" i="1" s="1"/>
  <c r="J612" i="1"/>
  <c r="N612" i="1" s="1"/>
  <c r="I556" i="1"/>
  <c r="J576" i="1"/>
  <c r="I601" i="1"/>
  <c r="I654" i="1"/>
  <c r="I719" i="1"/>
  <c r="J624" i="1"/>
  <c r="N624" i="1" s="1"/>
  <c r="J683" i="1"/>
  <c r="J568" i="1"/>
  <c r="J610" i="1"/>
  <c r="N610" i="1" s="1"/>
  <c r="J729" i="1"/>
  <c r="J594" i="1"/>
  <c r="N594" i="1" s="1"/>
  <c r="I621" i="1"/>
  <c r="I675" i="1"/>
  <c r="I727" i="1"/>
  <c r="J567" i="1"/>
  <c r="J584" i="1"/>
  <c r="N584" i="1" s="1"/>
  <c r="J600" i="1"/>
  <c r="N600" i="1" s="1"/>
  <c r="J616" i="1"/>
  <c r="N616" i="1" s="1"/>
  <c r="J632" i="1"/>
  <c r="N632" i="1" s="1"/>
  <c r="I711" i="1"/>
  <c r="J727" i="1"/>
  <c r="J566" i="1"/>
  <c r="J574" i="1"/>
  <c r="N574" i="1" s="1"/>
  <c r="I586" i="1"/>
  <c r="I597" i="1"/>
  <c r="J606" i="1"/>
  <c r="N606" i="1" s="1"/>
  <c r="I618" i="1"/>
  <c r="J630" i="1"/>
  <c r="J642" i="1"/>
  <c r="I709" i="1"/>
  <c r="I725" i="1"/>
  <c r="I655" i="1"/>
  <c r="I671" i="1"/>
  <c r="I625" i="1"/>
  <c r="I631" i="1"/>
  <c r="I651" i="1"/>
  <c r="I667" i="1"/>
  <c r="J701" i="1"/>
  <c r="J714" i="1"/>
  <c r="N714" i="1" s="1"/>
  <c r="I635" i="1"/>
  <c r="I704" i="1"/>
  <c r="I720" i="1"/>
  <c r="J649" i="1"/>
  <c r="N648" i="1" s="1"/>
  <c r="I653" i="1"/>
  <c r="J661" i="1"/>
  <c r="N660" i="1" s="1"/>
  <c r="I665" i="1"/>
  <c r="I681" i="1"/>
  <c r="I697" i="1"/>
  <c r="I718" i="1"/>
  <c r="J674" i="1"/>
  <c r="N674" i="1" s="1"/>
  <c r="I716" i="1"/>
  <c r="I684" i="1"/>
  <c r="I692" i="1"/>
  <c r="I700" i="1"/>
  <c r="J682" i="1"/>
  <c r="N682" i="1" s="1"/>
  <c r="I686" i="1"/>
  <c r="I691" i="1"/>
  <c r="J698" i="1"/>
  <c r="I702" i="1"/>
  <c r="J553" i="1"/>
  <c r="J551" i="1"/>
  <c r="J549" i="1"/>
  <c r="J547" i="1"/>
  <c r="J545" i="1"/>
  <c r="J440" i="1"/>
  <c r="J439" i="1"/>
  <c r="J432" i="1"/>
  <c r="J431" i="1"/>
  <c r="J424" i="1"/>
  <c r="J419" i="1"/>
  <c r="J415" i="1"/>
  <c r="J414" i="1"/>
  <c r="J410" i="1"/>
  <c r="J405" i="1"/>
  <c r="J401" i="1"/>
  <c r="J396" i="1"/>
  <c r="J391" i="1"/>
  <c r="J388" i="1"/>
  <c r="J383" i="1"/>
  <c r="J380" i="1"/>
  <c r="J375" i="1"/>
  <c r="J368" i="1"/>
  <c r="J365" i="1"/>
  <c r="J358" i="1"/>
  <c r="J357" i="1"/>
  <c r="J350" i="1"/>
  <c r="J348" i="1"/>
  <c r="J347" i="1"/>
  <c r="J340" i="1"/>
  <c r="J339" i="1"/>
  <c r="J332" i="1"/>
  <c r="J331" i="1"/>
  <c r="J324" i="1"/>
  <c r="J323" i="1"/>
  <c r="J316" i="1"/>
  <c r="N316" i="1" s="1"/>
  <c r="J315" i="1"/>
  <c r="J308" i="1"/>
  <c r="J307" i="1"/>
  <c r="J300" i="1"/>
  <c r="N300" i="1" s="1"/>
  <c r="J299" i="1"/>
  <c r="J292" i="1"/>
  <c r="J291" i="1"/>
  <c r="J284" i="1"/>
  <c r="N284" i="1" s="1"/>
  <c r="I568" i="1"/>
  <c r="I582" i="1"/>
  <c r="I619" i="1"/>
  <c r="I676" i="1"/>
  <c r="J699" i="1"/>
  <c r="I721" i="1"/>
  <c r="J580" i="1"/>
  <c r="N580" i="1" s="1"/>
  <c r="I612" i="1"/>
  <c r="J559" i="1"/>
  <c r="I578" i="1"/>
  <c r="I603" i="1"/>
  <c r="I670" i="1"/>
  <c r="I585" i="1"/>
  <c r="J638" i="1"/>
  <c r="J695" i="1"/>
  <c r="I573" i="1"/>
  <c r="I615" i="1"/>
  <c r="I729" i="1"/>
  <c r="J596" i="1"/>
  <c r="I652" i="1"/>
  <c r="I678" i="1"/>
  <c r="J711" i="1"/>
  <c r="I569" i="1"/>
  <c r="J586" i="1"/>
  <c r="N586" i="1" s="1"/>
  <c r="J602" i="1"/>
  <c r="N602" i="1" s="1"/>
  <c r="J618" i="1"/>
  <c r="N618" i="1" s="1"/>
  <c r="J634" i="1"/>
  <c r="N634" i="1" s="1"/>
  <c r="J717" i="1"/>
  <c r="I557" i="1"/>
  <c r="I567" i="1"/>
  <c r="I579" i="1"/>
  <c r="J588" i="1"/>
  <c r="N588" i="1" s="1"/>
  <c r="I600" i="1"/>
  <c r="I611" i="1"/>
  <c r="J620" i="1"/>
  <c r="I650" i="1"/>
  <c r="J703" i="1"/>
  <c r="J562" i="1"/>
  <c r="I587" i="1"/>
  <c r="I624" i="1"/>
  <c r="J713" i="1"/>
  <c r="I607" i="1"/>
  <c r="I560" i="1"/>
  <c r="I602" i="1"/>
  <c r="I634" i="1"/>
  <c r="I717" i="1"/>
  <c r="I663" i="1"/>
  <c r="I562" i="1"/>
  <c r="J641" i="1"/>
  <c r="J706" i="1"/>
  <c r="I712" i="1"/>
  <c r="I637" i="1"/>
  <c r="I673" i="1"/>
  <c r="I710" i="1"/>
  <c r="I708" i="1"/>
  <c r="I688" i="1"/>
  <c r="J678" i="1"/>
  <c r="J690" i="1"/>
  <c r="N690" i="1" s="1"/>
  <c r="I699" i="1"/>
  <c r="I498" i="1"/>
  <c r="J494" i="1"/>
  <c r="N494" i="1" s="1"/>
  <c r="I490" i="1"/>
  <c r="J486" i="1"/>
  <c r="N486" i="1" s="1"/>
  <c r="I482" i="1"/>
  <c r="J478" i="1"/>
  <c r="N478" i="1" s="1"/>
  <c r="I474" i="1"/>
  <c r="J470" i="1"/>
  <c r="N470" i="1" s="1"/>
  <c r="I466" i="1"/>
  <c r="J462" i="1"/>
  <c r="N462" i="1" s="1"/>
  <c r="I458" i="1"/>
  <c r="J454" i="1"/>
  <c r="N454" i="1" s="1"/>
  <c r="I450" i="1"/>
  <c r="J446" i="1"/>
  <c r="N446" i="1" s="1"/>
  <c r="I442" i="1"/>
  <c r="J436" i="1"/>
  <c r="N436" i="1" s="1"/>
  <c r="J433" i="1"/>
  <c r="I426" i="1"/>
  <c r="J412" i="1"/>
  <c r="N412" i="1" s="1"/>
  <c r="J408" i="1"/>
  <c r="J397" i="1"/>
  <c r="J395" i="1"/>
  <c r="J386" i="1"/>
  <c r="J381" i="1"/>
  <c r="J379" i="1"/>
  <c r="J362" i="1"/>
  <c r="N362" i="1" s="1"/>
  <c r="J359" i="1"/>
  <c r="I352" i="1"/>
  <c r="J342" i="1"/>
  <c r="N342" i="1" s="1"/>
  <c r="I341" i="1"/>
  <c r="J335" i="1"/>
  <c r="J326" i="1"/>
  <c r="I325" i="1"/>
  <c r="J319" i="1"/>
  <c r="J310" i="1"/>
  <c r="I309" i="1"/>
  <c r="J303" i="1"/>
  <c r="J294" i="1"/>
  <c r="I293" i="1"/>
  <c r="J287" i="1"/>
  <c r="J627" i="1"/>
  <c r="L627" i="1" s="1"/>
  <c r="J608" i="1"/>
  <c r="J558" i="1"/>
  <c r="N558" i="1" s="1"/>
  <c r="I596" i="1"/>
  <c r="I575" i="1"/>
  <c r="J636" i="1"/>
  <c r="I581" i="1"/>
  <c r="J622" i="1"/>
  <c r="N622" i="1" s="1"/>
  <c r="J626" i="1"/>
  <c r="N626" i="1" s="1"/>
  <c r="J693" i="1"/>
  <c r="J643" i="1"/>
  <c r="J669" i="1"/>
  <c r="I639" i="1"/>
  <c r="I724" i="1"/>
  <c r="I696" i="1"/>
  <c r="I683" i="1"/>
  <c r="J497" i="1"/>
  <c r="J489" i="1"/>
  <c r="J477" i="1"/>
  <c r="J473" i="1"/>
  <c r="J465" i="1"/>
  <c r="J457" i="1"/>
  <c r="J453" i="1"/>
  <c r="J441" i="1"/>
  <c r="I434" i="1"/>
  <c r="J411" i="1"/>
  <c r="J407" i="1"/>
  <c r="J389" i="1"/>
  <c r="J354" i="1"/>
  <c r="N354" i="1" s="1"/>
  <c r="J351" i="1"/>
  <c r="J343" i="1"/>
  <c r="J334" i="1"/>
  <c r="I333" i="1"/>
  <c r="J318" i="1"/>
  <c r="N318" i="1" s="1"/>
  <c r="I317" i="1"/>
  <c r="J302" i="1"/>
  <c r="I301" i="1"/>
  <c r="J286" i="1"/>
  <c r="N286" i="1" s="1"/>
  <c r="I633" i="1"/>
  <c r="I668" i="1"/>
  <c r="J725" i="1"/>
  <c r="J590" i="1"/>
  <c r="N590" i="1" s="1"/>
  <c r="J715" i="1"/>
  <c r="J663" i="1"/>
  <c r="J673" i="1"/>
  <c r="J710" i="1"/>
  <c r="N710" i="1" s="1"/>
  <c r="I677" i="1"/>
  <c r="I698" i="1"/>
  <c r="I555" i="1"/>
  <c r="I547" i="1"/>
  <c r="I531" i="1"/>
  <c r="I515" i="1"/>
  <c r="J490" i="1"/>
  <c r="N490" i="1" s="1"/>
  <c r="J474" i="1"/>
  <c r="J426" i="1"/>
  <c r="N426" i="1" s="1"/>
  <c r="I425" i="1"/>
  <c r="I411" i="1"/>
  <c r="I407" i="1"/>
  <c r="I405" i="1"/>
  <c r="J403" i="1"/>
  <c r="I401" i="1"/>
  <c r="J399" i="1"/>
  <c r="I391" i="1"/>
  <c r="I389" i="1"/>
  <c r="J384" i="1"/>
  <c r="N384" i="1" s="1"/>
  <c r="I367" i="1"/>
  <c r="I365" i="1"/>
  <c r="J361" i="1"/>
  <c r="I334" i="1"/>
  <c r="J328" i="1"/>
  <c r="N328" i="1" s="1"/>
  <c r="J325" i="1"/>
  <c r="J312" i="1"/>
  <c r="N312" i="1" s="1"/>
  <c r="J309" i="1"/>
  <c r="J296" i="1"/>
  <c r="N296" i="1" s="1"/>
  <c r="J293" i="1"/>
  <c r="I286" i="1"/>
  <c r="J592" i="1"/>
  <c r="N592" i="1" s="1"/>
  <c r="J556" i="1"/>
  <c r="N556" i="1" s="1"/>
  <c r="J598" i="1"/>
  <c r="N598" i="1" s="1"/>
  <c r="I638" i="1"/>
  <c r="I563" i="1"/>
  <c r="J560" i="1"/>
  <c r="N560" i="1" s="1"/>
  <c r="I623" i="1"/>
  <c r="J570" i="1"/>
  <c r="N570" i="1" s="1"/>
  <c r="I613" i="1"/>
  <c r="J644" i="1"/>
  <c r="J647" i="1"/>
  <c r="J659" i="1"/>
  <c r="N658" i="1" s="1"/>
  <c r="I714" i="1"/>
  <c r="J728" i="1"/>
  <c r="N728" i="1" s="1"/>
  <c r="J645" i="1"/>
  <c r="J689" i="1"/>
  <c r="J726" i="1"/>
  <c r="N726" i="1" s="1"/>
  <c r="J639" i="1"/>
  <c r="N638" i="1" s="1"/>
  <c r="J724" i="1"/>
  <c r="J680" i="1"/>
  <c r="N680" i="1" s="1"/>
  <c r="J696" i="1"/>
  <c r="N696" i="1" s="1"/>
  <c r="I682" i="1"/>
  <c r="J694" i="1"/>
  <c r="N694" i="1" s="1"/>
  <c r="I539" i="1"/>
  <c r="I523" i="1"/>
  <c r="J491" i="1"/>
  <c r="J483" i="1"/>
  <c r="J475" i="1"/>
  <c r="J467" i="1"/>
  <c r="J459" i="1"/>
  <c r="J451" i="1"/>
  <c r="J443" i="1"/>
  <c r="J434" i="1"/>
  <c r="N434" i="1" s="1"/>
  <c r="J427" i="1"/>
  <c r="J420" i="1"/>
  <c r="J416" i="1"/>
  <c r="J406" i="1"/>
  <c r="N406" i="1" s="1"/>
  <c r="J402" i="1"/>
  <c r="N402" i="1" s="1"/>
  <c r="I397" i="1"/>
  <c r="J392" i="1"/>
  <c r="N392" i="1" s="1"/>
  <c r="I381" i="1"/>
  <c r="J376" i="1"/>
  <c r="J366" i="1"/>
  <c r="J360" i="1"/>
  <c r="N360" i="1" s="1"/>
  <c r="I359" i="1"/>
  <c r="J353" i="1"/>
  <c r="I342" i="1"/>
  <c r="J336" i="1"/>
  <c r="N336" i="1" s="1"/>
  <c r="J333" i="1"/>
  <c r="I326" i="1"/>
  <c r="J320" i="1"/>
  <c r="N320" i="1" s="1"/>
  <c r="J317" i="1"/>
  <c r="I310" i="1"/>
  <c r="J304" i="1"/>
  <c r="N304" i="1" s="1"/>
  <c r="J301" i="1"/>
  <c r="I294" i="1"/>
  <c r="J288" i="1"/>
  <c r="N288" i="1" s="1"/>
  <c r="J285" i="1"/>
  <c r="I580" i="1"/>
  <c r="J677" i="1"/>
  <c r="I647" i="1"/>
  <c r="J685" i="1"/>
  <c r="I659" i="1"/>
  <c r="J722" i="1"/>
  <c r="N722" i="1" s="1"/>
  <c r="I728" i="1"/>
  <c r="I645" i="1"/>
  <c r="J657" i="1"/>
  <c r="N656" i="1" s="1"/>
  <c r="I689" i="1"/>
  <c r="I726" i="1"/>
  <c r="I680" i="1"/>
  <c r="I694" i="1"/>
  <c r="J493" i="1"/>
  <c r="J485" i="1"/>
  <c r="J481" i="1"/>
  <c r="J469" i="1"/>
  <c r="J461" i="1"/>
  <c r="J449" i="1"/>
  <c r="J445" i="1"/>
  <c r="J428" i="1"/>
  <c r="J425" i="1"/>
  <c r="J398" i="1"/>
  <c r="N398" i="1" s="1"/>
  <c r="J394" i="1"/>
  <c r="N394" i="1" s="1"/>
  <c r="J387" i="1"/>
  <c r="J378" i="1"/>
  <c r="I360" i="1"/>
  <c r="J327" i="1"/>
  <c r="J311" i="1"/>
  <c r="J295" i="1"/>
  <c r="J679" i="1"/>
  <c r="J705" i="1"/>
  <c r="I583" i="1"/>
  <c r="I591" i="1"/>
  <c r="I632" i="1"/>
  <c r="I561" i="1"/>
  <c r="J631" i="1"/>
  <c r="N630" i="1" s="1"/>
  <c r="I701" i="1"/>
  <c r="J712" i="1"/>
  <c r="N712" i="1" s="1"/>
  <c r="J637" i="1"/>
  <c r="I649" i="1"/>
  <c r="I661" i="1"/>
  <c r="J708" i="1"/>
  <c r="N708" i="1" s="1"/>
  <c r="J688" i="1"/>
  <c r="N688" i="1" s="1"/>
  <c r="I687" i="1"/>
  <c r="I509" i="1"/>
  <c r="J498" i="1"/>
  <c r="N498" i="1" s="1"/>
  <c r="J482" i="1"/>
  <c r="N482" i="1" s="1"/>
  <c r="J466" i="1"/>
  <c r="J458" i="1"/>
  <c r="N458" i="1" s="1"/>
  <c r="J450" i="1"/>
  <c r="N450" i="1" s="1"/>
  <c r="J442" i="1"/>
  <c r="N442" i="1" s="1"/>
  <c r="J435" i="1"/>
  <c r="J421" i="1"/>
  <c r="I419" i="1"/>
  <c r="J417" i="1"/>
  <c r="I415" i="1"/>
  <c r="I375" i="1"/>
  <c r="I358" i="1"/>
  <c r="J352" i="1"/>
  <c r="N352" i="1" s="1"/>
  <c r="I351" i="1"/>
  <c r="J344" i="1"/>
  <c r="N344" i="1" s="1"/>
  <c r="J341" i="1"/>
  <c r="I318" i="1"/>
  <c r="I302" i="1"/>
  <c r="I284" i="1"/>
  <c r="I316" i="1"/>
  <c r="I348" i="1"/>
  <c r="I513" i="1"/>
  <c r="I432" i="1"/>
  <c r="I307" i="1"/>
  <c r="I339" i="1"/>
  <c r="I551" i="1"/>
  <c r="I449" i="1"/>
  <c r="I477" i="1"/>
  <c r="J519" i="1"/>
  <c r="I290" i="1"/>
  <c r="I345" i="1"/>
  <c r="I420" i="1"/>
  <c r="I364" i="1"/>
  <c r="I410" i="1"/>
  <c r="J521" i="1"/>
  <c r="J543" i="1"/>
  <c r="I378" i="1"/>
  <c r="I423" i="1"/>
  <c r="I461" i="1"/>
  <c r="J513" i="1"/>
  <c r="I329" i="1"/>
  <c r="I402" i="1"/>
  <c r="I529" i="1"/>
  <c r="I305" i="1"/>
  <c r="I337" i="1"/>
  <c r="I393" i="1"/>
  <c r="I448" i="1"/>
  <c r="I464" i="1"/>
  <c r="I480" i="1"/>
  <c r="I496" i="1"/>
  <c r="I537" i="1"/>
  <c r="I390" i="1"/>
  <c r="I422" i="1"/>
  <c r="I455" i="1"/>
  <c r="I487" i="1"/>
  <c r="J517" i="1"/>
  <c r="J367" i="1"/>
  <c r="I384" i="1"/>
  <c r="I412" i="1"/>
  <c r="I451" i="1"/>
  <c r="I483" i="1"/>
  <c r="J515" i="1"/>
  <c r="J512" i="1"/>
  <c r="J370" i="1"/>
  <c r="N370" i="1" s="1"/>
  <c r="I504" i="1"/>
  <c r="I500" i="1"/>
  <c r="I508" i="1"/>
  <c r="I548" i="1"/>
  <c r="J502" i="1"/>
  <c r="I506" i="1"/>
  <c r="I511" i="1"/>
  <c r="I292" i="1"/>
  <c r="I324" i="1"/>
  <c r="I440" i="1"/>
  <c r="I549" i="1"/>
  <c r="I545" i="1"/>
  <c r="I315" i="1"/>
  <c r="I347" i="1"/>
  <c r="J373" i="1"/>
  <c r="I457" i="1"/>
  <c r="I481" i="1"/>
  <c r="I519" i="1"/>
  <c r="I306" i="1"/>
  <c r="I368" i="1"/>
  <c r="I439" i="1"/>
  <c r="J369" i="1"/>
  <c r="I414" i="1"/>
  <c r="J527" i="1"/>
  <c r="I543" i="1"/>
  <c r="I380" i="1"/>
  <c r="I441" i="1"/>
  <c r="I469" i="1"/>
  <c r="J529" i="1"/>
  <c r="I366" i="1"/>
  <c r="I416" i="1"/>
  <c r="I349" i="1"/>
  <c r="I314" i="1"/>
  <c r="I346" i="1"/>
  <c r="I431" i="1"/>
  <c r="I452" i="1"/>
  <c r="I468" i="1"/>
  <c r="I484" i="1"/>
  <c r="J501" i="1"/>
  <c r="J555" i="1"/>
  <c r="I400" i="1"/>
  <c r="I429" i="1"/>
  <c r="I463" i="1"/>
  <c r="I495" i="1"/>
  <c r="J525" i="1"/>
  <c r="I370" i="1"/>
  <c r="I392" i="1"/>
  <c r="I427" i="1"/>
  <c r="I459" i="1"/>
  <c r="I491" i="1"/>
  <c r="J523" i="1"/>
  <c r="J349" i="1"/>
  <c r="L349" i="1" s="1"/>
  <c r="I512" i="1"/>
  <c r="J554" i="1"/>
  <c r="I502" i="1"/>
  <c r="I507" i="1"/>
  <c r="J514" i="1"/>
  <c r="J518" i="1"/>
  <c r="N518" i="1" s="1"/>
  <c r="J522" i="1"/>
  <c r="N522" i="1" s="1"/>
  <c r="J526" i="1"/>
  <c r="N526" i="1" s="1"/>
  <c r="J530" i="1"/>
  <c r="J534" i="1"/>
  <c r="J538" i="1"/>
  <c r="I300" i="1"/>
  <c r="I332" i="1"/>
  <c r="I285" i="1"/>
  <c r="I553" i="1"/>
  <c r="I291" i="1"/>
  <c r="I323" i="1"/>
  <c r="I371" i="1"/>
  <c r="I394" i="1"/>
  <c r="I465" i="1"/>
  <c r="I493" i="1"/>
  <c r="J535" i="1"/>
  <c r="I322" i="1"/>
  <c r="I373" i="1"/>
  <c r="J503" i="1"/>
  <c r="I386" i="1"/>
  <c r="I424" i="1"/>
  <c r="I527" i="1"/>
  <c r="I356" i="1"/>
  <c r="I396" i="1"/>
  <c r="I445" i="1"/>
  <c r="I485" i="1"/>
  <c r="I297" i="1"/>
  <c r="J371" i="1"/>
  <c r="I430" i="1"/>
  <c r="I289" i="1"/>
  <c r="I321" i="1"/>
  <c r="I369" i="1"/>
  <c r="I438" i="1"/>
  <c r="I456" i="1"/>
  <c r="I472" i="1"/>
  <c r="I488" i="1"/>
  <c r="I501" i="1"/>
  <c r="I374" i="1"/>
  <c r="I404" i="1"/>
  <c r="I437" i="1"/>
  <c r="I471" i="1"/>
  <c r="J505" i="1"/>
  <c r="J533" i="1"/>
  <c r="I372" i="1"/>
  <c r="I398" i="1"/>
  <c r="I435" i="1"/>
  <c r="I467" i="1"/>
  <c r="J499" i="1"/>
  <c r="J531" i="1"/>
  <c r="J546" i="1"/>
  <c r="N546" i="1" s="1"/>
  <c r="I554" i="1"/>
  <c r="I503" i="1"/>
  <c r="J510" i="1"/>
  <c r="I514" i="1"/>
  <c r="I308" i="1"/>
  <c r="I299" i="1"/>
  <c r="I473" i="1"/>
  <c r="I406" i="1"/>
  <c r="J537" i="1"/>
  <c r="I489" i="1"/>
  <c r="I298" i="1"/>
  <c r="I460" i="1"/>
  <c r="I382" i="1"/>
  <c r="J511" i="1"/>
  <c r="I443" i="1"/>
  <c r="J504" i="1"/>
  <c r="N504" i="1" s="1"/>
  <c r="J506" i="1"/>
  <c r="J516" i="1"/>
  <c r="I520" i="1"/>
  <c r="I526" i="1"/>
  <c r="J532" i="1"/>
  <c r="N532" i="1" s="1"/>
  <c r="I536" i="1"/>
  <c r="J542" i="1"/>
  <c r="J278" i="1"/>
  <c r="J246" i="1"/>
  <c r="I350" i="1"/>
  <c r="I453" i="1"/>
  <c r="I444" i="1"/>
  <c r="I408" i="1"/>
  <c r="I530" i="1"/>
  <c r="I544" i="1"/>
  <c r="I253" i="1"/>
  <c r="I226" i="1"/>
  <c r="I340" i="1"/>
  <c r="I331" i="1"/>
  <c r="I497" i="1"/>
  <c r="I355" i="1"/>
  <c r="I363" i="1"/>
  <c r="I313" i="1"/>
  <c r="I330" i="1"/>
  <c r="I476" i="1"/>
  <c r="I418" i="1"/>
  <c r="J541" i="1"/>
  <c r="I475" i="1"/>
  <c r="I510" i="1"/>
  <c r="J550" i="1"/>
  <c r="N550" i="1" s="1"/>
  <c r="I516" i="1"/>
  <c r="I522" i="1"/>
  <c r="J528" i="1"/>
  <c r="N528" i="1" s="1"/>
  <c r="I532" i="1"/>
  <c r="I538" i="1"/>
  <c r="I542" i="1"/>
  <c r="I281" i="1"/>
  <c r="I271" i="1"/>
  <c r="J270" i="1"/>
  <c r="I269" i="1"/>
  <c r="I259" i="1"/>
  <c r="I249" i="1"/>
  <c r="I239" i="1"/>
  <c r="J238" i="1"/>
  <c r="N238" i="1" s="1"/>
  <c r="I237" i="1"/>
  <c r="I220" i="1"/>
  <c r="I208" i="1"/>
  <c r="I338" i="1"/>
  <c r="I521" i="1"/>
  <c r="J539" i="1"/>
  <c r="J508" i="1"/>
  <c r="I499" i="1"/>
  <c r="J520" i="1"/>
  <c r="N520" i="1" s="1"/>
  <c r="J536" i="1"/>
  <c r="N536" i="1" s="1"/>
  <c r="I552" i="1"/>
  <c r="I275" i="1"/>
  <c r="I265" i="1"/>
  <c r="I255" i="1"/>
  <c r="J234" i="1"/>
  <c r="I212" i="1"/>
  <c r="I357" i="1"/>
  <c r="I383" i="1"/>
  <c r="I535" i="1"/>
  <c r="I388" i="1"/>
  <c r="I409" i="1"/>
  <c r="I385" i="1"/>
  <c r="I377" i="1"/>
  <c r="I492" i="1"/>
  <c r="I447" i="1"/>
  <c r="I376" i="1"/>
  <c r="J509" i="1"/>
  <c r="J372" i="1"/>
  <c r="N372" i="1" s="1"/>
  <c r="I546" i="1"/>
  <c r="J500" i="1"/>
  <c r="N500" i="1" s="1"/>
  <c r="I550" i="1"/>
  <c r="I518" i="1"/>
  <c r="J524" i="1"/>
  <c r="N524" i="1" s="1"/>
  <c r="I528" i="1"/>
  <c r="I534" i="1"/>
  <c r="J540" i="1"/>
  <c r="N540" i="1" s="1"/>
  <c r="J544" i="1"/>
  <c r="N544" i="1" s="1"/>
  <c r="J552" i="1"/>
  <c r="N552" i="1" s="1"/>
  <c r="J262" i="1"/>
  <c r="I413" i="1"/>
  <c r="I433" i="1"/>
  <c r="J507" i="1"/>
  <c r="I479" i="1"/>
  <c r="J548" i="1"/>
  <c r="N548" i="1" s="1"/>
  <c r="I524" i="1"/>
  <c r="I540" i="1"/>
  <c r="J254" i="1"/>
  <c r="I243" i="1"/>
  <c r="I231" i="1"/>
  <c r="I216" i="1"/>
  <c r="I206" i="1"/>
  <c r="I245" i="1"/>
  <c r="I277" i="1"/>
  <c r="I218" i="1"/>
  <c r="I251" i="1"/>
  <c r="I283" i="1"/>
  <c r="J237" i="1"/>
  <c r="I280" i="1"/>
  <c r="I207" i="1"/>
  <c r="J219" i="1"/>
  <c r="I238" i="1"/>
  <c r="J247" i="1"/>
  <c r="J267" i="1"/>
  <c r="J277" i="1"/>
  <c r="J220" i="1"/>
  <c r="J269" i="1"/>
  <c r="I198" i="1"/>
  <c r="J215" i="1"/>
  <c r="J227" i="1"/>
  <c r="J242" i="1"/>
  <c r="J252" i="1"/>
  <c r="J265" i="1"/>
  <c r="J205" i="1"/>
  <c r="J236" i="1"/>
  <c r="N236" i="1" s="1"/>
  <c r="I262" i="1"/>
  <c r="J201" i="1"/>
  <c r="J211" i="1"/>
  <c r="J222" i="1"/>
  <c r="N222" i="1" s="1"/>
  <c r="I232" i="1"/>
  <c r="J250" i="1"/>
  <c r="J260" i="1"/>
  <c r="J273" i="1"/>
  <c r="I197" i="1"/>
  <c r="J209" i="1"/>
  <c r="L209" i="1" s="1"/>
  <c r="I229" i="1"/>
  <c r="I258" i="1"/>
  <c r="I235" i="1"/>
  <c r="I244" i="1"/>
  <c r="I276" i="1"/>
  <c r="J282" i="1"/>
  <c r="J168" i="1"/>
  <c r="J167" i="1"/>
  <c r="J166" i="1"/>
  <c r="I224" i="1"/>
  <c r="I279" i="1"/>
  <c r="J271" i="1"/>
  <c r="J218" i="1"/>
  <c r="J245" i="1"/>
  <c r="J276" i="1"/>
  <c r="J197" i="1"/>
  <c r="J226" i="1"/>
  <c r="N226" i="1" s="1"/>
  <c r="J264" i="1"/>
  <c r="J259" i="1"/>
  <c r="I217" i="1"/>
  <c r="J272" i="1"/>
  <c r="J199" i="1"/>
  <c r="J232" i="1"/>
  <c r="I266" i="1"/>
  <c r="J190" i="1"/>
  <c r="K190" i="1" s="1"/>
  <c r="I187" i="1"/>
  <c r="I161" i="1"/>
  <c r="J159" i="1"/>
  <c r="I157" i="1"/>
  <c r="I155" i="1"/>
  <c r="I127" i="1"/>
  <c r="I126" i="1"/>
  <c r="I90" i="1"/>
  <c r="I214" i="1"/>
  <c r="I257" i="1"/>
  <c r="I210" i="1"/>
  <c r="I200" i="1"/>
  <c r="I263" i="1"/>
  <c r="I196" i="1"/>
  <c r="J248" i="1"/>
  <c r="I195" i="1"/>
  <c r="K195" i="1" s="1"/>
  <c r="I209" i="1"/>
  <c r="I221" i="1"/>
  <c r="I240" i="1"/>
  <c r="J256" i="1"/>
  <c r="I270" i="1"/>
  <c r="J279" i="1"/>
  <c r="I225" i="1"/>
  <c r="J281" i="1"/>
  <c r="I203" i="1"/>
  <c r="J216" i="1"/>
  <c r="J230" i="1"/>
  <c r="J243" i="1"/>
  <c r="J253" i="1"/>
  <c r="J274" i="1"/>
  <c r="J208" i="1"/>
  <c r="J239" i="1"/>
  <c r="J268" i="1"/>
  <c r="I202" i="1"/>
  <c r="I213" i="1"/>
  <c r="J224" i="1"/>
  <c r="I234" i="1"/>
  <c r="J251" i="1"/>
  <c r="J261" i="1"/>
  <c r="I282" i="1"/>
  <c r="I201" i="1"/>
  <c r="J198" i="1"/>
  <c r="N198" i="1" s="1"/>
  <c r="I230" i="1"/>
  <c r="I250" i="1"/>
  <c r="J280" i="1"/>
  <c r="I236" i="1"/>
  <c r="I268" i="1"/>
  <c r="I177" i="1"/>
  <c r="J176" i="1"/>
  <c r="N176" i="1" s="1"/>
  <c r="J175" i="1"/>
  <c r="J174" i="1"/>
  <c r="I173" i="1"/>
  <c r="I171" i="1"/>
  <c r="I145" i="1"/>
  <c r="J144" i="1"/>
  <c r="K144" i="1" s="1"/>
  <c r="J143" i="1"/>
  <c r="J142" i="1"/>
  <c r="I141" i="1"/>
  <c r="I139" i="1"/>
  <c r="I131" i="1"/>
  <c r="I130" i="1"/>
  <c r="I84" i="1"/>
  <c r="I74" i="1"/>
  <c r="I45" i="1"/>
  <c r="I37" i="1"/>
  <c r="L37" i="1" s="1"/>
  <c r="I273" i="1"/>
  <c r="J233" i="1"/>
  <c r="J207" i="1"/>
  <c r="J213" i="1"/>
  <c r="I248" i="1"/>
  <c r="J229" i="1"/>
  <c r="J210" i="1"/>
  <c r="N210" i="1" s="1"/>
  <c r="J241" i="1"/>
  <c r="J217" i="1"/>
  <c r="N216" i="1" s="1"/>
  <c r="J191" i="1"/>
  <c r="J160" i="1"/>
  <c r="N160" i="1" s="1"/>
  <c r="J158" i="1"/>
  <c r="I110" i="1"/>
  <c r="I102" i="1"/>
  <c r="I64" i="1"/>
  <c r="I62" i="1"/>
  <c r="I58" i="1"/>
  <c r="I49" i="1"/>
  <c r="I33" i="1"/>
  <c r="L33" i="1" s="1"/>
  <c r="I233" i="1"/>
  <c r="I261" i="1"/>
  <c r="I222" i="1"/>
  <c r="I204" i="1"/>
  <c r="I267" i="1"/>
  <c r="I211" i="1"/>
  <c r="J258" i="1"/>
  <c r="N258" i="1" s="1"/>
  <c r="I199" i="1"/>
  <c r="K199" i="1" s="1"/>
  <c r="J214" i="1"/>
  <c r="I223" i="1"/>
  <c r="J244" i="1"/>
  <c r="J257" i="1"/>
  <c r="I272" i="1"/>
  <c r="J204" i="1"/>
  <c r="N204" i="1" s="1"/>
  <c r="J228" i="1"/>
  <c r="N228" i="1" s="1"/>
  <c r="I194" i="1"/>
  <c r="J212" i="1"/>
  <c r="N212" i="1" s="1"/>
  <c r="I219" i="1"/>
  <c r="J231" i="1"/>
  <c r="I246" i="1"/>
  <c r="J255" i="1"/>
  <c r="J275" i="1"/>
  <c r="J223" i="1"/>
  <c r="J249" i="1"/>
  <c r="J196" i="1"/>
  <c r="J206" i="1"/>
  <c r="N206" i="1" s="1"/>
  <c r="I215" i="1"/>
  <c r="J225" i="1"/>
  <c r="J240" i="1"/>
  <c r="N240" i="1" s="1"/>
  <c r="I254" i="1"/>
  <c r="J263" i="1"/>
  <c r="J283" i="1"/>
  <c r="J194" i="1"/>
  <c r="J202" i="1"/>
  <c r="N202" i="1" s="1"/>
  <c r="J203" i="1"/>
  <c r="L203" i="1" s="1"/>
  <c r="I242" i="1"/>
  <c r="I274" i="1"/>
  <c r="I228" i="1"/>
  <c r="I260" i="1"/>
  <c r="J184" i="1"/>
  <c r="N184" i="1" s="1"/>
  <c r="J183" i="1"/>
  <c r="J182" i="1"/>
  <c r="N182" i="1" s="1"/>
  <c r="J152" i="1"/>
  <c r="L152" i="1" s="1"/>
  <c r="J151" i="1"/>
  <c r="J150" i="1"/>
  <c r="I241" i="1"/>
  <c r="I247" i="1"/>
  <c r="J221" i="1"/>
  <c r="I205" i="1"/>
  <c r="J266" i="1"/>
  <c r="N266" i="1" s="1"/>
  <c r="I264" i="1"/>
  <c r="J235" i="1"/>
  <c r="I278" i="1"/>
  <c r="J200" i="1"/>
  <c r="N200" i="1" s="1"/>
  <c r="I227" i="1"/>
  <c r="I256" i="1"/>
  <c r="J195" i="1"/>
  <c r="I252" i="1"/>
  <c r="J192" i="1"/>
  <c r="N192" i="1" s="1"/>
  <c r="I189" i="1"/>
  <c r="I114" i="1"/>
  <c r="I68" i="1"/>
  <c r="I41" i="1"/>
  <c r="I180" i="1"/>
  <c r="L180" i="1" s="1"/>
  <c r="L190" i="1"/>
  <c r="K184" i="1"/>
  <c r="I176" i="1"/>
  <c r="I140" i="1"/>
  <c r="L140" i="1" s="1"/>
  <c r="I162" i="1"/>
  <c r="I172" i="1"/>
  <c r="M172" i="1" s="1"/>
  <c r="I136" i="1"/>
  <c r="J115" i="1"/>
  <c r="J162" i="1"/>
  <c r="N162" i="1" s="1"/>
  <c r="I132" i="1"/>
  <c r="K132" i="1" s="1"/>
  <c r="L109" i="1"/>
  <c r="L105" i="1"/>
  <c r="K81" i="1"/>
  <c r="J71" i="1"/>
  <c r="I52" i="1"/>
  <c r="M52" i="1" s="1"/>
  <c r="J49" i="1"/>
  <c r="N48" i="1" s="1"/>
  <c r="J45" i="1"/>
  <c r="J41" i="1"/>
  <c r="L41" i="1" s="1"/>
  <c r="I34" i="1"/>
  <c r="K34" i="1" s="1"/>
  <c r="J180" i="1"/>
  <c r="J171" i="1"/>
  <c r="J145" i="1"/>
  <c r="J141" i="1"/>
  <c r="J130" i="1"/>
  <c r="N130" i="1" s="1"/>
  <c r="I115" i="1"/>
  <c r="L115" i="1" s="1"/>
  <c r="J106" i="1"/>
  <c r="N106" i="1" s="1"/>
  <c r="I95" i="1"/>
  <c r="J83" i="1"/>
  <c r="I71" i="1"/>
  <c r="K71" i="1" s="1"/>
  <c r="J53" i="1"/>
  <c r="I28" i="1"/>
  <c r="I20" i="1"/>
  <c r="J165" i="1"/>
  <c r="N164" i="1" s="1"/>
  <c r="J104" i="1"/>
  <c r="N104" i="1" s="1"/>
  <c r="J26" i="1"/>
  <c r="N26" i="1" s="1"/>
  <c r="J185" i="1"/>
  <c r="K185" i="1" s="1"/>
  <c r="J181" i="1"/>
  <c r="J153" i="1"/>
  <c r="L153" i="1" s="1"/>
  <c r="J149" i="1"/>
  <c r="J133" i="1"/>
  <c r="N132" i="1" s="1"/>
  <c r="J120" i="1"/>
  <c r="N120" i="1" s="1"/>
  <c r="J108" i="1"/>
  <c r="N108" i="1" s="1"/>
  <c r="I97" i="1"/>
  <c r="J91" i="1"/>
  <c r="N90" i="1" s="1"/>
  <c r="I79" i="1"/>
  <c r="K79" i="1" s="1"/>
  <c r="J61" i="1"/>
  <c r="L61" i="1" s="1"/>
  <c r="J54" i="1"/>
  <c r="N54" i="1" s="1"/>
  <c r="J28" i="1"/>
  <c r="N28" i="1" s="1"/>
  <c r="J20" i="1"/>
  <c r="N20" i="1" s="1"/>
  <c r="I138" i="1"/>
  <c r="M138" i="1" s="1"/>
  <c r="J99" i="1"/>
  <c r="J72" i="1"/>
  <c r="N72" i="1" s="1"/>
  <c r="J44" i="1"/>
  <c r="N44" i="1" s="1"/>
  <c r="I191" i="1"/>
  <c r="I174" i="1"/>
  <c r="J157" i="1"/>
  <c r="J127" i="1"/>
  <c r="N126" i="1" s="1"/>
  <c r="I119" i="1"/>
  <c r="M118" i="1" s="1"/>
  <c r="I107" i="1"/>
  <c r="J97" i="1"/>
  <c r="I83" i="1"/>
  <c r="J67" i="1"/>
  <c r="I55" i="1"/>
  <c r="K55" i="1" s="1"/>
  <c r="J34" i="1"/>
  <c r="I22" i="1"/>
  <c r="J172" i="1"/>
  <c r="J129" i="1"/>
  <c r="L129" i="1" s="1"/>
  <c r="I89" i="1"/>
  <c r="K89" i="1" s="1"/>
  <c r="J36" i="1"/>
  <c r="N36" i="1" s="1"/>
  <c r="I17" i="1"/>
  <c r="I165" i="1"/>
  <c r="I70" i="1"/>
  <c r="I92" i="1"/>
  <c r="I122" i="1"/>
  <c r="I86" i="1"/>
  <c r="I54" i="1"/>
  <c r="I163" i="1"/>
  <c r="I47" i="1"/>
  <c r="K47" i="1" s="1"/>
  <c r="I31" i="1"/>
  <c r="K31" i="1" s="1"/>
  <c r="I108" i="1"/>
  <c r="I56" i="1"/>
  <c r="L48" i="1"/>
  <c r="K48" i="1"/>
  <c r="M48" i="1"/>
  <c r="K44" i="1"/>
  <c r="L34" i="1"/>
  <c r="M34" i="1"/>
  <c r="K41" i="1"/>
  <c r="K140" i="1"/>
  <c r="L162" i="1"/>
  <c r="K162" i="1"/>
  <c r="L136" i="1"/>
  <c r="M136" i="1"/>
  <c r="K136" i="1"/>
  <c r="M132" i="1"/>
  <c r="N78" i="1"/>
  <c r="K37" i="1"/>
  <c r="N40" i="1"/>
  <c r="M168" i="1"/>
  <c r="L168" i="1"/>
  <c r="K168" i="1"/>
  <c r="L193" i="1"/>
  <c r="K193" i="1"/>
  <c r="M170" i="1"/>
  <c r="K170" i="1"/>
  <c r="N186" i="1"/>
  <c r="K186" i="1"/>
  <c r="N88" i="1"/>
  <c r="L42" i="1"/>
  <c r="K42" i="1"/>
  <c r="M42" i="1"/>
  <c r="K36" i="1"/>
  <c r="M36" i="1"/>
  <c r="L32" i="1"/>
  <c r="K32" i="1"/>
  <c r="M32" i="1"/>
  <c r="N86" i="1"/>
  <c r="N32" i="1"/>
  <c r="N50" i="1"/>
  <c r="K180" i="1"/>
  <c r="M154" i="1"/>
  <c r="L154" i="1"/>
  <c r="K154" i="1"/>
  <c r="M164" i="1"/>
  <c r="L164" i="1"/>
  <c r="K164" i="1"/>
  <c r="N138" i="1"/>
  <c r="K138" i="1"/>
  <c r="L51" i="1"/>
  <c r="M176" i="1"/>
  <c r="L176" i="1"/>
  <c r="K176" i="1"/>
  <c r="K115" i="1"/>
  <c r="L50" i="1"/>
  <c r="K50" i="1"/>
  <c r="M50" i="1"/>
  <c r="L40" i="1"/>
  <c r="K40" i="1"/>
  <c r="M40" i="1"/>
  <c r="N46" i="1"/>
  <c r="L188" i="1"/>
  <c r="K188" i="1"/>
  <c r="M160" i="1"/>
  <c r="L160" i="1"/>
  <c r="K160" i="1"/>
  <c r="L178" i="1"/>
  <c r="M156" i="1"/>
  <c r="L156" i="1"/>
  <c r="K156" i="1"/>
  <c r="L186" i="1"/>
  <c r="L146" i="1"/>
  <c r="L138" i="1"/>
  <c r="K52" i="1"/>
  <c r="M38" i="1"/>
  <c r="L30" i="1"/>
  <c r="K30" i="1"/>
  <c r="K49" i="1"/>
  <c r="F15" i="1"/>
  <c r="J15" i="1" s="1"/>
  <c r="G14" i="1"/>
  <c r="F14" i="1"/>
  <c r="N1237" i="1" l="1"/>
  <c r="M56" i="1"/>
  <c r="L56" i="1"/>
  <c r="K56" i="1"/>
  <c r="M68" i="1"/>
  <c r="K68" i="1"/>
  <c r="L68" i="1"/>
  <c r="L252" i="1"/>
  <c r="K252" i="1"/>
  <c r="M252" i="1"/>
  <c r="L219" i="1"/>
  <c r="K219" i="1"/>
  <c r="K211" i="1"/>
  <c r="L211" i="1"/>
  <c r="M84" i="1"/>
  <c r="K84" i="1"/>
  <c r="L84" i="1"/>
  <c r="K196" i="1"/>
  <c r="L196" i="1"/>
  <c r="M196" i="1"/>
  <c r="K212" i="1"/>
  <c r="L212" i="1"/>
  <c r="M212" i="1"/>
  <c r="M522" i="1"/>
  <c r="K522" i="1"/>
  <c r="L522" i="1"/>
  <c r="L497" i="1"/>
  <c r="K497" i="1"/>
  <c r="N278" i="1"/>
  <c r="M460" i="1"/>
  <c r="K460" i="1"/>
  <c r="L460" i="1"/>
  <c r="K514" i="1"/>
  <c r="M514" i="1"/>
  <c r="L514" i="1"/>
  <c r="L435" i="1"/>
  <c r="K435" i="1"/>
  <c r="M456" i="1"/>
  <c r="K456" i="1"/>
  <c r="L456" i="1"/>
  <c r="K527" i="1"/>
  <c r="L527" i="1"/>
  <c r="L291" i="1"/>
  <c r="K291" i="1"/>
  <c r="L545" i="1"/>
  <c r="K545" i="1"/>
  <c r="K548" i="1"/>
  <c r="M548" i="1"/>
  <c r="L548" i="1"/>
  <c r="L477" i="1"/>
  <c r="K477" i="1"/>
  <c r="M316" i="1"/>
  <c r="L316" i="1"/>
  <c r="K316" i="1"/>
  <c r="L419" i="1"/>
  <c r="K419" i="1"/>
  <c r="L632" i="1"/>
  <c r="K632" i="1"/>
  <c r="M632" i="1"/>
  <c r="K726" i="1"/>
  <c r="M726" i="1"/>
  <c r="L726" i="1"/>
  <c r="K647" i="1"/>
  <c r="L647" i="1"/>
  <c r="L381" i="1"/>
  <c r="K381" i="1"/>
  <c r="K523" i="1"/>
  <c r="L523" i="1"/>
  <c r="L714" i="1"/>
  <c r="K714" i="1"/>
  <c r="M714" i="1"/>
  <c r="K563" i="1"/>
  <c r="L563" i="1"/>
  <c r="L301" i="1"/>
  <c r="K301" i="1"/>
  <c r="K639" i="1"/>
  <c r="L639" i="1"/>
  <c r="M498" i="1"/>
  <c r="K498" i="1"/>
  <c r="L498" i="1"/>
  <c r="L637" i="1"/>
  <c r="K637" i="1"/>
  <c r="K624" i="1"/>
  <c r="L624" i="1"/>
  <c r="M624" i="1"/>
  <c r="K650" i="1"/>
  <c r="L650" i="1"/>
  <c r="M650" i="1"/>
  <c r="K573" i="1"/>
  <c r="L573" i="1"/>
  <c r="L676" i="1"/>
  <c r="M676" i="1"/>
  <c r="N348" i="1"/>
  <c r="M296" i="1"/>
  <c r="K296" i="1"/>
  <c r="L296" i="1"/>
  <c r="M320" i="1"/>
  <c r="K320" i="1"/>
  <c r="L320" i="1"/>
  <c r="M336" i="1"/>
  <c r="K336" i="1"/>
  <c r="L336" i="1"/>
  <c r="M362" i="1"/>
  <c r="K362" i="1"/>
  <c r="L362" i="1"/>
  <c r="L387" i="1"/>
  <c r="K387" i="1"/>
  <c r="N464" i="1"/>
  <c r="K564" i="1"/>
  <c r="L564" i="1"/>
  <c r="M564" i="1"/>
  <c r="L713" i="1"/>
  <c r="K713" i="1"/>
  <c r="K571" i="1"/>
  <c r="L571" i="1"/>
  <c r="K782" i="1"/>
  <c r="L782" i="1"/>
  <c r="M782" i="1"/>
  <c r="M792" i="1"/>
  <c r="L792" i="1"/>
  <c r="K792" i="1"/>
  <c r="K749" i="1"/>
  <c r="L749" i="1"/>
  <c r="M608" i="1"/>
  <c r="K608" i="1"/>
  <c r="L608" i="1"/>
  <c r="M740" i="1"/>
  <c r="K741" i="1"/>
  <c r="L741" i="1"/>
  <c r="L786" i="1"/>
  <c r="K786" i="1"/>
  <c r="M786" i="1"/>
  <c r="L809" i="1"/>
  <c r="K809" i="1"/>
  <c r="L797" i="1"/>
  <c r="K797" i="1"/>
  <c r="M758" i="1"/>
  <c r="L758" i="1"/>
  <c r="K758" i="1"/>
  <c r="L799" i="1"/>
  <c r="K799" i="1"/>
  <c r="L856" i="1"/>
  <c r="M856" i="1"/>
  <c r="K856" i="1"/>
  <c r="L814" i="1"/>
  <c r="K814" i="1"/>
  <c r="M814" i="1"/>
  <c r="L791" i="1"/>
  <c r="K791" i="1"/>
  <c r="L742" i="1"/>
  <c r="K742" i="1"/>
  <c r="M742" i="1"/>
  <c r="M866" i="1"/>
  <c r="L866" i="1"/>
  <c r="K866" i="1"/>
  <c r="L864" i="1"/>
  <c r="K864" i="1"/>
  <c r="M864" i="1"/>
  <c r="L853" i="1"/>
  <c r="K853" i="1"/>
  <c r="L964" i="1"/>
  <c r="M964" i="1"/>
  <c r="K964" i="1"/>
  <c r="L843" i="1"/>
  <c r="K843" i="1"/>
  <c r="L899" i="1"/>
  <c r="K899" i="1"/>
  <c r="M940" i="1"/>
  <c r="L940" i="1"/>
  <c r="K940" i="1"/>
  <c r="K923" i="1"/>
  <c r="L923" i="1"/>
  <c r="L883" i="1"/>
  <c r="K883" i="1"/>
  <c r="M934" i="1"/>
  <c r="K934" i="1"/>
  <c r="L934" i="1"/>
  <c r="K963" i="1"/>
  <c r="L963" i="1"/>
  <c r="L953" i="1"/>
  <c r="K953" i="1"/>
  <c r="L943" i="1"/>
  <c r="K943" i="1"/>
  <c r="K1053" i="1"/>
  <c r="L1053" i="1"/>
  <c r="L1067" i="1"/>
  <c r="K1067" i="1"/>
  <c r="L1019" i="1"/>
  <c r="K1019" i="1"/>
  <c r="K1024" i="1"/>
  <c r="L1024" i="1"/>
  <c r="M1024" i="1"/>
  <c r="L991" i="1"/>
  <c r="K991" i="1"/>
  <c r="K971" i="1"/>
  <c r="L971" i="1"/>
  <c r="K1025" i="1"/>
  <c r="L1025" i="1"/>
  <c r="L1061" i="1"/>
  <c r="K1061" i="1"/>
  <c r="K986" i="1"/>
  <c r="M986" i="1"/>
  <c r="L986" i="1"/>
  <c r="N1072" i="1"/>
  <c r="K1060" i="1"/>
  <c r="L1060" i="1"/>
  <c r="M1060" i="1"/>
  <c r="L1085" i="1"/>
  <c r="K1085" i="1"/>
  <c r="L1139" i="1"/>
  <c r="K1139" i="1"/>
  <c r="K1114" i="1"/>
  <c r="L1114" i="1"/>
  <c r="M1114" i="1"/>
  <c r="L1174" i="1"/>
  <c r="K1174" i="1"/>
  <c r="K1198" i="1"/>
  <c r="L1198" i="1"/>
  <c r="N1124" i="1"/>
  <c r="M1163" i="1"/>
  <c r="K1163" i="1"/>
  <c r="L1163" i="1"/>
  <c r="M1177" i="1"/>
  <c r="L1177" i="1"/>
  <c r="K1177" i="1"/>
  <c r="L1202" i="1"/>
  <c r="K1202" i="1"/>
  <c r="K1232" i="1"/>
  <c r="L1232" i="1"/>
  <c r="L179" i="1"/>
  <c r="K179" i="1"/>
  <c r="L59" i="1"/>
  <c r="K59" i="1"/>
  <c r="K85" i="1"/>
  <c r="L85" i="1"/>
  <c r="L128" i="1"/>
  <c r="M128" i="1"/>
  <c r="K128" i="1"/>
  <c r="L23" i="1"/>
  <c r="K23" i="1"/>
  <c r="N124" i="1"/>
  <c r="K124" i="1"/>
  <c r="L39" i="1"/>
  <c r="K39" i="1"/>
  <c r="L143" i="1"/>
  <c r="K143" i="1"/>
  <c r="L96" i="1"/>
  <c r="K96" i="1"/>
  <c r="M96" i="1"/>
  <c r="L104" i="1"/>
  <c r="K104" i="1"/>
  <c r="M104" i="1"/>
  <c r="K103" i="1"/>
  <c r="M30" i="1"/>
  <c r="K38" i="1"/>
  <c r="L52" i="1"/>
  <c r="M178" i="1"/>
  <c r="K172" i="1"/>
  <c r="K33" i="1"/>
  <c r="L36" i="1"/>
  <c r="M46" i="1"/>
  <c r="K43" i="1"/>
  <c r="L132" i="1"/>
  <c r="L44" i="1"/>
  <c r="K148" i="1"/>
  <c r="M108" i="1"/>
  <c r="L108" i="1"/>
  <c r="K108" i="1"/>
  <c r="M54" i="1"/>
  <c r="K54" i="1"/>
  <c r="L54" i="1"/>
  <c r="M70" i="1"/>
  <c r="L70" i="1"/>
  <c r="K70" i="1"/>
  <c r="K20" i="1"/>
  <c r="M20" i="1"/>
  <c r="L20" i="1"/>
  <c r="N180" i="1"/>
  <c r="L114" i="1"/>
  <c r="K114" i="1"/>
  <c r="M114" i="1"/>
  <c r="L195" i="1"/>
  <c r="M278" i="1"/>
  <c r="L278" i="1"/>
  <c r="K278" i="1"/>
  <c r="K205" i="1"/>
  <c r="L205" i="1"/>
  <c r="N150" i="1"/>
  <c r="L274" i="1"/>
  <c r="K274" i="1"/>
  <c r="M274" i="1"/>
  <c r="N194" i="1"/>
  <c r="N196" i="1"/>
  <c r="L272" i="1"/>
  <c r="K272" i="1"/>
  <c r="M272" i="1"/>
  <c r="N214" i="1"/>
  <c r="L267" i="1"/>
  <c r="K267" i="1"/>
  <c r="L233" i="1"/>
  <c r="K233" i="1"/>
  <c r="M62" i="1"/>
  <c r="L62" i="1"/>
  <c r="K62" i="1"/>
  <c r="N158" i="1"/>
  <c r="K158" i="1"/>
  <c r="M130" i="1"/>
  <c r="K130" i="1"/>
  <c r="L130" i="1"/>
  <c r="N142" i="1"/>
  <c r="L171" i="1"/>
  <c r="K171" i="1"/>
  <c r="N280" i="1"/>
  <c r="K201" i="1"/>
  <c r="L201" i="1"/>
  <c r="L234" i="1"/>
  <c r="M234" i="1"/>
  <c r="K234" i="1"/>
  <c r="N268" i="1"/>
  <c r="K203" i="1"/>
  <c r="L270" i="1"/>
  <c r="K270" i="1"/>
  <c r="M270" i="1"/>
  <c r="K209" i="1"/>
  <c r="L263" i="1"/>
  <c r="K263" i="1"/>
  <c r="M214" i="1"/>
  <c r="L214" i="1"/>
  <c r="K214" i="1"/>
  <c r="K127" i="1"/>
  <c r="L127" i="1"/>
  <c r="L161" i="1"/>
  <c r="K161" i="1"/>
  <c r="N232" i="1"/>
  <c r="N276" i="1"/>
  <c r="K279" i="1"/>
  <c r="L279" i="1"/>
  <c r="N168" i="1"/>
  <c r="L235" i="1"/>
  <c r="K235" i="1"/>
  <c r="L197" i="1"/>
  <c r="K197" i="1"/>
  <c r="M232" i="1"/>
  <c r="L232" i="1"/>
  <c r="K232" i="1"/>
  <c r="K262" i="1"/>
  <c r="L262" i="1"/>
  <c r="M262" i="1"/>
  <c r="N252" i="1"/>
  <c r="M198" i="1"/>
  <c r="L198" i="1"/>
  <c r="K198" i="1"/>
  <c r="L207" i="1"/>
  <c r="K207" i="1"/>
  <c r="K251" i="1"/>
  <c r="L251" i="1"/>
  <c r="M206" i="1"/>
  <c r="L206" i="1"/>
  <c r="K206" i="1"/>
  <c r="N254" i="1"/>
  <c r="L479" i="1"/>
  <c r="K479" i="1"/>
  <c r="N262" i="1"/>
  <c r="M534" i="1"/>
  <c r="K534" i="1"/>
  <c r="L534" i="1"/>
  <c r="K550" i="1"/>
  <c r="M550" i="1"/>
  <c r="L550" i="1"/>
  <c r="L377" i="1"/>
  <c r="K377" i="1"/>
  <c r="K535" i="1"/>
  <c r="L535" i="1"/>
  <c r="N234" i="1"/>
  <c r="L552" i="1"/>
  <c r="K552" i="1"/>
  <c r="M552" i="1"/>
  <c r="N508" i="1"/>
  <c r="K208" i="1"/>
  <c r="M208" i="1"/>
  <c r="L208" i="1"/>
  <c r="L239" i="1"/>
  <c r="K239" i="1"/>
  <c r="N270" i="1"/>
  <c r="K538" i="1"/>
  <c r="M538" i="1"/>
  <c r="L538" i="1"/>
  <c r="L516" i="1"/>
  <c r="K516" i="1"/>
  <c r="M516" i="1"/>
  <c r="L313" i="1"/>
  <c r="K313" i="1"/>
  <c r="L331" i="1"/>
  <c r="K331" i="1"/>
  <c r="K544" i="1"/>
  <c r="M544" i="1"/>
  <c r="L544" i="1"/>
  <c r="L453" i="1"/>
  <c r="K453" i="1"/>
  <c r="N542" i="1"/>
  <c r="L520" i="1"/>
  <c r="K520" i="1"/>
  <c r="M520" i="1"/>
  <c r="L443" i="1"/>
  <c r="K443" i="1"/>
  <c r="M298" i="1"/>
  <c r="K298" i="1"/>
  <c r="L298" i="1"/>
  <c r="L473" i="1"/>
  <c r="K473" i="1"/>
  <c r="N510" i="1"/>
  <c r="L398" i="1"/>
  <c r="K398" i="1"/>
  <c r="M398" i="1"/>
  <c r="L471" i="1"/>
  <c r="K471" i="1"/>
  <c r="K501" i="1"/>
  <c r="L501" i="1"/>
  <c r="M438" i="1"/>
  <c r="K438" i="1"/>
  <c r="L438" i="1"/>
  <c r="M430" i="1"/>
  <c r="K430" i="1"/>
  <c r="L430" i="1"/>
  <c r="L445" i="1"/>
  <c r="K445" i="1"/>
  <c r="L424" i="1"/>
  <c r="K424" i="1"/>
  <c r="M424" i="1"/>
  <c r="M322" i="1"/>
  <c r="K322" i="1"/>
  <c r="L322" i="1"/>
  <c r="L394" i="1"/>
  <c r="M394" i="1"/>
  <c r="K394" i="1"/>
  <c r="L553" i="1"/>
  <c r="K553" i="1"/>
  <c r="N538" i="1"/>
  <c r="M502" i="1"/>
  <c r="K502" i="1"/>
  <c r="L502" i="1"/>
  <c r="L392" i="1"/>
  <c r="M392" i="1"/>
  <c r="K392" i="1"/>
  <c r="L463" i="1"/>
  <c r="K463" i="1"/>
  <c r="L431" i="1"/>
  <c r="K431" i="1"/>
  <c r="M416" i="1"/>
  <c r="L416" i="1"/>
  <c r="K416" i="1"/>
  <c r="L441" i="1"/>
  <c r="K441" i="1"/>
  <c r="M414" i="1"/>
  <c r="L414" i="1"/>
  <c r="K414" i="1"/>
  <c r="M306" i="1"/>
  <c r="K306" i="1"/>
  <c r="L306" i="1"/>
  <c r="K549" i="1"/>
  <c r="L549" i="1"/>
  <c r="L511" i="1"/>
  <c r="K511" i="1"/>
  <c r="L508" i="1"/>
  <c r="K508" i="1"/>
  <c r="M508" i="1"/>
  <c r="N512" i="1"/>
  <c r="K412" i="1"/>
  <c r="M412" i="1"/>
  <c r="L412" i="1"/>
  <c r="L487" i="1"/>
  <c r="K487" i="1"/>
  <c r="L537" i="1"/>
  <c r="K537" i="1"/>
  <c r="K448" i="1"/>
  <c r="L448" i="1"/>
  <c r="M448" i="1"/>
  <c r="L529" i="1"/>
  <c r="K529" i="1"/>
  <c r="L461" i="1"/>
  <c r="K461" i="1"/>
  <c r="L345" i="1"/>
  <c r="K345" i="1"/>
  <c r="L449" i="1"/>
  <c r="K449" i="1"/>
  <c r="M432" i="1"/>
  <c r="L432" i="1"/>
  <c r="K432" i="1"/>
  <c r="M284" i="1"/>
  <c r="L284" i="1"/>
  <c r="K284" i="1"/>
  <c r="L375" i="1"/>
  <c r="K375" i="1"/>
  <c r="K509" i="1"/>
  <c r="L509" i="1"/>
  <c r="L661" i="1"/>
  <c r="K661" i="1"/>
  <c r="K701" i="1"/>
  <c r="L701" i="1"/>
  <c r="K591" i="1"/>
  <c r="L591" i="1"/>
  <c r="N378" i="1"/>
  <c r="K689" i="1"/>
  <c r="L689" i="1"/>
  <c r="M294" i="1"/>
  <c r="K294" i="1"/>
  <c r="L294" i="1"/>
  <c r="N416" i="1"/>
  <c r="K539" i="1"/>
  <c r="L539" i="1"/>
  <c r="K638" i="1"/>
  <c r="L638" i="1"/>
  <c r="M638" i="1"/>
  <c r="M286" i="1"/>
  <c r="K286" i="1"/>
  <c r="L286" i="1"/>
  <c r="L389" i="1"/>
  <c r="K389" i="1"/>
  <c r="L425" i="1"/>
  <c r="K425" i="1"/>
  <c r="K515" i="1"/>
  <c r="L515" i="1"/>
  <c r="L698" i="1"/>
  <c r="K698" i="1"/>
  <c r="M698" i="1"/>
  <c r="K668" i="1"/>
  <c r="L668" i="1"/>
  <c r="M668" i="1"/>
  <c r="N302" i="1"/>
  <c r="N334" i="1"/>
  <c r="K683" i="1"/>
  <c r="L683" i="1"/>
  <c r="N668" i="1"/>
  <c r="M596" i="1"/>
  <c r="L596" i="1"/>
  <c r="K596" i="1"/>
  <c r="L309" i="1"/>
  <c r="K309" i="1"/>
  <c r="N326" i="1"/>
  <c r="M352" i="1"/>
  <c r="K352" i="1"/>
  <c r="L352" i="1"/>
  <c r="N408" i="1"/>
  <c r="L699" i="1"/>
  <c r="K699" i="1"/>
  <c r="K708" i="1"/>
  <c r="M708" i="1"/>
  <c r="L708" i="1"/>
  <c r="K712" i="1"/>
  <c r="M712" i="1"/>
  <c r="L712" i="1"/>
  <c r="K663" i="1"/>
  <c r="L663" i="1"/>
  <c r="K560" i="1"/>
  <c r="L560" i="1"/>
  <c r="M560" i="1"/>
  <c r="L587" i="1"/>
  <c r="K587" i="1"/>
  <c r="N620" i="1"/>
  <c r="L579" i="1"/>
  <c r="K579" i="1"/>
  <c r="L569" i="1"/>
  <c r="N596" i="1"/>
  <c r="K603" i="1"/>
  <c r="L603" i="1"/>
  <c r="L619" i="1"/>
  <c r="K619" i="1"/>
  <c r="N350" i="1"/>
  <c r="N368" i="1"/>
  <c r="N388" i="1"/>
  <c r="N698" i="1"/>
  <c r="K700" i="1"/>
  <c r="M700" i="1"/>
  <c r="L700" i="1"/>
  <c r="L665" i="1"/>
  <c r="K665" i="1"/>
  <c r="K720" i="1"/>
  <c r="M720" i="1"/>
  <c r="L720" i="1"/>
  <c r="K625" i="1"/>
  <c r="L625" i="1"/>
  <c r="L709" i="1"/>
  <c r="K709" i="1"/>
  <c r="N566" i="1"/>
  <c r="K727" i="1"/>
  <c r="L727" i="1"/>
  <c r="N576" i="1"/>
  <c r="L379" i="1"/>
  <c r="K379" i="1"/>
  <c r="N390" i="1"/>
  <c r="N400" i="1"/>
  <c r="N422" i="1"/>
  <c r="N430" i="1"/>
  <c r="N444" i="1"/>
  <c r="N452" i="1"/>
  <c r="N460" i="1"/>
  <c r="N468" i="1"/>
  <c r="N476" i="1"/>
  <c r="N484" i="1"/>
  <c r="N492" i="1"/>
  <c r="K505" i="1"/>
  <c r="L505" i="1"/>
  <c r="L541" i="1"/>
  <c r="K541" i="1"/>
  <c r="N684" i="1"/>
  <c r="M656" i="1"/>
  <c r="K657" i="1"/>
  <c r="L657" i="1"/>
  <c r="K643" i="1"/>
  <c r="L643" i="1"/>
  <c r="K693" i="1"/>
  <c r="L693" i="1"/>
  <c r="K641" i="1"/>
  <c r="L641" i="1"/>
  <c r="L636" i="1"/>
  <c r="M636" i="1"/>
  <c r="K595" i="1"/>
  <c r="L595" i="1"/>
  <c r="K593" i="1"/>
  <c r="L593" i="1"/>
  <c r="M592" i="1"/>
  <c r="K592" i="1"/>
  <c r="L592" i="1"/>
  <c r="L705" i="1"/>
  <c r="K705" i="1"/>
  <c r="K660" i="1"/>
  <c r="M660" i="1"/>
  <c r="L660" i="1"/>
  <c r="M610" i="1"/>
  <c r="L610" i="1"/>
  <c r="K610" i="1"/>
  <c r="M752" i="1"/>
  <c r="K753" i="1"/>
  <c r="L753" i="1"/>
  <c r="L570" i="1"/>
  <c r="M570" i="1"/>
  <c r="K570" i="1"/>
  <c r="K664" i="1"/>
  <c r="L664" i="1"/>
  <c r="M664" i="1"/>
  <c r="M566" i="1"/>
  <c r="K566" i="1"/>
  <c r="L566" i="1"/>
  <c r="K642" i="1"/>
  <c r="L642" i="1"/>
  <c r="M642" i="1"/>
  <c r="K715" i="1"/>
  <c r="L715" i="1"/>
  <c r="L812" i="1"/>
  <c r="M812" i="1"/>
  <c r="K812" i="1"/>
  <c r="L572" i="1"/>
  <c r="M572" i="1"/>
  <c r="K572" i="1"/>
  <c r="L737" i="1"/>
  <c r="K737" i="1"/>
  <c r="K676" i="1"/>
  <c r="N676" i="1"/>
  <c r="M776" i="1"/>
  <c r="L776" i="1"/>
  <c r="K776" i="1"/>
  <c r="L805" i="1"/>
  <c r="K805" i="1"/>
  <c r="K658" i="1"/>
  <c r="M658" i="1"/>
  <c r="L658" i="1"/>
  <c r="L796" i="1"/>
  <c r="K796" i="1"/>
  <c r="M796" i="1"/>
  <c r="K800" i="1"/>
  <c r="M800" i="1"/>
  <c r="L800" i="1"/>
  <c r="L629" i="1"/>
  <c r="M768" i="1"/>
  <c r="L769" i="1"/>
  <c r="K769" i="1"/>
  <c r="K780" i="1"/>
  <c r="L780" i="1"/>
  <c r="M780" i="1"/>
  <c r="M754" i="1"/>
  <c r="K755" i="1"/>
  <c r="L755" i="1"/>
  <c r="K739" i="1"/>
  <c r="L739" i="1"/>
  <c r="L794" i="1"/>
  <c r="M794" i="1"/>
  <c r="K794" i="1"/>
  <c r="L793" i="1"/>
  <c r="K793" i="1"/>
  <c r="N730" i="1"/>
  <c r="L773" i="1"/>
  <c r="K773" i="1"/>
  <c r="L781" i="1"/>
  <c r="K781" i="1"/>
  <c r="N810" i="1"/>
  <c r="N776" i="1"/>
  <c r="N804" i="1"/>
  <c r="N798" i="1"/>
  <c r="N738" i="1"/>
  <c r="N740" i="1"/>
  <c r="M738" i="1"/>
  <c r="L738" i="1"/>
  <c r="K738" i="1"/>
  <c r="M882" i="1"/>
  <c r="L882" i="1"/>
  <c r="K882" i="1"/>
  <c r="M830" i="1"/>
  <c r="L830" i="1"/>
  <c r="K830" i="1"/>
  <c r="K862" i="1"/>
  <c r="M862" i="1"/>
  <c r="L862" i="1"/>
  <c r="K876" i="1"/>
  <c r="M876" i="1"/>
  <c r="L876" i="1"/>
  <c r="L847" i="1"/>
  <c r="K847" i="1"/>
  <c r="K824" i="1"/>
  <c r="L824" i="1"/>
  <c r="M824" i="1"/>
  <c r="L870" i="1"/>
  <c r="K870" i="1"/>
  <c r="M870" i="1"/>
  <c r="K849" i="1"/>
  <c r="L849" i="1"/>
  <c r="N756" i="1"/>
  <c r="L807" i="1"/>
  <c r="K807" i="1"/>
  <c r="K821" i="1"/>
  <c r="N744" i="1"/>
  <c r="K768" i="1"/>
  <c r="N768" i="1"/>
  <c r="L803" i="1"/>
  <c r="K803" i="1"/>
  <c r="L845" i="1"/>
  <c r="K845" i="1"/>
  <c r="N842" i="1"/>
  <c r="L854" i="1"/>
  <c r="K854" i="1"/>
  <c r="M854" i="1"/>
  <c r="K820" i="1"/>
  <c r="L820" i="1"/>
  <c r="M820" i="1"/>
  <c r="N820" i="1"/>
  <c r="K891" i="1"/>
  <c r="L891" i="1"/>
  <c r="N764" i="1"/>
  <c r="N824" i="1"/>
  <c r="K823" i="1"/>
  <c r="M852" i="1"/>
  <c r="K852" i="1"/>
  <c r="L852" i="1"/>
  <c r="K817" i="1"/>
  <c r="N882" i="1"/>
  <c r="M816" i="1"/>
  <c r="L816" i="1"/>
  <c r="K816" i="1"/>
  <c r="N864" i="1"/>
  <c r="K819" i="1"/>
  <c r="L887" i="1"/>
  <c r="K887" i="1"/>
  <c r="K863" i="1"/>
  <c r="L863" i="1"/>
  <c r="N860" i="1"/>
  <c r="M944" i="1"/>
  <c r="L944" i="1"/>
  <c r="K944" i="1"/>
  <c r="K942" i="1"/>
  <c r="M942" i="1"/>
  <c r="L942" i="1"/>
  <c r="M932" i="1"/>
  <c r="L932" i="1"/>
  <c r="K932" i="1"/>
  <c r="K920" i="1"/>
  <c r="M920" i="1"/>
  <c r="L920" i="1"/>
  <c r="L873" i="1"/>
  <c r="K873" i="1"/>
  <c r="L857" i="1"/>
  <c r="K857" i="1"/>
  <c r="L879" i="1"/>
  <c r="K879" i="1"/>
  <c r="N928" i="1"/>
  <c r="N946" i="1"/>
  <c r="K919" i="1"/>
  <c r="L919" i="1"/>
  <c r="M978" i="1"/>
  <c r="L978" i="1"/>
  <c r="K978" i="1"/>
  <c r="M922" i="1"/>
  <c r="L922" i="1"/>
  <c r="K922" i="1"/>
  <c r="L965" i="1"/>
  <c r="K965" i="1"/>
  <c r="L947" i="1"/>
  <c r="K947" i="1"/>
  <c r="N884" i="1"/>
  <c r="M908" i="1"/>
  <c r="L908" i="1"/>
  <c r="K908" i="1"/>
  <c r="N918" i="1"/>
  <c r="N876" i="1"/>
  <c r="M938" i="1"/>
  <c r="K938" i="1"/>
  <c r="L938" i="1"/>
  <c r="N982" i="1"/>
  <c r="M972" i="1"/>
  <c r="K972" i="1"/>
  <c r="L972" i="1"/>
  <c r="K918" i="1"/>
  <c r="M918" i="1"/>
  <c r="L918" i="1"/>
  <c r="M956" i="1"/>
  <c r="K956" i="1"/>
  <c r="L956" i="1"/>
  <c r="L933" i="1"/>
  <c r="K933" i="1"/>
  <c r="L912" i="1"/>
  <c r="K912" i="1"/>
  <c r="M912" i="1"/>
  <c r="K917" i="1"/>
  <c r="L917" i="1"/>
  <c r="L977" i="1"/>
  <c r="K977" i="1"/>
  <c r="K1041" i="1"/>
  <c r="L1041" i="1"/>
  <c r="K1023" i="1"/>
  <c r="L1023" i="1"/>
  <c r="L1015" i="1"/>
  <c r="K1015" i="1"/>
  <c r="N964" i="1"/>
  <c r="M1010" i="1"/>
  <c r="L1010" i="1"/>
  <c r="K1010" i="1"/>
  <c r="L1006" i="1"/>
  <c r="K1006" i="1"/>
  <c r="M1006" i="1"/>
  <c r="K990" i="1"/>
  <c r="L990" i="1"/>
  <c r="M990" i="1"/>
  <c r="K1058" i="1"/>
  <c r="L1058" i="1"/>
  <c r="M1058" i="1"/>
  <c r="N956" i="1"/>
  <c r="L1027" i="1"/>
  <c r="K1027" i="1"/>
  <c r="N950" i="1"/>
  <c r="N972" i="1"/>
  <c r="M992" i="1"/>
  <c r="K993" i="1"/>
  <c r="L993" i="1"/>
  <c r="L1007" i="1"/>
  <c r="K1007" i="1"/>
  <c r="N1004" i="1"/>
  <c r="L1051" i="1"/>
  <c r="K1051" i="1"/>
  <c r="K1035" i="1"/>
  <c r="L1035" i="1"/>
  <c r="K995" i="1"/>
  <c r="L995" i="1"/>
  <c r="L1049" i="1"/>
  <c r="K1049" i="1"/>
  <c r="L1031" i="1"/>
  <c r="K1031" i="1"/>
  <c r="L1029" i="1"/>
  <c r="K1029" i="1"/>
  <c r="K992" i="1"/>
  <c r="L992" i="1"/>
  <c r="K1050" i="1"/>
  <c r="L1050" i="1"/>
  <c r="M1050" i="1"/>
  <c r="K1046" i="1"/>
  <c r="L1046" i="1"/>
  <c r="M1046" i="1"/>
  <c r="K1038" i="1"/>
  <c r="L1038" i="1"/>
  <c r="M1038" i="1"/>
  <c r="N992" i="1"/>
  <c r="K1022" i="1"/>
  <c r="L1022" i="1"/>
  <c r="M1022" i="1"/>
  <c r="M1092" i="1"/>
  <c r="L1093" i="1"/>
  <c r="K1093" i="1"/>
  <c r="N994" i="1"/>
  <c r="M1084" i="1"/>
  <c r="L1084" i="1"/>
  <c r="K1084" i="1"/>
  <c r="M1146" i="1"/>
  <c r="K1146" i="1"/>
  <c r="L1146" i="1"/>
  <c r="N996" i="1"/>
  <c r="N1048" i="1"/>
  <c r="N1064" i="1"/>
  <c r="M1124" i="1"/>
  <c r="L1124" i="1"/>
  <c r="K1124" i="1"/>
  <c r="N1114" i="1"/>
  <c r="L1087" i="1"/>
  <c r="K1087" i="1"/>
  <c r="N998" i="1"/>
  <c r="M1016" i="1"/>
  <c r="K1016" i="1"/>
  <c r="L1016" i="1"/>
  <c r="N1042" i="1"/>
  <c r="K1052" i="1"/>
  <c r="M1052" i="1"/>
  <c r="L1052" i="1"/>
  <c r="M1132" i="1"/>
  <c r="L1132" i="1"/>
  <c r="K1132" i="1"/>
  <c r="L1144" i="1"/>
  <c r="K1144" i="1"/>
  <c r="M1144" i="1"/>
  <c r="K1134" i="1"/>
  <c r="M1134" i="1"/>
  <c r="L1134" i="1"/>
  <c r="M1120" i="1"/>
  <c r="L1120" i="1"/>
  <c r="K1120" i="1"/>
  <c r="N1076" i="1"/>
  <c r="L1113" i="1"/>
  <c r="K1113" i="1"/>
  <c r="L1107" i="1"/>
  <c r="K1107" i="1"/>
  <c r="K1074" i="1"/>
  <c r="M1074" i="1"/>
  <c r="L1074" i="1"/>
  <c r="M1090" i="1"/>
  <c r="L1090" i="1"/>
  <c r="K1090" i="1"/>
  <c r="K1148" i="1"/>
  <c r="M1148" i="1"/>
  <c r="L1148" i="1"/>
  <c r="K1123" i="1"/>
  <c r="L1123" i="1"/>
  <c r="N1138" i="1"/>
  <c r="L1095" i="1"/>
  <c r="K1095" i="1"/>
  <c r="K1100" i="1"/>
  <c r="L1100" i="1"/>
  <c r="M1100" i="1"/>
  <c r="L1153" i="1"/>
  <c r="K1153" i="1"/>
  <c r="K1083" i="1"/>
  <c r="L1083" i="1"/>
  <c r="L1151" i="1"/>
  <c r="K1151" i="1"/>
  <c r="N1078" i="1"/>
  <c r="L1133" i="1"/>
  <c r="K1133" i="1"/>
  <c r="N1116" i="1"/>
  <c r="K1171" i="1"/>
  <c r="M1171" i="1"/>
  <c r="L1171" i="1"/>
  <c r="N1179" i="1"/>
  <c r="M1225" i="1"/>
  <c r="L1225" i="1"/>
  <c r="K1225" i="1"/>
  <c r="N1185" i="1"/>
  <c r="M1197" i="1"/>
  <c r="L1197" i="1"/>
  <c r="K1197" i="1"/>
  <c r="K1147" i="1"/>
  <c r="L1147" i="1"/>
  <c r="K1173" i="1"/>
  <c r="M1173" i="1"/>
  <c r="L1173" i="1"/>
  <c r="N1112" i="1"/>
  <c r="L1191" i="1"/>
  <c r="K1191" i="1"/>
  <c r="M1191" i="1"/>
  <c r="M1183" i="1"/>
  <c r="K1183" i="1"/>
  <c r="L1183" i="1"/>
  <c r="L1155" i="1"/>
  <c r="K1155" i="1"/>
  <c r="N1181" i="1"/>
  <c r="L1220" i="1"/>
  <c r="K1220" i="1"/>
  <c r="K1125" i="1"/>
  <c r="L1125" i="1"/>
  <c r="K1189" i="1"/>
  <c r="M1189" i="1"/>
  <c r="L1189" i="1"/>
  <c r="L1181" i="1"/>
  <c r="K1181" i="1"/>
  <c r="M1181" i="1"/>
  <c r="M1195" i="1"/>
  <c r="L1195" i="1"/>
  <c r="K1195" i="1"/>
  <c r="K1205" i="1"/>
  <c r="M1205" i="1"/>
  <c r="L1205" i="1"/>
  <c r="M1211" i="1"/>
  <c r="L1211" i="1"/>
  <c r="K1211" i="1"/>
  <c r="L1172" i="1"/>
  <c r="K1172" i="1"/>
  <c r="L1157" i="1"/>
  <c r="K1157" i="1"/>
  <c r="K1103" i="1"/>
  <c r="L1103" i="1"/>
  <c r="N1120" i="1"/>
  <c r="L1137" i="1"/>
  <c r="K1137" i="1"/>
  <c r="N1239" i="1"/>
  <c r="L1160" i="1"/>
  <c r="K1160" i="1"/>
  <c r="M1160" i="1"/>
  <c r="M1162" i="1"/>
  <c r="L1162" i="1"/>
  <c r="K1162" i="1"/>
  <c r="N1203" i="1"/>
  <c r="N1207" i="1"/>
  <c r="N1171" i="1"/>
  <c r="M1239" i="1"/>
  <c r="K1239" i="1"/>
  <c r="L1239" i="1"/>
  <c r="K1212" i="1"/>
  <c r="L1212" i="1"/>
  <c r="N1197" i="1"/>
  <c r="L1240" i="1"/>
  <c r="K1240" i="1"/>
  <c r="N1215" i="1"/>
  <c r="N1229" i="1"/>
  <c r="K116" i="1"/>
  <c r="L116" i="1"/>
  <c r="M116" i="1"/>
  <c r="M66" i="1"/>
  <c r="L66" i="1"/>
  <c r="K66" i="1"/>
  <c r="L93" i="1"/>
  <c r="K93" i="1"/>
  <c r="N96" i="1"/>
  <c r="N42" i="1"/>
  <c r="K99" i="1"/>
  <c r="L99" i="1"/>
  <c r="L159" i="1"/>
  <c r="K159" i="1"/>
  <c r="M186" i="1"/>
  <c r="N34" i="1"/>
  <c r="L55" i="1"/>
  <c r="L73" i="1"/>
  <c r="L144" i="1"/>
  <c r="L135" i="1"/>
  <c r="K135" i="1"/>
  <c r="K60" i="1"/>
  <c r="L60" i="1"/>
  <c r="M60" i="1"/>
  <c r="K25" i="1"/>
  <c r="L25" i="1"/>
  <c r="M18" i="1"/>
  <c r="K18" i="1"/>
  <c r="L18" i="1"/>
  <c r="L123" i="1"/>
  <c r="K123" i="1"/>
  <c r="N16" i="1"/>
  <c r="L75" i="1"/>
  <c r="K75" i="1"/>
  <c r="M166" i="1"/>
  <c r="L166" i="1"/>
  <c r="K166" i="1"/>
  <c r="N112" i="1"/>
  <c r="L67" i="1"/>
  <c r="K67" i="1"/>
  <c r="L111" i="1"/>
  <c r="K111" i="1"/>
  <c r="N148" i="1"/>
  <c r="L47" i="1"/>
  <c r="L124" i="1"/>
  <c r="I15" i="1"/>
  <c r="M82" i="1"/>
  <c r="L82" i="1"/>
  <c r="K82" i="1"/>
  <c r="L63" i="1"/>
  <c r="L118" i="1"/>
  <c r="M158" i="1"/>
  <c r="L184" i="1"/>
  <c r="L92" i="1"/>
  <c r="M92" i="1"/>
  <c r="K92" i="1"/>
  <c r="L83" i="1"/>
  <c r="K83" i="1"/>
  <c r="L261" i="1"/>
  <c r="K261" i="1"/>
  <c r="L110" i="1"/>
  <c r="K110" i="1"/>
  <c r="M110" i="1"/>
  <c r="K273" i="1"/>
  <c r="L273" i="1"/>
  <c r="L145" i="1"/>
  <c r="K145" i="1"/>
  <c r="M236" i="1"/>
  <c r="L236" i="1"/>
  <c r="K236" i="1"/>
  <c r="K202" i="1"/>
  <c r="M202" i="1"/>
  <c r="L202" i="1"/>
  <c r="L257" i="1"/>
  <c r="K257" i="1"/>
  <c r="K266" i="1"/>
  <c r="M266" i="1"/>
  <c r="L266" i="1"/>
  <c r="N250" i="1"/>
  <c r="K283" i="1"/>
  <c r="L283" i="1"/>
  <c r="K243" i="1"/>
  <c r="L243" i="1"/>
  <c r="L413" i="1"/>
  <c r="K413" i="1"/>
  <c r="K518" i="1"/>
  <c r="M518" i="1"/>
  <c r="L518" i="1"/>
  <c r="L388" i="1"/>
  <c r="M388" i="1"/>
  <c r="K388" i="1"/>
  <c r="L499" i="1"/>
  <c r="K499" i="1"/>
  <c r="L542" i="1"/>
  <c r="K542" i="1"/>
  <c r="M542" i="1"/>
  <c r="M330" i="1"/>
  <c r="K330" i="1"/>
  <c r="L330" i="1"/>
  <c r="M444" i="1"/>
  <c r="K444" i="1"/>
  <c r="L444" i="1"/>
  <c r="L526" i="1"/>
  <c r="M526" i="1"/>
  <c r="K526" i="1"/>
  <c r="L374" i="1"/>
  <c r="M374" i="1"/>
  <c r="K374" i="1"/>
  <c r="L485" i="1"/>
  <c r="K485" i="1"/>
  <c r="L465" i="1"/>
  <c r="K465" i="1"/>
  <c r="M300" i="1"/>
  <c r="L300" i="1"/>
  <c r="K300" i="1"/>
  <c r="K507" i="1"/>
  <c r="L507" i="1"/>
  <c r="L495" i="1"/>
  <c r="K495" i="1"/>
  <c r="K349" i="1"/>
  <c r="L368" i="1"/>
  <c r="M368" i="1"/>
  <c r="K368" i="1"/>
  <c r="M292" i="1"/>
  <c r="L292" i="1"/>
  <c r="K292" i="1"/>
  <c r="L451" i="1"/>
  <c r="K451" i="1"/>
  <c r="K464" i="1"/>
  <c r="L464" i="1"/>
  <c r="M464" i="1"/>
  <c r="L307" i="1"/>
  <c r="K307" i="1"/>
  <c r="M360" i="1"/>
  <c r="K360" i="1"/>
  <c r="L360" i="1"/>
  <c r="K728" i="1"/>
  <c r="M728" i="1"/>
  <c r="L728" i="1"/>
  <c r="M310" i="1"/>
  <c r="K310" i="1"/>
  <c r="L310" i="1"/>
  <c r="M334" i="1"/>
  <c r="K334" i="1"/>
  <c r="L334" i="1"/>
  <c r="L401" i="1"/>
  <c r="K401" i="1"/>
  <c r="L555" i="1"/>
  <c r="K555" i="1"/>
  <c r="M466" i="1"/>
  <c r="K466" i="1"/>
  <c r="L466" i="1"/>
  <c r="L562" i="1"/>
  <c r="K562" i="1"/>
  <c r="M562" i="1"/>
  <c r="L612" i="1"/>
  <c r="M612" i="1"/>
  <c r="K612" i="1"/>
  <c r="M618" i="1"/>
  <c r="L618" i="1"/>
  <c r="K618" i="1"/>
  <c r="M614" i="1"/>
  <c r="K614" i="1"/>
  <c r="L614" i="1"/>
  <c r="M304" i="1"/>
  <c r="K304" i="1"/>
  <c r="L304" i="1"/>
  <c r="M344" i="1"/>
  <c r="K344" i="1"/>
  <c r="L344" i="1"/>
  <c r="L399" i="1"/>
  <c r="K399" i="1"/>
  <c r="L421" i="1"/>
  <c r="K421" i="1"/>
  <c r="L690" i="1"/>
  <c r="K690" i="1"/>
  <c r="M690" i="1"/>
  <c r="L626" i="1"/>
  <c r="K626" i="1"/>
  <c r="M626" i="1"/>
  <c r="K609" i="1"/>
  <c r="L609" i="1"/>
  <c r="K617" i="1"/>
  <c r="L617" i="1"/>
  <c r="K565" i="1"/>
  <c r="L565" i="1"/>
  <c r="L745" i="1"/>
  <c r="K745" i="1"/>
  <c r="L604" i="1"/>
  <c r="M604" i="1"/>
  <c r="K604" i="1"/>
  <c r="K648" i="1"/>
  <c r="M648" i="1"/>
  <c r="L648" i="1"/>
  <c r="M576" i="1"/>
  <c r="K576" i="1"/>
  <c r="L576" i="1"/>
  <c r="K723" i="1"/>
  <c r="L723" i="1"/>
  <c r="L790" i="1"/>
  <c r="M790" i="1"/>
  <c r="K790" i="1"/>
  <c r="M806" i="1"/>
  <c r="L806" i="1"/>
  <c r="K806" i="1"/>
  <c r="L740" i="1"/>
  <c r="K740" i="1"/>
  <c r="N770" i="1"/>
  <c r="L813" i="1"/>
  <c r="K813" i="1"/>
  <c r="L840" i="1"/>
  <c r="K840" i="1"/>
  <c r="M840" i="1"/>
  <c r="K881" i="1"/>
  <c r="L881" i="1"/>
  <c r="K754" i="1"/>
  <c r="L754" i="1"/>
  <c r="L877" i="1"/>
  <c r="K877" i="1"/>
  <c r="M874" i="1"/>
  <c r="K874" i="1"/>
  <c r="L874" i="1"/>
  <c r="K825" i="1"/>
  <c r="L825" i="1"/>
  <c r="K832" i="1"/>
  <c r="M832" i="1"/>
  <c r="L832" i="1"/>
  <c r="L865" i="1"/>
  <c r="K865" i="1"/>
  <c r="K982" i="1"/>
  <c r="M982" i="1"/>
  <c r="L982" i="1"/>
  <c r="N900" i="1"/>
  <c r="L869" i="1"/>
  <c r="K869" i="1"/>
  <c r="L979" i="1"/>
  <c r="K979" i="1"/>
  <c r="M954" i="1"/>
  <c r="L954" i="1"/>
  <c r="K954" i="1"/>
  <c r="L915" i="1"/>
  <c r="K915" i="1"/>
  <c r="K911" i="1"/>
  <c r="L911" i="1"/>
  <c r="K935" i="1"/>
  <c r="L935" i="1"/>
  <c r="K1055" i="1"/>
  <c r="L1055" i="1"/>
  <c r="L1063" i="1"/>
  <c r="K1063" i="1"/>
  <c r="K1032" i="1"/>
  <c r="L1032" i="1"/>
  <c r="M1032" i="1"/>
  <c r="K1070" i="1"/>
  <c r="L1070" i="1"/>
  <c r="M1070" i="1"/>
  <c r="K994" i="1"/>
  <c r="L994" i="1"/>
  <c r="M994" i="1"/>
  <c r="L1076" i="1"/>
  <c r="K1076" i="1"/>
  <c r="M1076" i="1"/>
  <c r="L1110" i="1"/>
  <c r="K1110" i="1"/>
  <c r="M1110" i="1"/>
  <c r="N1096" i="1"/>
  <c r="L1115" i="1"/>
  <c r="K1115" i="1"/>
  <c r="M1233" i="1"/>
  <c r="L1233" i="1"/>
  <c r="K1233" i="1"/>
  <c r="M1156" i="1"/>
  <c r="K1156" i="1"/>
  <c r="L1156" i="1"/>
  <c r="N1169" i="1"/>
  <c r="L1161" i="1"/>
  <c r="K1161" i="1"/>
  <c r="L1119" i="1"/>
  <c r="K1119" i="1"/>
  <c r="M1175" i="1"/>
  <c r="L1175" i="1"/>
  <c r="K1175" i="1"/>
  <c r="M1213" i="1"/>
  <c r="L1213" i="1"/>
  <c r="K1213" i="1"/>
  <c r="M1237" i="1"/>
  <c r="L1237" i="1"/>
  <c r="K1237" i="1"/>
  <c r="K1234" i="1"/>
  <c r="L1234" i="1"/>
  <c r="L172" i="1"/>
  <c r="L165" i="1"/>
  <c r="K165" i="1"/>
  <c r="L174" i="1"/>
  <c r="M174" i="1"/>
  <c r="K174" i="1"/>
  <c r="K97" i="1"/>
  <c r="L97" i="1"/>
  <c r="M28" i="1"/>
  <c r="K28" i="1"/>
  <c r="L28" i="1"/>
  <c r="L189" i="1"/>
  <c r="K189" i="1"/>
  <c r="K242" i="1"/>
  <c r="M242" i="1"/>
  <c r="L242" i="1"/>
  <c r="M194" i="1"/>
  <c r="K194" i="1"/>
  <c r="L194" i="1"/>
  <c r="M204" i="1"/>
  <c r="L204" i="1"/>
  <c r="K204" i="1"/>
  <c r="L64" i="1"/>
  <c r="M64" i="1"/>
  <c r="K64" i="1"/>
  <c r="L45" i="1"/>
  <c r="K45" i="1"/>
  <c r="K131" i="1"/>
  <c r="L131" i="1"/>
  <c r="L173" i="1"/>
  <c r="K173" i="1"/>
  <c r="L177" i="1"/>
  <c r="K177" i="1"/>
  <c r="L250" i="1"/>
  <c r="K250" i="1"/>
  <c r="M250" i="1"/>
  <c r="L282" i="1"/>
  <c r="M282" i="1"/>
  <c r="K282" i="1"/>
  <c r="N224" i="1"/>
  <c r="N256" i="1"/>
  <c r="K200" i="1"/>
  <c r="L200" i="1"/>
  <c r="M200" i="1"/>
  <c r="L155" i="1"/>
  <c r="K155" i="1"/>
  <c r="K187" i="1"/>
  <c r="L187" i="1"/>
  <c r="L199" i="1"/>
  <c r="N264" i="1"/>
  <c r="K224" i="1"/>
  <c r="M224" i="1"/>
  <c r="L224" i="1"/>
  <c r="N282" i="1"/>
  <c r="L258" i="1"/>
  <c r="K258" i="1"/>
  <c r="M258" i="1"/>
  <c r="N242" i="1"/>
  <c r="M280" i="1"/>
  <c r="L280" i="1"/>
  <c r="K280" i="1"/>
  <c r="L218" i="1"/>
  <c r="K218" i="1"/>
  <c r="M218" i="1"/>
  <c r="L216" i="1"/>
  <c r="M216" i="1"/>
  <c r="K216" i="1"/>
  <c r="M540" i="1"/>
  <c r="L540" i="1"/>
  <c r="K540" i="1"/>
  <c r="K528" i="1"/>
  <c r="M528" i="1"/>
  <c r="L528" i="1"/>
  <c r="L376" i="1"/>
  <c r="M376" i="1"/>
  <c r="K376" i="1"/>
  <c r="L385" i="1"/>
  <c r="K385" i="1"/>
  <c r="L383" i="1"/>
  <c r="K383" i="1"/>
  <c r="L255" i="1"/>
  <c r="K255" i="1"/>
  <c r="L220" i="1"/>
  <c r="K220" i="1"/>
  <c r="M220" i="1"/>
  <c r="L249" i="1"/>
  <c r="K249" i="1"/>
  <c r="L271" i="1"/>
  <c r="K271" i="1"/>
  <c r="K532" i="1"/>
  <c r="M532" i="1"/>
  <c r="L532" i="1"/>
  <c r="L418" i="1"/>
  <c r="K418" i="1"/>
  <c r="M418" i="1"/>
  <c r="L363" i="1"/>
  <c r="K363" i="1"/>
  <c r="M340" i="1"/>
  <c r="L340" i="1"/>
  <c r="K340" i="1"/>
  <c r="L530" i="1"/>
  <c r="K530" i="1"/>
  <c r="M530" i="1"/>
  <c r="M350" i="1"/>
  <c r="K350" i="1"/>
  <c r="L350" i="1"/>
  <c r="L536" i="1"/>
  <c r="M536" i="1"/>
  <c r="K536" i="1"/>
  <c r="N516" i="1"/>
  <c r="L489" i="1"/>
  <c r="K489" i="1"/>
  <c r="L299" i="1"/>
  <c r="K299" i="1"/>
  <c r="K503" i="1"/>
  <c r="L503" i="1"/>
  <c r="M372" i="1"/>
  <c r="L372" i="1"/>
  <c r="K372" i="1"/>
  <c r="L437" i="1"/>
  <c r="K437" i="1"/>
  <c r="M488" i="1"/>
  <c r="K488" i="1"/>
  <c r="L488" i="1"/>
  <c r="L369" i="1"/>
  <c r="K369" i="1"/>
  <c r="M396" i="1"/>
  <c r="L396" i="1"/>
  <c r="K396" i="1"/>
  <c r="L386" i="1"/>
  <c r="M386" i="1"/>
  <c r="K386" i="1"/>
  <c r="K371" i="1"/>
  <c r="L371" i="1"/>
  <c r="L285" i="1"/>
  <c r="K285" i="1"/>
  <c r="N534" i="1"/>
  <c r="N554" i="1"/>
  <c r="L491" i="1"/>
  <c r="K491" i="1"/>
  <c r="M370" i="1"/>
  <c r="K370" i="1"/>
  <c r="L370" i="1"/>
  <c r="L429" i="1"/>
  <c r="K429" i="1"/>
  <c r="M484" i="1"/>
  <c r="K484" i="1"/>
  <c r="L484" i="1"/>
  <c r="M346" i="1"/>
  <c r="K346" i="1"/>
  <c r="L346" i="1"/>
  <c r="L366" i="1"/>
  <c r="K366" i="1"/>
  <c r="M366" i="1"/>
  <c r="L380" i="1"/>
  <c r="M380" i="1"/>
  <c r="K380" i="1"/>
  <c r="K519" i="1"/>
  <c r="L519" i="1"/>
  <c r="L347" i="1"/>
  <c r="K347" i="1"/>
  <c r="M440" i="1"/>
  <c r="L440" i="1"/>
  <c r="K440" i="1"/>
  <c r="L506" i="1"/>
  <c r="M506" i="1"/>
  <c r="K506" i="1"/>
  <c r="K500" i="1"/>
  <c r="L500" i="1"/>
  <c r="M500" i="1"/>
  <c r="L384" i="1"/>
  <c r="M384" i="1"/>
  <c r="K384" i="1"/>
  <c r="L455" i="1"/>
  <c r="K455" i="1"/>
  <c r="K496" i="1"/>
  <c r="L496" i="1"/>
  <c r="M496" i="1"/>
  <c r="L393" i="1"/>
  <c r="K393" i="1"/>
  <c r="M402" i="1"/>
  <c r="L402" i="1"/>
  <c r="K402" i="1"/>
  <c r="L423" i="1"/>
  <c r="K423" i="1"/>
  <c r="M410" i="1"/>
  <c r="L410" i="1"/>
  <c r="K410" i="1"/>
  <c r="M290" i="1"/>
  <c r="K290" i="1"/>
  <c r="L290" i="1"/>
  <c r="L551" i="1"/>
  <c r="K551" i="1"/>
  <c r="K513" i="1"/>
  <c r="L513" i="1"/>
  <c r="M302" i="1"/>
  <c r="K302" i="1"/>
  <c r="L302" i="1"/>
  <c r="L351" i="1"/>
  <c r="K351" i="1"/>
  <c r="L415" i="1"/>
  <c r="K415" i="1"/>
  <c r="N466" i="1"/>
  <c r="K687" i="1"/>
  <c r="L687" i="1"/>
  <c r="K649" i="1"/>
  <c r="L649" i="1"/>
  <c r="L583" i="1"/>
  <c r="K583" i="1"/>
  <c r="N428" i="1"/>
  <c r="M694" i="1"/>
  <c r="L694" i="1"/>
  <c r="K694" i="1"/>
  <c r="L659" i="1"/>
  <c r="K659" i="1"/>
  <c r="L580" i="1"/>
  <c r="M580" i="1"/>
  <c r="K580" i="1"/>
  <c r="M342" i="1"/>
  <c r="K342" i="1"/>
  <c r="L342" i="1"/>
  <c r="N366" i="1"/>
  <c r="L397" i="1"/>
  <c r="K397" i="1"/>
  <c r="N420" i="1"/>
  <c r="N724" i="1"/>
  <c r="K623" i="1"/>
  <c r="L623" i="1"/>
  <c r="L365" i="1"/>
  <c r="K365" i="1"/>
  <c r="L391" i="1"/>
  <c r="K391" i="1"/>
  <c r="L405" i="1"/>
  <c r="K405" i="1"/>
  <c r="K531" i="1"/>
  <c r="L531" i="1"/>
  <c r="K677" i="1"/>
  <c r="L677" i="1"/>
  <c r="K633" i="1"/>
  <c r="L633" i="1"/>
  <c r="L317" i="1"/>
  <c r="K317" i="1"/>
  <c r="M696" i="1"/>
  <c r="L696" i="1"/>
  <c r="K696" i="1"/>
  <c r="L581" i="1"/>
  <c r="K581" i="1"/>
  <c r="L293" i="1"/>
  <c r="K293" i="1"/>
  <c r="N310" i="1"/>
  <c r="N386" i="1"/>
  <c r="L442" i="1"/>
  <c r="K442" i="1"/>
  <c r="M442" i="1"/>
  <c r="M458" i="1"/>
  <c r="K458" i="1"/>
  <c r="L458" i="1"/>
  <c r="M474" i="1"/>
  <c r="K474" i="1"/>
  <c r="L474" i="1"/>
  <c r="M490" i="1"/>
  <c r="K490" i="1"/>
  <c r="L490" i="1"/>
  <c r="K710" i="1"/>
  <c r="M710" i="1"/>
  <c r="L710" i="1"/>
  <c r="N706" i="1"/>
  <c r="L717" i="1"/>
  <c r="K717" i="1"/>
  <c r="K607" i="1"/>
  <c r="L607" i="1"/>
  <c r="N562" i="1"/>
  <c r="L611" i="1"/>
  <c r="K611" i="1"/>
  <c r="L567" i="1"/>
  <c r="K567" i="1"/>
  <c r="L729" i="1"/>
  <c r="K729" i="1"/>
  <c r="M578" i="1"/>
  <c r="L578" i="1"/>
  <c r="K578" i="1"/>
  <c r="L721" i="1"/>
  <c r="K721" i="1"/>
  <c r="M582" i="1"/>
  <c r="K582" i="1"/>
  <c r="L582" i="1"/>
  <c r="N292" i="1"/>
  <c r="N308" i="1"/>
  <c r="N324" i="1"/>
  <c r="N340" i="1"/>
  <c r="N410" i="1"/>
  <c r="N424" i="1"/>
  <c r="N440" i="1"/>
  <c r="L691" i="1"/>
  <c r="K691" i="1"/>
  <c r="K692" i="1"/>
  <c r="M692" i="1"/>
  <c r="L692" i="1"/>
  <c r="K718" i="1"/>
  <c r="M718" i="1"/>
  <c r="L718" i="1"/>
  <c r="K704" i="1"/>
  <c r="M704" i="1"/>
  <c r="L704" i="1"/>
  <c r="K667" i="1"/>
  <c r="L667" i="1"/>
  <c r="K671" i="1"/>
  <c r="L671" i="1"/>
  <c r="N642" i="1"/>
  <c r="L597" i="1"/>
  <c r="K597" i="1"/>
  <c r="K675" i="1"/>
  <c r="L675" i="1"/>
  <c r="L719" i="1"/>
  <c r="K719" i="1"/>
  <c r="K556" i="1"/>
  <c r="L556" i="1"/>
  <c r="M556" i="1"/>
  <c r="K666" i="1"/>
  <c r="L666" i="1"/>
  <c r="M666" i="1"/>
  <c r="N290" i="1"/>
  <c r="N298" i="1"/>
  <c r="N306" i="1"/>
  <c r="N314" i="1"/>
  <c r="N322" i="1"/>
  <c r="N330" i="1"/>
  <c r="N338" i="1"/>
  <c r="N346" i="1"/>
  <c r="N356" i="1"/>
  <c r="N364" i="1"/>
  <c r="N382" i="1"/>
  <c r="L403" i="1"/>
  <c r="K403" i="1"/>
  <c r="L417" i="1"/>
  <c r="K417" i="1"/>
  <c r="M436" i="1"/>
  <c r="L436" i="1"/>
  <c r="K436" i="1"/>
  <c r="M446" i="1"/>
  <c r="K446" i="1"/>
  <c r="L446" i="1"/>
  <c r="M454" i="1"/>
  <c r="K454" i="1"/>
  <c r="L454" i="1"/>
  <c r="M462" i="1"/>
  <c r="K462" i="1"/>
  <c r="L462" i="1"/>
  <c r="M470" i="1"/>
  <c r="K470" i="1"/>
  <c r="L470" i="1"/>
  <c r="M478" i="1"/>
  <c r="K478" i="1"/>
  <c r="L478" i="1"/>
  <c r="M486" i="1"/>
  <c r="K486" i="1"/>
  <c r="L486" i="1"/>
  <c r="M494" i="1"/>
  <c r="K494" i="1"/>
  <c r="L494" i="1"/>
  <c r="L517" i="1"/>
  <c r="K517" i="1"/>
  <c r="N702" i="1"/>
  <c r="K679" i="1"/>
  <c r="L679" i="1"/>
  <c r="N716" i="1"/>
  <c r="L685" i="1"/>
  <c r="K685" i="1"/>
  <c r="L628" i="1"/>
  <c r="M628" i="1"/>
  <c r="K628" i="1"/>
  <c r="M584" i="1"/>
  <c r="K584" i="1"/>
  <c r="L584" i="1"/>
  <c r="K577" i="1"/>
  <c r="L577" i="1"/>
  <c r="L599" i="1"/>
  <c r="K599" i="1"/>
  <c r="M558" i="1"/>
  <c r="K558" i="1"/>
  <c r="L558" i="1"/>
  <c r="N640" i="1"/>
  <c r="L605" i="1"/>
  <c r="K605" i="1"/>
  <c r="L778" i="1"/>
  <c r="M778" i="1"/>
  <c r="K778" i="1"/>
  <c r="L620" i="1"/>
  <c r="M620" i="1"/>
  <c r="K620" i="1"/>
  <c r="L644" i="1"/>
  <c r="M644" i="1"/>
  <c r="M810" i="1"/>
  <c r="L810" i="1"/>
  <c r="K810" i="1"/>
  <c r="L785" i="1"/>
  <c r="K785" i="1"/>
  <c r="K752" i="1"/>
  <c r="L752" i="1"/>
  <c r="N672" i="1"/>
  <c r="K788" i="1"/>
  <c r="L788" i="1"/>
  <c r="M788" i="1"/>
  <c r="M622" i="1"/>
  <c r="L622" i="1"/>
  <c r="K622" i="1"/>
  <c r="K707" i="1"/>
  <c r="L707" i="1"/>
  <c r="L801" i="1"/>
  <c r="K801" i="1"/>
  <c r="K559" i="1"/>
  <c r="L559" i="1"/>
  <c r="M640" i="1"/>
  <c r="K640" i="1"/>
  <c r="L640" i="1"/>
  <c r="N670" i="1"/>
  <c r="K802" i="1"/>
  <c r="M802" i="1"/>
  <c r="L802" i="1"/>
  <c r="K767" i="1"/>
  <c r="L767" i="1"/>
  <c r="L763" i="1"/>
  <c r="K763" i="1"/>
  <c r="L732" i="1"/>
  <c r="K732" i="1"/>
  <c r="M732" i="1"/>
  <c r="L789" i="1"/>
  <c r="K789" i="1"/>
  <c r="N650" i="1"/>
  <c r="M760" i="1"/>
  <c r="K761" i="1"/>
  <c r="L761" i="1"/>
  <c r="M808" i="1"/>
  <c r="L808" i="1"/>
  <c r="K808" i="1"/>
  <c r="L751" i="1"/>
  <c r="K751" i="1"/>
  <c r="M734" i="1"/>
  <c r="L735" i="1"/>
  <c r="K735" i="1"/>
  <c r="K784" i="1"/>
  <c r="M784" i="1"/>
  <c r="L784" i="1"/>
  <c r="L777" i="1"/>
  <c r="K777" i="1"/>
  <c r="K759" i="1"/>
  <c r="L759" i="1"/>
  <c r="K744" i="1"/>
  <c r="L744" i="1"/>
  <c r="M744" i="1"/>
  <c r="N782" i="1"/>
  <c r="N786" i="1"/>
  <c r="L811" i="1"/>
  <c r="K811" i="1"/>
  <c r="L770" i="1"/>
  <c r="M770" i="1"/>
  <c r="K770" i="1"/>
  <c r="K756" i="1"/>
  <c r="L756" i="1"/>
  <c r="M756" i="1"/>
  <c r="L730" i="1"/>
  <c r="K730" i="1"/>
  <c r="M730" i="1"/>
  <c r="M848" i="1"/>
  <c r="L848" i="1"/>
  <c r="K848" i="1"/>
  <c r="L892" i="1"/>
  <c r="K892" i="1"/>
  <c r="M892" i="1"/>
  <c r="K893" i="1"/>
  <c r="L893" i="1"/>
  <c r="K860" i="1"/>
  <c r="M860" i="1"/>
  <c r="L860" i="1"/>
  <c r="N854" i="1"/>
  <c r="K871" i="1"/>
  <c r="L871" i="1"/>
  <c r="L775" i="1"/>
  <c r="K775" i="1"/>
  <c r="K868" i="1"/>
  <c r="M868" i="1"/>
  <c r="L868" i="1"/>
  <c r="K880" i="1"/>
  <c r="M880" i="1"/>
  <c r="L880" i="1"/>
  <c r="M826" i="1"/>
  <c r="L826" i="1"/>
  <c r="K826" i="1"/>
  <c r="K861" i="1"/>
  <c r="L861" i="1"/>
  <c r="K746" i="1"/>
  <c r="L746" i="1"/>
  <c r="M746" i="1"/>
  <c r="L779" i="1"/>
  <c r="K779" i="1"/>
  <c r="K884" i="1"/>
  <c r="M884" i="1"/>
  <c r="L884" i="1"/>
  <c r="L831" i="1"/>
  <c r="K827" i="1"/>
  <c r="N872" i="1"/>
  <c r="L859" i="1"/>
  <c r="K859" i="1"/>
  <c r="N890" i="1"/>
  <c r="N894" i="1"/>
  <c r="K841" i="1"/>
  <c r="L841" i="1"/>
  <c r="K842" i="1"/>
  <c r="L842" i="1"/>
  <c r="M842" i="1"/>
  <c r="N846" i="1"/>
  <c r="L855" i="1"/>
  <c r="K855" i="1"/>
  <c r="M946" i="1"/>
  <c r="K946" i="1"/>
  <c r="L946" i="1"/>
  <c r="M966" i="1"/>
  <c r="K966" i="1"/>
  <c r="L966" i="1"/>
  <c r="K950" i="1"/>
  <c r="M950" i="1"/>
  <c r="L950" i="1"/>
  <c r="K949" i="1"/>
  <c r="L949" i="1"/>
  <c r="N892" i="1"/>
  <c r="N984" i="1"/>
  <c r="K927" i="1"/>
  <c r="L927" i="1"/>
  <c r="K969" i="1"/>
  <c r="L969" i="1"/>
  <c r="L959" i="1"/>
  <c r="K959" i="1"/>
  <c r="L885" i="1"/>
  <c r="K885" i="1"/>
  <c r="L984" i="1"/>
  <c r="K984" i="1"/>
  <c r="M984" i="1"/>
  <c r="L867" i="1"/>
  <c r="K867" i="1"/>
  <c r="L889" i="1"/>
  <c r="K889" i="1"/>
  <c r="L974" i="1"/>
  <c r="K974" i="1"/>
  <c r="M974" i="1"/>
  <c r="L976" i="1"/>
  <c r="M976" i="1"/>
  <c r="K976" i="1"/>
  <c r="M900" i="1"/>
  <c r="K900" i="1"/>
  <c r="L900" i="1"/>
  <c r="L958" i="1"/>
  <c r="M958" i="1"/>
  <c r="K958" i="1"/>
  <c r="M914" i="1"/>
  <c r="L914" i="1"/>
  <c r="K914" i="1"/>
  <c r="K937" i="1"/>
  <c r="L937" i="1"/>
  <c r="K928" i="1"/>
  <c r="L928" i="1"/>
  <c r="M928" i="1"/>
  <c r="L895" i="1"/>
  <c r="K895" i="1"/>
  <c r="K981" i="1"/>
  <c r="L981" i="1"/>
  <c r="L910" i="1"/>
  <c r="M910" i="1"/>
  <c r="K910" i="1"/>
  <c r="M970" i="1"/>
  <c r="K970" i="1"/>
  <c r="L970" i="1"/>
  <c r="L960" i="1"/>
  <c r="M960" i="1"/>
  <c r="K960" i="1"/>
  <c r="L905" i="1"/>
  <c r="K905" i="1"/>
  <c r="K901" i="1"/>
  <c r="L901" i="1"/>
  <c r="K925" i="1"/>
  <c r="L999" i="1"/>
  <c r="K999" i="1"/>
  <c r="N1018" i="1"/>
  <c r="K1072" i="1"/>
  <c r="L1072" i="1"/>
  <c r="M1072" i="1"/>
  <c r="L1013" i="1"/>
  <c r="K1013" i="1"/>
  <c r="K1073" i="1"/>
  <c r="L1073" i="1"/>
  <c r="K1043" i="1"/>
  <c r="L1043" i="1"/>
  <c r="L1009" i="1"/>
  <c r="K1009" i="1"/>
  <c r="L939" i="1"/>
  <c r="K939" i="1"/>
  <c r="L957" i="1"/>
  <c r="K957" i="1"/>
  <c r="N932" i="1"/>
  <c r="L951" i="1"/>
  <c r="K951" i="1"/>
  <c r="L973" i="1"/>
  <c r="K973" i="1"/>
  <c r="M988" i="1"/>
  <c r="L989" i="1"/>
  <c r="K989" i="1"/>
  <c r="L1071" i="1"/>
  <c r="K1071" i="1"/>
  <c r="K1069" i="1"/>
  <c r="L1069" i="1"/>
  <c r="K1040" i="1"/>
  <c r="L1040" i="1"/>
  <c r="M1040" i="1"/>
  <c r="L924" i="1"/>
  <c r="K924" i="1"/>
  <c r="M924" i="1"/>
  <c r="K1021" i="1"/>
  <c r="L1021" i="1"/>
  <c r="N1012" i="1"/>
  <c r="K1026" i="1"/>
  <c r="L1026" i="1"/>
  <c r="M1026" i="1"/>
  <c r="K996" i="1"/>
  <c r="L996" i="1"/>
  <c r="L1108" i="1"/>
  <c r="M1108" i="1"/>
  <c r="K1108" i="1"/>
  <c r="N1060" i="1"/>
  <c r="N1038" i="1"/>
  <c r="N1070" i="1"/>
  <c r="L1130" i="1"/>
  <c r="K1130" i="1"/>
  <c r="M1130" i="1"/>
  <c r="L1145" i="1"/>
  <c r="K1145" i="1"/>
  <c r="M1008" i="1"/>
  <c r="K1008" i="1"/>
  <c r="L1008" i="1"/>
  <c r="N1024" i="1"/>
  <c r="N1040" i="1"/>
  <c r="K1066" i="1"/>
  <c r="L1066" i="1"/>
  <c r="M1066" i="1"/>
  <c r="M1080" i="1"/>
  <c r="K1080" i="1"/>
  <c r="L1080" i="1"/>
  <c r="L1091" i="1"/>
  <c r="K1091" i="1"/>
  <c r="M1004" i="1"/>
  <c r="K1004" i="1"/>
  <c r="L1004" i="1"/>
  <c r="N1034" i="1"/>
  <c r="K1044" i="1"/>
  <c r="L1044" i="1"/>
  <c r="M1044" i="1"/>
  <c r="N1066" i="1"/>
  <c r="L1075" i="1"/>
  <c r="K1075" i="1"/>
  <c r="M1118" i="1"/>
  <c r="L1118" i="1"/>
  <c r="K1118" i="1"/>
  <c r="K1104" i="1"/>
  <c r="M1104" i="1"/>
  <c r="L1104" i="1"/>
  <c r="N1090" i="1"/>
  <c r="L1089" i="1"/>
  <c r="K1089" i="1"/>
  <c r="N1134" i="1"/>
  <c r="M1128" i="1"/>
  <c r="L1128" i="1"/>
  <c r="K1128" i="1"/>
  <c r="K1077" i="1"/>
  <c r="L1077" i="1"/>
  <c r="K1088" i="1"/>
  <c r="L1088" i="1"/>
  <c r="M1088" i="1"/>
  <c r="L1142" i="1"/>
  <c r="K1142" i="1"/>
  <c r="M1142" i="1"/>
  <c r="L1112" i="1"/>
  <c r="K1112" i="1"/>
  <c r="M1112" i="1"/>
  <c r="L1152" i="1"/>
  <c r="K1152" i="1"/>
  <c r="M1152" i="1"/>
  <c r="K1081" i="1"/>
  <c r="L1081" i="1"/>
  <c r="L1129" i="1"/>
  <c r="K1129" i="1"/>
  <c r="L1096" i="1"/>
  <c r="K1096" i="1"/>
  <c r="M1096" i="1"/>
  <c r="M1227" i="1"/>
  <c r="L1227" i="1"/>
  <c r="K1227" i="1"/>
  <c r="L1117" i="1"/>
  <c r="K1117" i="1"/>
  <c r="K1186" i="1"/>
  <c r="K1187" i="1"/>
  <c r="L1187" i="1"/>
  <c r="M1187" i="1"/>
  <c r="L1101" i="1"/>
  <c r="K1101" i="1"/>
  <c r="L1184" i="1"/>
  <c r="K1184" i="1"/>
  <c r="L1164" i="1"/>
  <c r="K1164" i="1"/>
  <c r="N1148" i="1"/>
  <c r="K1182" i="1"/>
  <c r="L1182" i="1"/>
  <c r="N1128" i="1"/>
  <c r="K1201" i="1"/>
  <c r="M1201" i="1"/>
  <c r="L1201" i="1"/>
  <c r="M1167" i="1"/>
  <c r="K1167" i="1"/>
  <c r="L1167" i="1"/>
  <c r="M1169" i="1"/>
  <c r="L1169" i="1"/>
  <c r="K1169" i="1"/>
  <c r="K1222" i="1"/>
  <c r="L1222" i="1"/>
  <c r="N1165" i="1"/>
  <c r="L1226" i="1"/>
  <c r="K1226" i="1"/>
  <c r="N1140" i="1"/>
  <c r="K1190" i="1"/>
  <c r="L1190" i="1"/>
  <c r="K1165" i="1"/>
  <c r="M1165" i="1"/>
  <c r="L1165" i="1"/>
  <c r="N1225" i="1"/>
  <c r="N1104" i="1"/>
  <c r="K1121" i="1"/>
  <c r="L1121" i="1"/>
  <c r="L1235" i="1"/>
  <c r="K1235" i="1"/>
  <c r="M1235" i="1"/>
  <c r="L1206" i="1"/>
  <c r="L1170" i="1"/>
  <c r="K1170" i="1"/>
  <c r="K1196" i="1"/>
  <c r="N1158" i="1"/>
  <c r="L1180" i="1"/>
  <c r="K1180" i="1"/>
  <c r="L1204" i="1"/>
  <c r="K1204" i="1"/>
  <c r="N1223" i="1"/>
  <c r="L1188" i="1"/>
  <c r="K1188" i="1"/>
  <c r="L1216" i="1"/>
  <c r="K1216" i="1"/>
  <c r="K35" i="1"/>
  <c r="L35" i="1"/>
  <c r="M98" i="1"/>
  <c r="L98" i="1"/>
  <c r="K98" i="1"/>
  <c r="L169" i="1"/>
  <c r="K169" i="1"/>
  <c r="L133" i="1"/>
  <c r="K133" i="1"/>
  <c r="N58" i="1"/>
  <c r="N100" i="1"/>
  <c r="M150" i="1"/>
  <c r="L150" i="1"/>
  <c r="K150" i="1"/>
  <c r="N66" i="1"/>
  <c r="N98" i="1"/>
  <c r="L142" i="1"/>
  <c r="M142" i="1"/>
  <c r="K142" i="1"/>
  <c r="L79" i="1"/>
  <c r="M88" i="1"/>
  <c r="L88" i="1"/>
  <c r="K88" i="1"/>
  <c r="M72" i="1"/>
  <c r="L72" i="1"/>
  <c r="K72" i="1"/>
  <c r="M112" i="1"/>
  <c r="L112" i="1"/>
  <c r="K112" i="1"/>
  <c r="L26" i="1"/>
  <c r="M26" i="1"/>
  <c r="K26" i="1"/>
  <c r="L57" i="1"/>
  <c r="N24" i="1"/>
  <c r="N128" i="1"/>
  <c r="L183" i="1"/>
  <c r="K183" i="1"/>
  <c r="L16" i="1"/>
  <c r="M16" i="1"/>
  <c r="K16" i="1"/>
  <c r="L175" i="1"/>
  <c r="K175" i="1"/>
  <c r="K118" i="1"/>
  <c r="K76" i="1"/>
  <c r="L76" i="1"/>
  <c r="M76" i="1"/>
  <c r="L81" i="1"/>
  <c r="M144" i="1"/>
  <c r="L185" i="1"/>
  <c r="K163" i="1"/>
  <c r="L163" i="1"/>
  <c r="K22" i="1"/>
  <c r="L22" i="1"/>
  <c r="M22" i="1"/>
  <c r="K241" i="1"/>
  <c r="L241" i="1"/>
  <c r="M228" i="1"/>
  <c r="K228" i="1"/>
  <c r="L228" i="1"/>
  <c r="M254" i="1"/>
  <c r="K254" i="1"/>
  <c r="L254" i="1"/>
  <c r="K223" i="1"/>
  <c r="L223" i="1"/>
  <c r="M58" i="1"/>
  <c r="L58" i="1"/>
  <c r="K58" i="1"/>
  <c r="L248" i="1"/>
  <c r="K248" i="1"/>
  <c r="M248" i="1"/>
  <c r="L141" i="1"/>
  <c r="K141" i="1"/>
  <c r="N274" i="1"/>
  <c r="K221" i="1"/>
  <c r="L221" i="1"/>
  <c r="M126" i="1"/>
  <c r="L126" i="1"/>
  <c r="K126" i="1"/>
  <c r="L217" i="1"/>
  <c r="K217" i="1"/>
  <c r="K244" i="1"/>
  <c r="L244" i="1"/>
  <c r="M244" i="1"/>
  <c r="L245" i="1"/>
  <c r="K245" i="1"/>
  <c r="M492" i="1"/>
  <c r="K492" i="1"/>
  <c r="L492" i="1"/>
  <c r="K275" i="1"/>
  <c r="L275" i="1"/>
  <c r="M338" i="1"/>
  <c r="K338" i="1"/>
  <c r="L338" i="1"/>
  <c r="K269" i="1"/>
  <c r="L269" i="1"/>
  <c r="L475" i="1"/>
  <c r="K475" i="1"/>
  <c r="K253" i="1"/>
  <c r="L253" i="1"/>
  <c r="K406" i="1"/>
  <c r="M406" i="1"/>
  <c r="L406" i="1"/>
  <c r="L289" i="1"/>
  <c r="K289" i="1"/>
  <c r="L373" i="1"/>
  <c r="K373" i="1"/>
  <c r="L427" i="1"/>
  <c r="K427" i="1"/>
  <c r="M452" i="1"/>
  <c r="K452" i="1"/>
  <c r="L452" i="1"/>
  <c r="L469" i="1"/>
  <c r="K469" i="1"/>
  <c r="L457" i="1"/>
  <c r="K457" i="1"/>
  <c r="L390" i="1"/>
  <c r="M390" i="1"/>
  <c r="K390" i="1"/>
  <c r="L305" i="1"/>
  <c r="K305" i="1"/>
  <c r="M420" i="1"/>
  <c r="L420" i="1"/>
  <c r="K420" i="1"/>
  <c r="M358" i="1"/>
  <c r="K358" i="1"/>
  <c r="L358" i="1"/>
  <c r="L359" i="1"/>
  <c r="K359" i="1"/>
  <c r="L613" i="1"/>
  <c r="K613" i="1"/>
  <c r="L411" i="1"/>
  <c r="K411" i="1"/>
  <c r="L333" i="1"/>
  <c r="K333" i="1"/>
  <c r="M434" i="1"/>
  <c r="K434" i="1"/>
  <c r="L434" i="1"/>
  <c r="K575" i="1"/>
  <c r="L575" i="1"/>
  <c r="L325" i="1"/>
  <c r="K325" i="1"/>
  <c r="M450" i="1"/>
  <c r="K450" i="1"/>
  <c r="L450" i="1"/>
  <c r="M482" i="1"/>
  <c r="K482" i="1"/>
  <c r="L482" i="1"/>
  <c r="M688" i="1"/>
  <c r="L688" i="1"/>
  <c r="K688" i="1"/>
  <c r="M602" i="1"/>
  <c r="L602" i="1"/>
  <c r="K602" i="1"/>
  <c r="K652" i="1"/>
  <c r="M652" i="1"/>
  <c r="L652" i="1"/>
  <c r="K670" i="1"/>
  <c r="M670" i="1"/>
  <c r="L670" i="1"/>
  <c r="N332" i="1"/>
  <c r="N432" i="1"/>
  <c r="M702" i="1"/>
  <c r="L702" i="1"/>
  <c r="K702" i="1"/>
  <c r="M716" i="1"/>
  <c r="L716" i="1"/>
  <c r="K716" i="1"/>
  <c r="K681" i="1"/>
  <c r="L681" i="1"/>
  <c r="L631" i="1"/>
  <c r="K631" i="1"/>
  <c r="L725" i="1"/>
  <c r="K725" i="1"/>
  <c r="K601" i="1"/>
  <c r="L601" i="1"/>
  <c r="M288" i="1"/>
  <c r="K288" i="1"/>
  <c r="L288" i="1"/>
  <c r="M312" i="1"/>
  <c r="K312" i="1"/>
  <c r="L312" i="1"/>
  <c r="M328" i="1"/>
  <c r="K328" i="1"/>
  <c r="L328" i="1"/>
  <c r="M354" i="1"/>
  <c r="K354" i="1"/>
  <c r="L354" i="1"/>
  <c r="N448" i="1"/>
  <c r="N496" i="1"/>
  <c r="L533" i="1"/>
  <c r="K533" i="1"/>
  <c r="L706" i="1"/>
  <c r="K706" i="1"/>
  <c r="M706" i="1"/>
  <c r="K627" i="1"/>
  <c r="K703" i="1"/>
  <c r="L703" i="1"/>
  <c r="K656" i="1"/>
  <c r="L656" i="1"/>
  <c r="M762" i="1"/>
  <c r="L762" i="1"/>
  <c r="K762" i="1"/>
  <c r="L743" i="1"/>
  <c r="K743" i="1"/>
  <c r="K764" i="1"/>
  <c r="L764" i="1"/>
  <c r="M764" i="1"/>
  <c r="N736" i="1"/>
  <c r="M828" i="1"/>
  <c r="L828" i="1"/>
  <c r="K828" i="1"/>
  <c r="K846" i="1"/>
  <c r="L846" i="1"/>
  <c r="M846" i="1"/>
  <c r="K829" i="1"/>
  <c r="L829" i="1"/>
  <c r="K750" i="1"/>
  <c r="L750" i="1"/>
  <c r="M750" i="1"/>
  <c r="M850" i="1"/>
  <c r="L850" i="1"/>
  <c r="K850" i="1"/>
  <c r="L795" i="1"/>
  <c r="K795" i="1"/>
  <c r="N870" i="1"/>
  <c r="K836" i="1"/>
  <c r="L836" i="1"/>
  <c r="M836" i="1"/>
  <c r="K894" i="1"/>
  <c r="L894" i="1"/>
  <c r="M894" i="1"/>
  <c r="M902" i="1"/>
  <c r="K902" i="1"/>
  <c r="L902" i="1"/>
  <c r="K948" i="1"/>
  <c r="L948" i="1"/>
  <c r="M948" i="1"/>
  <c r="M898" i="1"/>
  <c r="K898" i="1"/>
  <c r="L898" i="1"/>
  <c r="K930" i="1"/>
  <c r="M930" i="1"/>
  <c r="L930" i="1"/>
  <c r="K926" i="1"/>
  <c r="M926" i="1"/>
  <c r="L926" i="1"/>
  <c r="M916" i="1"/>
  <c r="L916" i="1"/>
  <c r="K916" i="1"/>
  <c r="L1033" i="1"/>
  <c r="K1033" i="1"/>
  <c r="K988" i="1"/>
  <c r="L988" i="1"/>
  <c r="L955" i="1"/>
  <c r="K955" i="1"/>
  <c r="M996" i="1"/>
  <c r="L997" i="1"/>
  <c r="K997" i="1"/>
  <c r="L1017" i="1"/>
  <c r="K1017" i="1"/>
  <c r="K1064" i="1"/>
  <c r="L1064" i="1"/>
  <c r="M1064" i="1"/>
  <c r="L967" i="1"/>
  <c r="K967" i="1"/>
  <c r="K1034" i="1"/>
  <c r="L1034" i="1"/>
  <c r="M1034" i="1"/>
  <c r="K1018" i="1"/>
  <c r="M1018" i="1"/>
  <c r="L1018" i="1"/>
  <c r="K1030" i="1"/>
  <c r="L1030" i="1"/>
  <c r="M1030" i="1"/>
  <c r="K1054" i="1"/>
  <c r="L1054" i="1"/>
  <c r="M1054" i="1"/>
  <c r="L1122" i="1"/>
  <c r="K1122" i="1"/>
  <c r="M1122" i="1"/>
  <c r="M1116" i="1"/>
  <c r="L1116" i="1"/>
  <c r="K1116" i="1"/>
  <c r="K1086" i="1"/>
  <c r="M1086" i="1"/>
  <c r="L1086" i="1"/>
  <c r="N988" i="1"/>
  <c r="K1014" i="1"/>
  <c r="M1014" i="1"/>
  <c r="L1014" i="1"/>
  <c r="K1028" i="1"/>
  <c r="M1028" i="1"/>
  <c r="L1028" i="1"/>
  <c r="M1082" i="1"/>
  <c r="L1082" i="1"/>
  <c r="K1082" i="1"/>
  <c r="K1136" i="1"/>
  <c r="M1136" i="1"/>
  <c r="L1136" i="1"/>
  <c r="L1079" i="1"/>
  <c r="K1079" i="1"/>
  <c r="M1219" i="1"/>
  <c r="L1219" i="1"/>
  <c r="K1219" i="1"/>
  <c r="L1193" i="1"/>
  <c r="K1193" i="1"/>
  <c r="M1193" i="1"/>
  <c r="L1210" i="1"/>
  <c r="K1210" i="1"/>
  <c r="M1223" i="1"/>
  <c r="L1223" i="1"/>
  <c r="K1223" i="1"/>
  <c r="L1166" i="1"/>
  <c r="K1166" i="1"/>
  <c r="K1159" i="1"/>
  <c r="L1159" i="1"/>
  <c r="N1211" i="1"/>
  <c r="L1230" i="1"/>
  <c r="K1230" i="1"/>
  <c r="L1209" i="1"/>
  <c r="K1209" i="1"/>
  <c r="M1209" i="1"/>
  <c r="L1218" i="1"/>
  <c r="K1218" i="1"/>
  <c r="K1217" i="1"/>
  <c r="M1217" i="1"/>
  <c r="L1217" i="1"/>
  <c r="L1168" i="1"/>
  <c r="K1168" i="1"/>
  <c r="L100" i="1"/>
  <c r="K100" i="1"/>
  <c r="M100" i="1"/>
  <c r="L182" i="1"/>
  <c r="K182" i="1"/>
  <c r="M182" i="1"/>
  <c r="N170" i="1"/>
  <c r="L106" i="1"/>
  <c r="M106" i="1"/>
  <c r="K106" i="1"/>
  <c r="K181" i="1"/>
  <c r="L181" i="1"/>
  <c r="L151" i="1"/>
  <c r="K151" i="1"/>
  <c r="N64" i="1"/>
  <c r="K146" i="1"/>
  <c r="K46" i="1"/>
  <c r="M140" i="1"/>
  <c r="L148" i="1"/>
  <c r="M86" i="1"/>
  <c r="K86" i="1"/>
  <c r="L86" i="1"/>
  <c r="K107" i="1"/>
  <c r="L107" i="1"/>
  <c r="K95" i="1"/>
  <c r="L95" i="1"/>
  <c r="N114" i="1"/>
  <c r="M256" i="1"/>
  <c r="L256" i="1"/>
  <c r="K256" i="1"/>
  <c r="M246" i="1"/>
  <c r="L246" i="1"/>
  <c r="K246" i="1"/>
  <c r="M188" i="1"/>
  <c r="M162" i="1"/>
  <c r="M44" i="1"/>
  <c r="K122" i="1"/>
  <c r="M122" i="1"/>
  <c r="L122" i="1"/>
  <c r="L17" i="1"/>
  <c r="K17" i="1"/>
  <c r="N172" i="1"/>
  <c r="K119" i="1"/>
  <c r="L119" i="1"/>
  <c r="K191" i="1"/>
  <c r="L191" i="1"/>
  <c r="L71" i="1"/>
  <c r="K227" i="1"/>
  <c r="L227" i="1"/>
  <c r="L264" i="1"/>
  <c r="K264" i="1"/>
  <c r="M264" i="1"/>
  <c r="K247" i="1"/>
  <c r="L247" i="1"/>
  <c r="N152" i="1"/>
  <c r="K152" i="1"/>
  <c r="K260" i="1"/>
  <c r="M260" i="1"/>
  <c r="L260" i="1"/>
  <c r="L215" i="1"/>
  <c r="K215" i="1"/>
  <c r="N244" i="1"/>
  <c r="M222" i="1"/>
  <c r="K222" i="1"/>
  <c r="L222" i="1"/>
  <c r="L49" i="1"/>
  <c r="M102" i="1"/>
  <c r="L102" i="1"/>
  <c r="K102" i="1"/>
  <c r="M74" i="1"/>
  <c r="K74" i="1"/>
  <c r="L74" i="1"/>
  <c r="L139" i="1"/>
  <c r="K139" i="1"/>
  <c r="N144" i="1"/>
  <c r="N174" i="1"/>
  <c r="M268" i="1"/>
  <c r="L268" i="1"/>
  <c r="K268" i="1"/>
  <c r="L230" i="1"/>
  <c r="M230" i="1"/>
  <c r="K230" i="1"/>
  <c r="K213" i="1"/>
  <c r="L213" i="1"/>
  <c r="N208" i="1"/>
  <c r="N230" i="1"/>
  <c r="L225" i="1"/>
  <c r="K225" i="1"/>
  <c r="K240" i="1"/>
  <c r="L240" i="1"/>
  <c r="M240" i="1"/>
  <c r="N248" i="1"/>
  <c r="L210" i="1"/>
  <c r="K210" i="1"/>
  <c r="M210" i="1"/>
  <c r="M90" i="1"/>
  <c r="L90" i="1"/>
  <c r="K90" i="1"/>
  <c r="L157" i="1"/>
  <c r="K157" i="1"/>
  <c r="N190" i="1"/>
  <c r="N272" i="1"/>
  <c r="N218" i="1"/>
  <c r="N166" i="1"/>
  <c r="L276" i="1"/>
  <c r="M276" i="1"/>
  <c r="K276" i="1"/>
  <c r="L229" i="1"/>
  <c r="K229" i="1"/>
  <c r="N260" i="1"/>
  <c r="N220" i="1"/>
  <c r="L238" i="1"/>
  <c r="K238" i="1"/>
  <c r="M238" i="1"/>
  <c r="K277" i="1"/>
  <c r="L277" i="1"/>
  <c r="L231" i="1"/>
  <c r="K231" i="1"/>
  <c r="M524" i="1"/>
  <c r="L524" i="1"/>
  <c r="K524" i="1"/>
  <c r="L433" i="1"/>
  <c r="K433" i="1"/>
  <c r="K546" i="1"/>
  <c r="M546" i="1"/>
  <c r="L546" i="1"/>
  <c r="L447" i="1"/>
  <c r="K447" i="1"/>
  <c r="L409" i="1"/>
  <c r="K409" i="1"/>
  <c r="L357" i="1"/>
  <c r="K357" i="1"/>
  <c r="K265" i="1"/>
  <c r="L265" i="1"/>
  <c r="L521" i="1"/>
  <c r="K521" i="1"/>
  <c r="L237" i="1"/>
  <c r="K237" i="1"/>
  <c r="L259" i="1"/>
  <c r="K259" i="1"/>
  <c r="K281" i="1"/>
  <c r="L281" i="1"/>
  <c r="K510" i="1"/>
  <c r="L510" i="1"/>
  <c r="M510" i="1"/>
  <c r="M476" i="1"/>
  <c r="K476" i="1"/>
  <c r="L476" i="1"/>
  <c r="L355" i="1"/>
  <c r="K355" i="1"/>
  <c r="L226" i="1"/>
  <c r="K226" i="1"/>
  <c r="M226" i="1"/>
  <c r="M408" i="1"/>
  <c r="L408" i="1"/>
  <c r="K408" i="1"/>
  <c r="N246" i="1"/>
  <c r="N506" i="1"/>
  <c r="L382" i="1"/>
  <c r="M382" i="1"/>
  <c r="K382" i="1"/>
  <c r="M308" i="1"/>
  <c r="L308" i="1"/>
  <c r="K308" i="1"/>
  <c r="L554" i="1"/>
  <c r="K554" i="1"/>
  <c r="M554" i="1"/>
  <c r="L467" i="1"/>
  <c r="K467" i="1"/>
  <c r="L404" i="1"/>
  <c r="K404" i="1"/>
  <c r="M404" i="1"/>
  <c r="M472" i="1"/>
  <c r="K472" i="1"/>
  <c r="L472" i="1"/>
  <c r="L321" i="1"/>
  <c r="K321" i="1"/>
  <c r="L297" i="1"/>
  <c r="K297" i="1"/>
  <c r="M356" i="1"/>
  <c r="L356" i="1"/>
  <c r="K356" i="1"/>
  <c r="L493" i="1"/>
  <c r="K493" i="1"/>
  <c r="L323" i="1"/>
  <c r="K323" i="1"/>
  <c r="M332" i="1"/>
  <c r="L332" i="1"/>
  <c r="K332" i="1"/>
  <c r="N530" i="1"/>
  <c r="N514" i="1"/>
  <c r="L512" i="1"/>
  <c r="K512" i="1"/>
  <c r="M512" i="1"/>
  <c r="L459" i="1"/>
  <c r="K459" i="1"/>
  <c r="K400" i="1"/>
  <c r="M400" i="1"/>
  <c r="L400" i="1"/>
  <c r="M468" i="1"/>
  <c r="K468" i="1"/>
  <c r="L468" i="1"/>
  <c r="M314" i="1"/>
  <c r="K314" i="1"/>
  <c r="L314" i="1"/>
  <c r="L543" i="1"/>
  <c r="K543" i="1"/>
  <c r="L439" i="1"/>
  <c r="K439" i="1"/>
  <c r="L481" i="1"/>
  <c r="K481" i="1"/>
  <c r="L315" i="1"/>
  <c r="K315" i="1"/>
  <c r="M324" i="1"/>
  <c r="L324" i="1"/>
  <c r="K324" i="1"/>
  <c r="N502" i="1"/>
  <c r="M504" i="1"/>
  <c r="L504" i="1"/>
  <c r="K504" i="1"/>
  <c r="L483" i="1"/>
  <c r="K483" i="1"/>
  <c r="M422" i="1"/>
  <c r="L422" i="1"/>
  <c r="K422" i="1"/>
  <c r="K480" i="1"/>
  <c r="L480" i="1"/>
  <c r="M480" i="1"/>
  <c r="L337" i="1"/>
  <c r="K337" i="1"/>
  <c r="L329" i="1"/>
  <c r="K329" i="1"/>
  <c r="L378" i="1"/>
  <c r="M378" i="1"/>
  <c r="K378" i="1"/>
  <c r="M364" i="1"/>
  <c r="L364" i="1"/>
  <c r="K364" i="1"/>
  <c r="L339" i="1"/>
  <c r="K339" i="1"/>
  <c r="L348" i="1"/>
  <c r="M348" i="1"/>
  <c r="K348" i="1"/>
  <c r="M318" i="1"/>
  <c r="K318" i="1"/>
  <c r="L318" i="1"/>
  <c r="K561" i="1"/>
  <c r="L561" i="1"/>
  <c r="L680" i="1"/>
  <c r="K680" i="1"/>
  <c r="M680" i="1"/>
  <c r="K645" i="1"/>
  <c r="L645" i="1"/>
  <c r="M326" i="1"/>
  <c r="K326" i="1"/>
  <c r="L326" i="1"/>
  <c r="N376" i="1"/>
  <c r="M682" i="1"/>
  <c r="L682" i="1"/>
  <c r="K682" i="1"/>
  <c r="K644" i="1"/>
  <c r="N644" i="1"/>
  <c r="L367" i="1"/>
  <c r="K367" i="1"/>
  <c r="L407" i="1"/>
  <c r="K407" i="1"/>
  <c r="N474" i="1"/>
  <c r="L547" i="1"/>
  <c r="K547" i="1"/>
  <c r="L724" i="1"/>
  <c r="K724" i="1"/>
  <c r="M724" i="1"/>
  <c r="K636" i="1"/>
  <c r="N636" i="1"/>
  <c r="N608" i="1"/>
  <c r="N294" i="1"/>
  <c r="L341" i="1"/>
  <c r="K341" i="1"/>
  <c r="M426" i="1"/>
  <c r="K426" i="1"/>
  <c r="L426" i="1"/>
  <c r="N678" i="1"/>
  <c r="M672" i="1"/>
  <c r="L673" i="1"/>
  <c r="K673" i="1"/>
  <c r="K634" i="1"/>
  <c r="M634" i="1"/>
  <c r="L634" i="1"/>
  <c r="M600" i="1"/>
  <c r="K600" i="1"/>
  <c r="L600" i="1"/>
  <c r="L557" i="1"/>
  <c r="K557" i="1"/>
  <c r="M678" i="1"/>
  <c r="K678" i="1"/>
  <c r="L678" i="1"/>
  <c r="K615" i="1"/>
  <c r="L615" i="1"/>
  <c r="K585" i="1"/>
  <c r="L585" i="1"/>
  <c r="M568" i="1"/>
  <c r="K568" i="1"/>
  <c r="L568" i="1"/>
  <c r="N358" i="1"/>
  <c r="N380" i="1"/>
  <c r="N396" i="1"/>
  <c r="N414" i="1"/>
  <c r="M686" i="1"/>
  <c r="L686" i="1"/>
  <c r="K686" i="1"/>
  <c r="M684" i="1"/>
  <c r="L684" i="1"/>
  <c r="K684" i="1"/>
  <c r="L697" i="1"/>
  <c r="K697" i="1"/>
  <c r="L653" i="1"/>
  <c r="K653" i="1"/>
  <c r="K635" i="1"/>
  <c r="L635" i="1"/>
  <c r="K651" i="1"/>
  <c r="L651" i="1"/>
  <c r="K655" i="1"/>
  <c r="L655" i="1"/>
  <c r="M586" i="1"/>
  <c r="L586" i="1"/>
  <c r="K586" i="1"/>
  <c r="K711" i="1"/>
  <c r="L711" i="1"/>
  <c r="L621" i="1"/>
  <c r="K621" i="1"/>
  <c r="N568" i="1"/>
  <c r="K654" i="1"/>
  <c r="M654" i="1"/>
  <c r="L654" i="1"/>
  <c r="K662" i="1"/>
  <c r="M662" i="1"/>
  <c r="L662" i="1"/>
  <c r="L287" i="1"/>
  <c r="K287" i="1"/>
  <c r="L295" i="1"/>
  <c r="K295" i="1"/>
  <c r="L303" i="1"/>
  <c r="K303" i="1"/>
  <c r="L311" i="1"/>
  <c r="K311" i="1"/>
  <c r="L319" i="1"/>
  <c r="K319" i="1"/>
  <c r="L327" i="1"/>
  <c r="K327" i="1"/>
  <c r="L335" i="1"/>
  <c r="K335" i="1"/>
  <c r="L343" i="1"/>
  <c r="K343" i="1"/>
  <c r="L353" i="1"/>
  <c r="K353" i="1"/>
  <c r="L361" i="1"/>
  <c r="K361" i="1"/>
  <c r="N374" i="1"/>
  <c r="L395" i="1"/>
  <c r="K395" i="1"/>
  <c r="N404" i="1"/>
  <c r="N418" i="1"/>
  <c r="M428" i="1"/>
  <c r="L428" i="1"/>
  <c r="K428" i="1"/>
  <c r="L525" i="1"/>
  <c r="K525" i="1"/>
  <c r="K695" i="1"/>
  <c r="L695" i="1"/>
  <c r="N700" i="1"/>
  <c r="M674" i="1"/>
  <c r="L674" i="1"/>
  <c r="K674" i="1"/>
  <c r="K669" i="1"/>
  <c r="L669" i="1"/>
  <c r="N720" i="1"/>
  <c r="M722" i="1"/>
  <c r="L722" i="1"/>
  <c r="K722" i="1"/>
  <c r="M616" i="1"/>
  <c r="K616" i="1"/>
  <c r="L616" i="1"/>
  <c r="N564" i="1"/>
  <c r="L589" i="1"/>
  <c r="K589" i="1"/>
  <c r="K646" i="1"/>
  <c r="M646" i="1"/>
  <c r="L646" i="1"/>
  <c r="M598" i="1"/>
  <c r="L598" i="1"/>
  <c r="K598" i="1"/>
  <c r="M590" i="1"/>
  <c r="L590" i="1"/>
  <c r="K590" i="1"/>
  <c r="K733" i="1"/>
  <c r="L733" i="1"/>
  <c r="L588" i="1"/>
  <c r="M588" i="1"/>
  <c r="K588" i="1"/>
  <c r="K630" i="1"/>
  <c r="L630" i="1"/>
  <c r="M630" i="1"/>
  <c r="L765" i="1"/>
  <c r="K765" i="1"/>
  <c r="M594" i="1"/>
  <c r="L594" i="1"/>
  <c r="K594" i="1"/>
  <c r="L771" i="1"/>
  <c r="K771" i="1"/>
  <c r="N646" i="1"/>
  <c r="K774" i="1"/>
  <c r="M774" i="1"/>
  <c r="L774" i="1"/>
  <c r="M574" i="1"/>
  <c r="L574" i="1"/>
  <c r="K574" i="1"/>
  <c r="M606" i="1"/>
  <c r="K606" i="1"/>
  <c r="L606" i="1"/>
  <c r="N654" i="1"/>
  <c r="K672" i="1"/>
  <c r="L672" i="1"/>
  <c r="K757" i="1"/>
  <c r="L757" i="1"/>
  <c r="N778" i="1"/>
  <c r="M766" i="1"/>
  <c r="L766" i="1"/>
  <c r="K766" i="1"/>
  <c r="K748" i="1"/>
  <c r="L748" i="1"/>
  <c r="M748" i="1"/>
  <c r="M804" i="1"/>
  <c r="L804" i="1"/>
  <c r="K804" i="1"/>
  <c r="L798" i="1"/>
  <c r="M798" i="1"/>
  <c r="K798" i="1"/>
  <c r="K747" i="1"/>
  <c r="L747" i="1"/>
  <c r="K731" i="1"/>
  <c r="L731" i="1"/>
  <c r="K772" i="1"/>
  <c r="M772" i="1"/>
  <c r="L772" i="1"/>
  <c r="L736" i="1"/>
  <c r="K736" i="1"/>
  <c r="M736" i="1"/>
  <c r="N792" i="1"/>
  <c r="N780" i="1"/>
  <c r="N766" i="1"/>
  <c r="K760" i="1"/>
  <c r="N760" i="1"/>
  <c r="N874" i="1"/>
  <c r="K875" i="1"/>
  <c r="L875" i="1"/>
  <c r="L858" i="1"/>
  <c r="M858" i="1"/>
  <c r="K858" i="1"/>
  <c r="K888" i="1"/>
  <c r="M888" i="1"/>
  <c r="L888" i="1"/>
  <c r="L890" i="1"/>
  <c r="M890" i="1"/>
  <c r="K890" i="1"/>
  <c r="L837" i="1"/>
  <c r="K837" i="1"/>
  <c r="K822" i="1"/>
  <c r="M822" i="1"/>
  <c r="L822" i="1"/>
  <c r="K839" i="1"/>
  <c r="M838" i="1"/>
  <c r="L838" i="1"/>
  <c r="K838" i="1"/>
  <c r="N748" i="1"/>
  <c r="L783" i="1"/>
  <c r="K783" i="1"/>
  <c r="N830" i="1"/>
  <c r="L878" i="1"/>
  <c r="K878" i="1"/>
  <c r="M878" i="1"/>
  <c r="L734" i="1"/>
  <c r="K734" i="1"/>
  <c r="N752" i="1"/>
  <c r="L787" i="1"/>
  <c r="K787" i="1"/>
  <c r="N828" i="1"/>
  <c r="L815" i="1"/>
  <c r="K886" i="1"/>
  <c r="L886" i="1"/>
  <c r="M886" i="1"/>
  <c r="N834" i="1"/>
  <c r="L844" i="1"/>
  <c r="M844" i="1"/>
  <c r="K844" i="1"/>
  <c r="M818" i="1"/>
  <c r="K818" i="1"/>
  <c r="L818" i="1"/>
  <c r="N746" i="1"/>
  <c r="M872" i="1"/>
  <c r="K872" i="1"/>
  <c r="L872" i="1"/>
  <c r="K833" i="1"/>
  <c r="L834" i="1"/>
  <c r="K834" i="1"/>
  <c r="M834" i="1"/>
  <c r="N850" i="1"/>
  <c r="M896" i="1"/>
  <c r="K896" i="1"/>
  <c r="L896" i="1"/>
  <c r="L835" i="1"/>
  <c r="L897" i="1"/>
  <c r="K897" i="1"/>
  <c r="N852" i="1"/>
  <c r="M952" i="1"/>
  <c r="L952" i="1"/>
  <c r="K952" i="1"/>
  <c r="L931" i="1"/>
  <c r="K931" i="1"/>
  <c r="N978" i="1"/>
  <c r="N968" i="1"/>
  <c r="N922" i="1"/>
  <c r="L945" i="1"/>
  <c r="K945" i="1"/>
  <c r="L907" i="1"/>
  <c r="K907" i="1"/>
  <c r="N962" i="1"/>
  <c r="M906" i="1"/>
  <c r="K906" i="1"/>
  <c r="L906" i="1"/>
  <c r="N868" i="1"/>
  <c r="N970" i="1"/>
  <c r="M962" i="1"/>
  <c r="L962" i="1"/>
  <c r="K962" i="1"/>
  <c r="N912" i="1"/>
  <c r="K913" i="1"/>
  <c r="L851" i="1"/>
  <c r="K851" i="1"/>
  <c r="K936" i="1"/>
  <c r="L936" i="1"/>
  <c r="M936" i="1"/>
  <c r="M904" i="1"/>
  <c r="K904" i="1"/>
  <c r="L904" i="1"/>
  <c r="M968" i="1"/>
  <c r="L968" i="1"/>
  <c r="K968" i="1"/>
  <c r="L929" i="1"/>
  <c r="N976" i="1"/>
  <c r="K921" i="1"/>
  <c r="N930" i="1"/>
  <c r="L980" i="1"/>
  <c r="K980" i="1"/>
  <c r="M980" i="1"/>
  <c r="K985" i="1"/>
  <c r="L985" i="1"/>
  <c r="K975" i="1"/>
  <c r="L975" i="1"/>
  <c r="L909" i="1"/>
  <c r="N940" i="1"/>
  <c r="K987" i="1"/>
  <c r="L987" i="1"/>
  <c r="K1003" i="1"/>
  <c r="L1003" i="1"/>
  <c r="L1001" i="1"/>
  <c r="K1001" i="1"/>
  <c r="L1065" i="1"/>
  <c r="K1065" i="1"/>
  <c r="L1047" i="1"/>
  <c r="K1047" i="1"/>
  <c r="L1045" i="1"/>
  <c r="K1045" i="1"/>
  <c r="K1059" i="1"/>
  <c r="L1059" i="1"/>
  <c r="N942" i="1"/>
  <c r="K1005" i="1"/>
  <c r="L1005" i="1"/>
  <c r="N934" i="1"/>
  <c r="L961" i="1"/>
  <c r="K961" i="1"/>
  <c r="L983" i="1"/>
  <c r="K983" i="1"/>
  <c r="K1057" i="1"/>
  <c r="L1057" i="1"/>
  <c r="L1039" i="1"/>
  <c r="K1039" i="1"/>
  <c r="L1037" i="1"/>
  <c r="K1037" i="1"/>
  <c r="K998" i="1"/>
  <c r="M998" i="1"/>
  <c r="L998" i="1"/>
  <c r="K1056" i="1"/>
  <c r="L1056" i="1"/>
  <c r="M1056" i="1"/>
  <c r="L941" i="1"/>
  <c r="K941" i="1"/>
  <c r="L903" i="1"/>
  <c r="K903" i="1"/>
  <c r="M1000" i="1"/>
  <c r="L1000" i="1"/>
  <c r="K1000" i="1"/>
  <c r="M1002" i="1"/>
  <c r="K1002" i="1"/>
  <c r="L1002" i="1"/>
  <c r="K1048" i="1"/>
  <c r="L1048" i="1"/>
  <c r="M1048" i="1"/>
  <c r="L1011" i="1"/>
  <c r="K1011" i="1"/>
  <c r="N1044" i="1"/>
  <c r="K1062" i="1"/>
  <c r="L1062" i="1"/>
  <c r="M1062" i="1"/>
  <c r="K1020" i="1"/>
  <c r="L1020" i="1"/>
  <c r="M1020" i="1"/>
  <c r="M1140" i="1"/>
  <c r="L1140" i="1"/>
  <c r="K1140" i="1"/>
  <c r="M1106" i="1"/>
  <c r="L1106" i="1"/>
  <c r="K1106" i="1"/>
  <c r="K1078" i="1"/>
  <c r="L1078" i="1"/>
  <c r="M1078" i="1"/>
  <c r="N1080" i="1"/>
  <c r="K1042" i="1"/>
  <c r="L1042" i="1"/>
  <c r="M1042" i="1"/>
  <c r="N1056" i="1"/>
  <c r="K1138" i="1"/>
  <c r="M1138" i="1"/>
  <c r="L1138" i="1"/>
  <c r="L1099" i="1"/>
  <c r="K1099" i="1"/>
  <c r="K1143" i="1"/>
  <c r="L1143" i="1"/>
  <c r="K1012" i="1"/>
  <c r="L1012" i="1"/>
  <c r="M1012" i="1"/>
  <c r="N1026" i="1"/>
  <c r="K1036" i="1"/>
  <c r="L1036" i="1"/>
  <c r="M1036" i="1"/>
  <c r="N1058" i="1"/>
  <c r="K1068" i="1"/>
  <c r="L1068" i="1"/>
  <c r="M1068" i="1"/>
  <c r="M1098" i="1"/>
  <c r="K1098" i="1"/>
  <c r="L1098" i="1"/>
  <c r="K1097" i="1"/>
  <c r="L1097" i="1"/>
  <c r="M1102" i="1"/>
  <c r="L1102" i="1"/>
  <c r="K1102" i="1"/>
  <c r="M1150" i="1"/>
  <c r="K1150" i="1"/>
  <c r="L1150" i="1"/>
  <c r="L1127" i="1"/>
  <c r="K1127" i="1"/>
  <c r="N1084" i="1"/>
  <c r="K1094" i="1"/>
  <c r="L1094" i="1"/>
  <c r="M1094" i="1"/>
  <c r="N1118" i="1"/>
  <c r="L1141" i="1"/>
  <c r="K1141" i="1"/>
  <c r="L1109" i="1"/>
  <c r="K1109" i="1"/>
  <c r="N1094" i="1"/>
  <c r="K1111" i="1"/>
  <c r="L1111" i="1"/>
  <c r="M1126" i="1"/>
  <c r="L1126" i="1"/>
  <c r="K1126" i="1"/>
  <c r="N1098" i="1"/>
  <c r="N1092" i="1"/>
  <c r="K1092" i="1"/>
  <c r="L1092" i="1"/>
  <c r="L1238" i="1"/>
  <c r="N1100" i="1"/>
  <c r="M1199" i="1"/>
  <c r="L1199" i="1"/>
  <c r="K1199" i="1"/>
  <c r="L1228" i="1"/>
  <c r="L1214" i="1"/>
  <c r="K1214" i="1"/>
  <c r="M1158" i="1"/>
  <c r="L1158" i="1"/>
  <c r="K1158" i="1"/>
  <c r="L1131" i="1"/>
  <c r="K1131" i="1"/>
  <c r="L1149" i="1"/>
  <c r="K1149" i="1"/>
  <c r="N1144" i="1"/>
  <c r="L1192" i="1"/>
  <c r="K1192" i="1"/>
  <c r="L1178" i="1"/>
  <c r="K1178" i="1"/>
  <c r="M1154" i="1"/>
  <c r="L1154" i="1"/>
  <c r="K1154" i="1"/>
  <c r="K1231" i="1"/>
  <c r="M1231" i="1"/>
  <c r="L1231" i="1"/>
  <c r="N1177" i="1"/>
  <c r="M1221" i="1"/>
  <c r="L1221" i="1"/>
  <c r="K1221" i="1"/>
  <c r="N1108" i="1"/>
  <c r="M1215" i="1"/>
  <c r="L1215" i="1"/>
  <c r="K1215" i="1"/>
  <c r="K1179" i="1"/>
  <c r="M1179" i="1"/>
  <c r="L1179" i="1"/>
  <c r="L1236" i="1"/>
  <c r="K1236" i="1"/>
  <c r="L1176" i="1"/>
  <c r="K1176" i="1"/>
  <c r="M1229" i="1"/>
  <c r="L1229" i="1"/>
  <c r="K1229" i="1"/>
  <c r="K1208" i="1"/>
  <c r="L1208" i="1"/>
  <c r="L1105" i="1"/>
  <c r="K1105" i="1"/>
  <c r="K1135" i="1"/>
  <c r="L1135" i="1"/>
  <c r="K1207" i="1"/>
  <c r="M1207" i="1"/>
  <c r="L1207" i="1"/>
  <c r="N1189" i="1"/>
  <c r="M1203" i="1"/>
  <c r="L1203" i="1"/>
  <c r="K1203" i="1"/>
  <c r="N1227" i="1"/>
  <c r="M1185" i="1"/>
  <c r="L1185" i="1"/>
  <c r="K1185" i="1"/>
  <c r="L1200" i="1"/>
  <c r="K1200" i="1"/>
  <c r="N1205" i="1"/>
  <c r="N1199" i="1"/>
  <c r="L1224" i="1"/>
  <c r="K1224" i="1"/>
  <c r="L1194" i="1"/>
  <c r="K1194" i="1"/>
  <c r="N1231" i="1"/>
  <c r="K134" i="1"/>
  <c r="L134" i="1"/>
  <c r="M134" i="1"/>
  <c r="K21" i="1"/>
  <c r="L21" i="1"/>
  <c r="L121" i="1"/>
  <c r="K121" i="1"/>
  <c r="M192" i="1"/>
  <c r="L192" i="1"/>
  <c r="K192" i="1"/>
  <c r="L167" i="1"/>
  <c r="K167" i="1"/>
  <c r="N156" i="1"/>
  <c r="K65" i="1"/>
  <c r="L89" i="1"/>
  <c r="M120" i="1"/>
  <c r="L120" i="1"/>
  <c r="K120" i="1"/>
  <c r="M78" i="1"/>
  <c r="L78" i="1"/>
  <c r="K78" i="1"/>
  <c r="K149" i="1"/>
  <c r="L149" i="1"/>
  <c r="K101" i="1"/>
  <c r="L101" i="1"/>
  <c r="N102" i="1"/>
  <c r="L91" i="1"/>
  <c r="K91" i="1"/>
  <c r="N94" i="1"/>
  <c r="L94" i="1"/>
  <c r="N188" i="1"/>
  <c r="K24" i="1"/>
  <c r="M24" i="1"/>
  <c r="L24" i="1"/>
  <c r="L137" i="1"/>
  <c r="K137" i="1"/>
  <c r="N38" i="1"/>
  <c r="L31" i="1"/>
  <c r="K147" i="1"/>
  <c r="L147" i="1"/>
  <c r="K61" i="1"/>
  <c r="K153" i="1"/>
  <c r="M190" i="1"/>
  <c r="J14" i="1"/>
  <c r="I14" i="1"/>
  <c r="L14" i="1" s="1"/>
  <c r="L15" i="1" l="1"/>
  <c r="K15" i="1"/>
  <c r="M14" i="1"/>
  <c r="K14" i="1"/>
  <c r="N14" i="1"/>
</calcChain>
</file>

<file path=xl/sharedStrings.xml><?xml version="1.0" encoding="utf-8"?>
<sst xmlns="http://schemas.openxmlformats.org/spreadsheetml/2006/main" count="51" uniqueCount="25">
  <si>
    <t>CHLOROPHYLL CALCULATION - various programs</t>
  </si>
  <si>
    <t>BLANKS</t>
  </si>
  <si>
    <t>I.D.</t>
  </si>
  <si>
    <t>VOLUME</t>
  </si>
  <si>
    <t>RANGE</t>
  </si>
  <si>
    <t>Rb</t>
  </si>
  <si>
    <t>Ra</t>
  </si>
  <si>
    <t>CAL.COEF</t>
  </si>
  <si>
    <t>CHL.</t>
  </si>
  <si>
    <t>PHAE.</t>
  </si>
  <si>
    <t>C+P</t>
  </si>
  <si>
    <t>CHL/P.</t>
  </si>
  <si>
    <t>MEAN C</t>
  </si>
  <si>
    <t>MEAN P</t>
  </si>
  <si>
    <t>Std Filtered</t>
  </si>
  <si>
    <t xml:space="preserve">   Blk Corrected</t>
  </si>
  <si>
    <r>
      <rPr>
        <i/>
        <sz val="12"/>
        <rFont val="Arial"/>
        <family val="2"/>
      </rPr>
      <t xml:space="preserve">Turner Designs Fluorometer </t>
    </r>
    <r>
      <rPr>
        <sz val="12"/>
        <rFont val="Arial"/>
        <family val="2"/>
      </rPr>
      <t xml:space="preserve">#5129  </t>
    </r>
  </si>
  <si>
    <t>CALIBRATION: November 20 , 2020    (JAS)</t>
  </si>
  <si>
    <t>Rb/Ra=2.27</t>
  </si>
  <si>
    <t>Depth</t>
  </si>
  <si>
    <t>Station</t>
  </si>
  <si>
    <t>Event #</t>
  </si>
  <si>
    <t>Mission: HUD2021-185</t>
  </si>
  <si>
    <t>TSG Samples(Underway)</t>
  </si>
  <si>
    <t>HUD2021185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</si>
</sst>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i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ill="1"/>
    <xf numFmtId="0" fontId="0" fillId="0" borderId="0" xfId="0" applyFill="1" applyAlignment="1">
      <alignment horizontal="center"/>
    </xf>
    <xf numFmtId="165" fontId="0" fillId="0" borderId="0" xfId="0" applyNumberFormat="1" applyAlignment="1">
      <alignment horizontal="center"/>
    </xf>
    <xf numFmtId="164" fontId="1" fillId="0" borderId="0" xfId="0" applyNumberFormat="1" applyFont="1"/>
    <xf numFmtId="16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0" xfId="0" applyFont="1" applyFill="1"/>
    <xf numFmtId="0" fontId="0" fillId="2" borderId="0" xfId="0" applyFill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applyNumberFormat="1" applyFill="1" applyAlignment="1">
      <alignment horizontal="right"/>
    </xf>
    <xf numFmtId="164" fontId="0" fillId="0" borderId="0" xfId="0" applyNumberFormat="1" applyFill="1" applyAlignment="1">
      <alignment horizontal="center"/>
    </xf>
    <xf numFmtId="164" fontId="1" fillId="0" borderId="0" xfId="0" applyNumberFormat="1" applyFont="1" applyFill="1"/>
    <xf numFmtId="164" fontId="2" fillId="0" borderId="0" xfId="0" applyNumberFormat="1" applyFont="1" applyFill="1" applyAlignment="1">
      <alignment horizontal="center"/>
    </xf>
    <xf numFmtId="2" fontId="0" fillId="0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79"/>
  <sheetViews>
    <sheetView tabSelected="1" workbookViewId="0"/>
  </sheetViews>
  <sheetFormatPr defaultRowHeight="12.75" x14ac:dyDescent="0.2"/>
  <cols>
    <col min="1" max="1" width="11.85546875" bestFit="1" customWidth="1"/>
  </cols>
  <sheetData>
    <row r="1" spans="1:14" x14ac:dyDescent="0.2">
      <c r="A1" t="s">
        <v>24</v>
      </c>
    </row>
    <row r="2" spans="1:14" x14ac:dyDescent="0.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 x14ac:dyDescent="0.2">
      <c r="A3">
        <v>488275</v>
      </c>
      <c r="B3">
        <v>100</v>
      </c>
      <c r="C3">
        <v>8</v>
      </c>
      <c r="D3">
        <v>0.65</v>
      </c>
      <c r="E3">
        <v>0.5</v>
      </c>
      <c r="F3">
        <v>0.65</v>
      </c>
      <c r="G3">
        <v>0.5</v>
      </c>
      <c r="H3">
        <v>3.8630000000000001E-3</v>
      </c>
      <c r="I3">
        <v>1.0357098425196852E-2</v>
      </c>
      <c r="J3">
        <v>3.3487951574803151E-2</v>
      </c>
      <c r="K3">
        <v>4.3845050000000003E-2</v>
      </c>
      <c r="L3">
        <v>0.30927835051546393</v>
      </c>
      <c r="M3">
        <v>8.63091535433071E-3</v>
      </c>
      <c r="N3">
        <v>3.7406387145669295E-2</v>
      </c>
    </row>
    <row r="4" spans="1:14" x14ac:dyDescent="0.2">
      <c r="B4">
        <v>100</v>
      </c>
      <c r="C4">
        <v>8</v>
      </c>
      <c r="D4">
        <v>0.65</v>
      </c>
      <c r="E4">
        <v>0.55000000000000004</v>
      </c>
      <c r="F4">
        <v>0.65</v>
      </c>
      <c r="G4">
        <v>0.55000000000000004</v>
      </c>
      <c r="H4">
        <v>3.8630000000000001E-3</v>
      </c>
      <c r="I4">
        <v>6.9047322834645663E-3</v>
      </c>
      <c r="J4">
        <v>4.1324822716535446E-2</v>
      </c>
      <c r="K4">
        <v>4.8229555000000014E-2</v>
      </c>
      <c r="L4">
        <v>0.16708437761069334</v>
      </c>
    </row>
    <row r="5" spans="1:14" x14ac:dyDescent="0.2">
      <c r="A5">
        <v>488276</v>
      </c>
      <c r="B5">
        <v>100</v>
      </c>
      <c r="C5">
        <v>8</v>
      </c>
      <c r="D5">
        <v>0.95</v>
      </c>
      <c r="E5">
        <v>0.65</v>
      </c>
      <c r="F5">
        <v>0.95</v>
      </c>
      <c r="G5">
        <v>0.65</v>
      </c>
      <c r="H5">
        <v>3.8630000000000001E-3</v>
      </c>
      <c r="I5">
        <v>2.0714196850393694E-2</v>
      </c>
      <c r="J5">
        <v>3.6284368149606297E-2</v>
      </c>
      <c r="K5">
        <v>5.6998564999999987E-2</v>
      </c>
      <c r="L5">
        <v>0.57088487155090373</v>
      </c>
      <c r="M5">
        <v>2.0714196850393694E-2</v>
      </c>
      <c r="N5">
        <v>3.6284368149606297E-2</v>
      </c>
    </row>
    <row r="6" spans="1:14" x14ac:dyDescent="0.2">
      <c r="B6">
        <v>100</v>
      </c>
      <c r="C6">
        <v>8</v>
      </c>
      <c r="D6">
        <v>0.95</v>
      </c>
      <c r="E6">
        <v>0.65</v>
      </c>
      <c r="F6">
        <v>0.95</v>
      </c>
      <c r="G6">
        <v>0.65</v>
      </c>
      <c r="H6">
        <v>3.8630000000000001E-3</v>
      </c>
      <c r="I6">
        <v>2.0714196850393694E-2</v>
      </c>
      <c r="J6">
        <v>3.6284368149606297E-2</v>
      </c>
      <c r="K6">
        <v>5.6998564999999987E-2</v>
      </c>
      <c r="L6">
        <v>0.57088487155090373</v>
      </c>
    </row>
    <row r="7" spans="1:14" x14ac:dyDescent="0.2">
      <c r="A7">
        <v>488277</v>
      </c>
      <c r="B7">
        <v>100</v>
      </c>
      <c r="C7">
        <v>8</v>
      </c>
      <c r="D7">
        <v>1.4</v>
      </c>
      <c r="E7">
        <v>1</v>
      </c>
      <c r="F7">
        <v>1.4</v>
      </c>
      <c r="G7">
        <v>1</v>
      </c>
      <c r="H7">
        <v>3.8630000000000001E-3</v>
      </c>
      <c r="I7">
        <v>2.7618929133858265E-2</v>
      </c>
      <c r="J7">
        <v>6.0071170866141749E-2</v>
      </c>
      <c r="K7">
        <v>8.7690100000000021E-2</v>
      </c>
      <c r="L7">
        <v>0.45977011494252856</v>
      </c>
      <c r="M7">
        <v>2.5892746062992127E-2</v>
      </c>
      <c r="N7">
        <v>7.27586164370079E-2</v>
      </c>
    </row>
    <row r="8" spans="1:14" x14ac:dyDescent="0.2">
      <c r="B8">
        <v>100</v>
      </c>
      <c r="C8">
        <v>8</v>
      </c>
      <c r="D8">
        <v>1.6</v>
      </c>
      <c r="E8">
        <v>1.25</v>
      </c>
      <c r="F8">
        <v>1.6</v>
      </c>
      <c r="G8">
        <v>1.25</v>
      </c>
      <c r="H8">
        <v>3.8630000000000001E-3</v>
      </c>
      <c r="I8">
        <v>2.4166562992125992E-2</v>
      </c>
      <c r="J8">
        <v>8.5446062007874038E-2</v>
      </c>
      <c r="K8">
        <v>0.10961262500000003</v>
      </c>
      <c r="L8">
        <v>0.28282828282828282</v>
      </c>
    </row>
    <row r="9" spans="1:14" x14ac:dyDescent="0.2">
      <c r="A9">
        <v>488278</v>
      </c>
      <c r="B9">
        <v>100</v>
      </c>
      <c r="C9">
        <v>8</v>
      </c>
      <c r="D9">
        <v>3.6</v>
      </c>
      <c r="E9">
        <v>2.5499999999999998</v>
      </c>
      <c r="F9">
        <v>3.6</v>
      </c>
      <c r="G9">
        <v>2.5499999999999998</v>
      </c>
      <c r="H9">
        <v>3.8630000000000001E-3</v>
      </c>
      <c r="I9">
        <v>7.2499688976377971E-2</v>
      </c>
      <c r="J9">
        <v>0.15111006602362204</v>
      </c>
      <c r="K9">
        <v>0.22360975500000002</v>
      </c>
      <c r="L9">
        <v>0.47978067169294053</v>
      </c>
      <c r="M9">
        <v>7.7678238188976401E-2</v>
      </c>
      <c r="N9">
        <v>0.14593151681102362</v>
      </c>
    </row>
    <row r="10" spans="1:14" x14ac:dyDescent="0.2">
      <c r="B10">
        <v>100</v>
      </c>
      <c r="C10">
        <v>8</v>
      </c>
      <c r="D10">
        <v>3.75</v>
      </c>
      <c r="E10">
        <v>2.5499999999999998</v>
      </c>
      <c r="F10">
        <v>3.75</v>
      </c>
      <c r="G10">
        <v>2.5499999999999998</v>
      </c>
      <c r="H10">
        <v>3.8630000000000001E-3</v>
      </c>
      <c r="I10">
        <v>8.2856787401574816E-2</v>
      </c>
      <c r="J10">
        <v>0.1407529675984252</v>
      </c>
      <c r="K10">
        <v>0.22360975500000002</v>
      </c>
      <c r="L10">
        <v>0.58866813833701259</v>
      </c>
    </row>
    <row r="11" spans="1:14" x14ac:dyDescent="0.2">
      <c r="A11">
        <v>488279</v>
      </c>
      <c r="B11">
        <v>100</v>
      </c>
      <c r="C11">
        <v>8</v>
      </c>
      <c r="D11">
        <v>3.6</v>
      </c>
      <c r="E11">
        <v>2.4500000000000002</v>
      </c>
      <c r="F11">
        <v>3.6</v>
      </c>
      <c r="G11">
        <v>2.4500000000000002</v>
      </c>
      <c r="H11">
        <v>3.8630000000000001E-3</v>
      </c>
      <c r="I11">
        <v>7.9404421259842511E-2</v>
      </c>
      <c r="J11">
        <v>0.13543632374015752</v>
      </c>
      <c r="K11">
        <v>0.21484074500000003</v>
      </c>
      <c r="L11">
        <v>0.58628600560795285</v>
      </c>
      <c r="M11">
        <v>7.5952055118110234E-2</v>
      </c>
      <c r="N11">
        <v>0.14546544738188977</v>
      </c>
    </row>
    <row r="12" spans="1:14" x14ac:dyDescent="0.2">
      <c r="B12">
        <v>100</v>
      </c>
      <c r="C12">
        <v>8</v>
      </c>
      <c r="D12">
        <v>3.65</v>
      </c>
      <c r="E12">
        <v>2.6</v>
      </c>
      <c r="F12">
        <v>3.65</v>
      </c>
      <c r="G12">
        <v>2.6</v>
      </c>
      <c r="H12">
        <v>3.8630000000000001E-3</v>
      </c>
      <c r="I12">
        <v>7.2499688976377943E-2</v>
      </c>
      <c r="J12">
        <v>0.15549457102362202</v>
      </c>
      <c r="K12">
        <v>0.22799425999999995</v>
      </c>
      <c r="L12">
        <v>0.46625222024866786</v>
      </c>
    </row>
    <row r="13" spans="1:14" x14ac:dyDescent="0.2">
      <c r="A13">
        <v>488280</v>
      </c>
      <c r="B13">
        <v>100</v>
      </c>
      <c r="C13">
        <v>8</v>
      </c>
      <c r="D13">
        <v>6.2</v>
      </c>
      <c r="E13">
        <v>4.0999999999999996</v>
      </c>
      <c r="F13">
        <v>6.2</v>
      </c>
      <c r="G13">
        <v>4.0999999999999996</v>
      </c>
      <c r="H13">
        <v>3.8630000000000001E-3</v>
      </c>
      <c r="I13">
        <v>0.14499937795275594</v>
      </c>
      <c r="J13">
        <v>0.21453003204724411</v>
      </c>
      <c r="K13">
        <v>0.35952941000000005</v>
      </c>
      <c r="L13">
        <v>0.67589314451239146</v>
      </c>
      <c r="M13">
        <v>0.15363029330708666</v>
      </c>
      <c r="N13">
        <v>0.20370686419291339</v>
      </c>
    </row>
    <row r="14" spans="1:14" x14ac:dyDescent="0.2">
      <c r="B14">
        <v>100</v>
      </c>
      <c r="C14">
        <v>8</v>
      </c>
      <c r="D14">
        <v>6.4</v>
      </c>
      <c r="E14">
        <v>4.05</v>
      </c>
      <c r="F14">
        <v>6.4</v>
      </c>
      <c r="G14">
        <v>4.05</v>
      </c>
      <c r="H14">
        <v>3.8630000000000001E-3</v>
      </c>
      <c r="I14">
        <v>0.16226120866141736</v>
      </c>
      <c r="J14">
        <v>0.19288369633858266</v>
      </c>
      <c r="K14">
        <v>0.35514490500000001</v>
      </c>
      <c r="L14">
        <v>0.84123858958296072</v>
      </c>
    </row>
    <row r="15" spans="1:14" x14ac:dyDescent="0.2">
      <c r="A15">
        <v>488281</v>
      </c>
      <c r="B15">
        <v>100</v>
      </c>
      <c r="C15">
        <v>6</v>
      </c>
      <c r="D15">
        <v>3.4</v>
      </c>
      <c r="E15">
        <v>1.9</v>
      </c>
      <c r="F15">
        <v>3.4</v>
      </c>
      <c r="G15">
        <v>1.9</v>
      </c>
      <c r="H15">
        <v>3.5767E-2</v>
      </c>
      <c r="I15">
        <v>0.95894988188976371</v>
      </c>
      <c r="J15">
        <v>0.58368082811023636</v>
      </c>
      <c r="K15">
        <v>1.5426307100000001</v>
      </c>
      <c r="L15">
        <v>1.6429353778751363</v>
      </c>
      <c r="M15">
        <v>0.95894988188976371</v>
      </c>
      <c r="N15">
        <v>0.58368082811023636</v>
      </c>
    </row>
    <row r="16" spans="1:14" x14ac:dyDescent="0.2">
      <c r="B16">
        <v>100</v>
      </c>
      <c r="C16">
        <v>6</v>
      </c>
      <c r="D16">
        <v>3.4</v>
      </c>
      <c r="E16">
        <v>1.9</v>
      </c>
      <c r="F16">
        <v>3.4</v>
      </c>
      <c r="G16">
        <v>1.9</v>
      </c>
      <c r="H16">
        <v>3.5767E-2</v>
      </c>
      <c r="I16">
        <v>0.95894988188976371</v>
      </c>
      <c r="J16">
        <v>0.58368082811023636</v>
      </c>
      <c r="K16">
        <v>1.5426307100000001</v>
      </c>
      <c r="L16">
        <v>1.6429353778751363</v>
      </c>
    </row>
    <row r="17" spans="1:14" x14ac:dyDescent="0.2">
      <c r="A17">
        <v>488282</v>
      </c>
      <c r="B17">
        <v>100</v>
      </c>
      <c r="C17">
        <v>6</v>
      </c>
      <c r="D17">
        <v>2.9</v>
      </c>
      <c r="E17">
        <v>1.6</v>
      </c>
      <c r="F17">
        <v>2.9</v>
      </c>
      <c r="G17">
        <v>1.6</v>
      </c>
      <c r="H17">
        <v>3.5767E-2</v>
      </c>
      <c r="I17">
        <v>0.83108989763779517</v>
      </c>
      <c r="J17">
        <v>0.46796754236220489</v>
      </c>
      <c r="K17">
        <v>1.2990574400000001</v>
      </c>
      <c r="L17">
        <v>1.7759562841530045</v>
      </c>
      <c r="M17">
        <v>0.83108989763779517</v>
      </c>
      <c r="N17">
        <v>0.46796754236220489</v>
      </c>
    </row>
    <row r="18" spans="1:14" x14ac:dyDescent="0.2">
      <c r="B18">
        <v>100</v>
      </c>
      <c r="C18">
        <v>6</v>
      </c>
      <c r="D18">
        <v>2.9</v>
      </c>
      <c r="E18">
        <v>1.6</v>
      </c>
      <c r="F18">
        <v>2.9</v>
      </c>
      <c r="G18">
        <v>1.6</v>
      </c>
      <c r="H18">
        <v>3.5767E-2</v>
      </c>
      <c r="I18">
        <v>0.83108989763779517</v>
      </c>
      <c r="J18">
        <v>0.46796754236220489</v>
      </c>
      <c r="K18">
        <v>1.2990574400000001</v>
      </c>
      <c r="L18">
        <v>1.7759562841530045</v>
      </c>
    </row>
    <row r="19" spans="1:14" x14ac:dyDescent="0.2">
      <c r="A19">
        <v>488283</v>
      </c>
      <c r="B19">
        <v>100</v>
      </c>
      <c r="C19">
        <v>7</v>
      </c>
      <c r="D19">
        <v>5.2</v>
      </c>
      <c r="E19">
        <v>2.8</v>
      </c>
      <c r="F19">
        <v>5.2</v>
      </c>
      <c r="G19">
        <v>2.8</v>
      </c>
      <c r="H19">
        <v>9.7450000000000002E-3</v>
      </c>
      <c r="I19">
        <v>0.41803748031496069</v>
      </c>
      <c r="J19">
        <v>0.20135471968503932</v>
      </c>
      <c r="K19">
        <v>0.61939220000000006</v>
      </c>
      <c r="L19">
        <v>2.0761245674740492</v>
      </c>
      <c r="M19">
        <v>0.41368292322834654</v>
      </c>
      <c r="N19">
        <v>0.20570927677165346</v>
      </c>
    </row>
    <row r="20" spans="1:14" x14ac:dyDescent="0.2">
      <c r="B20">
        <v>100</v>
      </c>
      <c r="C20">
        <v>7</v>
      </c>
      <c r="D20">
        <v>5.15</v>
      </c>
      <c r="E20">
        <v>2.8</v>
      </c>
      <c r="F20">
        <v>5.15</v>
      </c>
      <c r="G20">
        <v>2.8</v>
      </c>
      <c r="H20">
        <v>9.7450000000000002E-3</v>
      </c>
      <c r="I20">
        <v>0.4093283661417324</v>
      </c>
      <c r="J20">
        <v>0.21006383385826763</v>
      </c>
      <c r="K20">
        <v>0.61939220000000006</v>
      </c>
      <c r="L20">
        <v>1.9485903814262038</v>
      </c>
    </row>
    <row r="21" spans="1:14" x14ac:dyDescent="0.2">
      <c r="A21">
        <v>488284</v>
      </c>
      <c r="B21">
        <v>100</v>
      </c>
      <c r="C21">
        <v>7</v>
      </c>
      <c r="D21">
        <v>4.5999999999999996</v>
      </c>
      <c r="E21">
        <v>2.4500000000000002</v>
      </c>
      <c r="F21">
        <v>4.5999999999999996</v>
      </c>
      <c r="G21">
        <v>2.4500000000000002</v>
      </c>
      <c r="H21">
        <v>9.7450000000000002E-3</v>
      </c>
      <c r="I21">
        <v>0.37449190944881883</v>
      </c>
      <c r="J21">
        <v>0.16747626555118131</v>
      </c>
      <c r="K21">
        <v>0.54196817500000016</v>
      </c>
      <c r="L21">
        <v>2.2360894435777401</v>
      </c>
      <c r="M21">
        <v>0.37013735236220469</v>
      </c>
      <c r="N21">
        <v>0.17183082263779548</v>
      </c>
    </row>
    <row r="22" spans="1:14" x14ac:dyDescent="0.2">
      <c r="B22">
        <v>100</v>
      </c>
      <c r="C22">
        <v>7</v>
      </c>
      <c r="D22">
        <v>4.55</v>
      </c>
      <c r="E22">
        <v>2.4500000000000002</v>
      </c>
      <c r="F22">
        <v>4.55</v>
      </c>
      <c r="G22">
        <v>2.4500000000000002</v>
      </c>
      <c r="H22">
        <v>9.7450000000000002E-3</v>
      </c>
      <c r="I22">
        <v>0.36578279527559049</v>
      </c>
      <c r="J22">
        <v>0.17618537972440965</v>
      </c>
      <c r="K22">
        <v>0.54196817500000016</v>
      </c>
      <c r="L22">
        <v>2.0761245674740456</v>
      </c>
    </row>
    <row r="23" spans="1:14" x14ac:dyDescent="0.2">
      <c r="A23">
        <v>488285</v>
      </c>
      <c r="B23">
        <v>100</v>
      </c>
      <c r="C23">
        <v>7</v>
      </c>
      <c r="D23">
        <v>2.0499999999999998</v>
      </c>
      <c r="E23">
        <v>1.45</v>
      </c>
      <c r="F23">
        <v>2.0499999999999998</v>
      </c>
      <c r="G23">
        <v>1.45</v>
      </c>
      <c r="H23">
        <v>9.7450000000000002E-3</v>
      </c>
      <c r="I23">
        <v>0.10450937007874014</v>
      </c>
      <c r="J23">
        <v>0.21624730492125988</v>
      </c>
      <c r="K23">
        <v>0.32075667500000005</v>
      </c>
      <c r="L23">
        <v>0.48328634716069258</v>
      </c>
      <c r="M23">
        <v>0.12192759842519683</v>
      </c>
      <c r="N23">
        <v>0.20435936407480315</v>
      </c>
    </row>
    <row r="24" spans="1:14" x14ac:dyDescent="0.2">
      <c r="B24">
        <v>100</v>
      </c>
      <c r="C24">
        <v>7</v>
      </c>
      <c r="D24">
        <v>2.2999999999999998</v>
      </c>
      <c r="E24">
        <v>1.5</v>
      </c>
      <c r="F24">
        <v>2.2999999999999998</v>
      </c>
      <c r="G24">
        <v>1.5</v>
      </c>
      <c r="H24">
        <v>9.7450000000000002E-3</v>
      </c>
      <c r="I24">
        <v>0.13934582677165352</v>
      </c>
      <c r="J24">
        <v>0.19247142322834646</v>
      </c>
      <c r="K24">
        <v>0.33181724999999995</v>
      </c>
      <c r="L24">
        <v>0.72398190045248856</v>
      </c>
    </row>
    <row r="25" spans="1:14" x14ac:dyDescent="0.2">
      <c r="A25">
        <v>488286</v>
      </c>
      <c r="B25">
        <v>100</v>
      </c>
      <c r="C25">
        <v>7</v>
      </c>
      <c r="D25">
        <v>2</v>
      </c>
      <c r="E25">
        <v>1.4</v>
      </c>
      <c r="F25">
        <v>2</v>
      </c>
      <c r="G25">
        <v>1.4</v>
      </c>
      <c r="H25">
        <v>9.7450000000000002E-3</v>
      </c>
      <c r="I25">
        <v>0.10450937007874017</v>
      </c>
      <c r="J25">
        <v>0.20518672992125986</v>
      </c>
      <c r="K25">
        <v>0.30969610000000003</v>
      </c>
      <c r="L25">
        <v>0.50933786078098475</v>
      </c>
      <c r="M25">
        <v>0.10886392716535434</v>
      </c>
      <c r="N25">
        <v>0.20083217283464566</v>
      </c>
    </row>
    <row r="26" spans="1:14" x14ac:dyDescent="0.2">
      <c r="B26">
        <v>100</v>
      </c>
      <c r="C26">
        <v>7</v>
      </c>
      <c r="D26">
        <v>2.0499999999999998</v>
      </c>
      <c r="E26">
        <v>1.4</v>
      </c>
      <c r="F26">
        <v>2.0499999999999998</v>
      </c>
      <c r="G26">
        <v>1.4</v>
      </c>
      <c r="H26">
        <v>9.7450000000000002E-3</v>
      </c>
      <c r="I26">
        <v>0.1132184842519685</v>
      </c>
      <c r="J26">
        <v>0.19647761574803149</v>
      </c>
      <c r="K26">
        <v>0.30969609999999997</v>
      </c>
      <c r="L26">
        <v>0.57624113475177297</v>
      </c>
    </row>
    <row r="27" spans="1:14" x14ac:dyDescent="0.2">
      <c r="A27">
        <v>488287</v>
      </c>
      <c r="B27">
        <v>100</v>
      </c>
      <c r="C27">
        <v>7</v>
      </c>
      <c r="D27">
        <v>2.8</v>
      </c>
      <c r="E27">
        <v>1.8</v>
      </c>
      <c r="F27">
        <v>2.8</v>
      </c>
      <c r="G27">
        <v>1.8</v>
      </c>
      <c r="H27">
        <v>9.7450000000000002E-3</v>
      </c>
      <c r="I27">
        <v>0.17418228346456691</v>
      </c>
      <c r="J27">
        <v>0.22399841653543315</v>
      </c>
      <c r="K27">
        <v>0.39818070000000005</v>
      </c>
      <c r="L27">
        <v>0.77760497667185036</v>
      </c>
      <c r="M27">
        <v>0.17418228346456693</v>
      </c>
      <c r="N27">
        <v>0.22952870403543313</v>
      </c>
    </row>
    <row r="28" spans="1:14" x14ac:dyDescent="0.2">
      <c r="B28">
        <v>100</v>
      </c>
      <c r="C28">
        <v>7</v>
      </c>
      <c r="D28">
        <v>2.85</v>
      </c>
      <c r="E28">
        <v>1.85</v>
      </c>
      <c r="F28">
        <v>2.85</v>
      </c>
      <c r="G28">
        <v>1.85</v>
      </c>
      <c r="H28">
        <v>9.7450000000000002E-3</v>
      </c>
      <c r="I28">
        <v>0.17418228346456693</v>
      </c>
      <c r="J28">
        <v>0.23505899153543314</v>
      </c>
      <c r="K28">
        <v>0.40924127500000007</v>
      </c>
      <c r="L28">
        <v>0.74101519081141143</v>
      </c>
    </row>
    <row r="29" spans="1:14" x14ac:dyDescent="0.2">
      <c r="A29">
        <v>488288</v>
      </c>
      <c r="B29">
        <v>100</v>
      </c>
      <c r="C29">
        <v>7</v>
      </c>
      <c r="D29">
        <v>4</v>
      </c>
      <c r="E29">
        <v>2.5499999999999998</v>
      </c>
      <c r="F29">
        <v>4</v>
      </c>
      <c r="G29">
        <v>2.5499999999999998</v>
      </c>
      <c r="H29">
        <v>9.7450000000000002E-3</v>
      </c>
      <c r="I29">
        <v>0.25256431102362209</v>
      </c>
      <c r="J29">
        <v>0.31152501397637794</v>
      </c>
      <c r="K29">
        <v>0.56408932500000009</v>
      </c>
      <c r="L29">
        <v>0.81073525300531191</v>
      </c>
      <c r="M29">
        <v>0.23514608267716539</v>
      </c>
      <c r="N29">
        <v>0.26257979232283463</v>
      </c>
    </row>
    <row r="30" spans="1:14" x14ac:dyDescent="0.2">
      <c r="B30">
        <v>100</v>
      </c>
      <c r="C30">
        <v>7</v>
      </c>
      <c r="D30">
        <v>3.2</v>
      </c>
      <c r="E30">
        <v>1.95</v>
      </c>
      <c r="F30">
        <v>3.2</v>
      </c>
      <c r="G30">
        <v>1.95</v>
      </c>
      <c r="H30">
        <v>9.7450000000000002E-3</v>
      </c>
      <c r="I30">
        <v>0.21772785433070868</v>
      </c>
      <c r="J30">
        <v>0.21363457066929128</v>
      </c>
      <c r="K30">
        <v>0.43136242499999999</v>
      </c>
      <c r="L30">
        <v>1.0191602119853245</v>
      </c>
    </row>
    <row r="31" spans="1:14" x14ac:dyDescent="0.2">
      <c r="A31">
        <v>488289</v>
      </c>
      <c r="B31">
        <v>100</v>
      </c>
      <c r="C31">
        <v>7</v>
      </c>
      <c r="D31">
        <v>4.9000000000000004</v>
      </c>
      <c r="E31">
        <v>2.75</v>
      </c>
      <c r="F31">
        <v>4.9000000000000004</v>
      </c>
      <c r="G31">
        <v>2.75</v>
      </c>
      <c r="H31">
        <v>9.7450000000000002E-3</v>
      </c>
      <c r="I31">
        <v>0.37449190944881899</v>
      </c>
      <c r="J31">
        <v>0.23383971555118108</v>
      </c>
      <c r="K31">
        <v>0.60833162500000004</v>
      </c>
      <c r="L31">
        <v>1.6014897579143395</v>
      </c>
      <c r="M31">
        <v>0.46593760826771657</v>
      </c>
      <c r="N31">
        <v>0.25299976673228347</v>
      </c>
    </row>
    <row r="32" spans="1:14" x14ac:dyDescent="0.2">
      <c r="B32">
        <v>100</v>
      </c>
      <c r="C32">
        <v>7</v>
      </c>
      <c r="D32">
        <v>6.95</v>
      </c>
      <c r="E32">
        <v>3.75</v>
      </c>
      <c r="F32">
        <v>6.95</v>
      </c>
      <c r="G32">
        <v>3.75</v>
      </c>
      <c r="H32">
        <v>9.7450000000000002E-3</v>
      </c>
      <c r="I32">
        <v>0.55738330708661421</v>
      </c>
      <c r="J32">
        <v>0.27215981791338584</v>
      </c>
      <c r="K32">
        <v>0.82954312500000005</v>
      </c>
      <c r="L32">
        <v>2.048</v>
      </c>
    </row>
    <row r="33" spans="1:14" x14ac:dyDescent="0.2">
      <c r="A33">
        <v>488290</v>
      </c>
      <c r="B33">
        <v>100</v>
      </c>
      <c r="C33">
        <v>6</v>
      </c>
      <c r="D33">
        <v>7</v>
      </c>
      <c r="E33">
        <v>3.35</v>
      </c>
      <c r="F33">
        <v>7</v>
      </c>
      <c r="G33">
        <v>3.35</v>
      </c>
      <c r="H33">
        <v>3.5767E-2</v>
      </c>
      <c r="I33">
        <v>2.3334447125984252</v>
      </c>
      <c r="J33">
        <v>0.38645680240157582</v>
      </c>
      <c r="K33">
        <v>2.719901515000001</v>
      </c>
      <c r="L33">
        <v>6.0380479735318291</v>
      </c>
      <c r="M33">
        <v>2.4772871948818898</v>
      </c>
      <c r="N33">
        <v>0.42529427261811081</v>
      </c>
    </row>
    <row r="34" spans="1:14" x14ac:dyDescent="0.2">
      <c r="B34">
        <v>100</v>
      </c>
      <c r="C34">
        <v>6</v>
      </c>
      <c r="D34">
        <v>7.9</v>
      </c>
      <c r="E34">
        <v>3.8</v>
      </c>
      <c r="F34">
        <v>7.9</v>
      </c>
      <c r="G34">
        <v>3.8</v>
      </c>
      <c r="H34">
        <v>3.5767E-2</v>
      </c>
      <c r="I34">
        <v>2.6211296771653547</v>
      </c>
      <c r="J34">
        <v>0.46413174283464576</v>
      </c>
      <c r="K34">
        <v>3.0852614200000006</v>
      </c>
      <c r="L34">
        <v>5.6473829201101928</v>
      </c>
    </row>
    <row r="35" spans="1:14" x14ac:dyDescent="0.2">
      <c r="A35">
        <v>488291</v>
      </c>
      <c r="B35">
        <v>100</v>
      </c>
      <c r="C35">
        <v>5</v>
      </c>
      <c r="D35">
        <v>3.1</v>
      </c>
      <c r="E35">
        <v>1.45</v>
      </c>
      <c r="F35">
        <v>3.1</v>
      </c>
      <c r="G35">
        <v>1.45</v>
      </c>
      <c r="H35">
        <v>0.123026</v>
      </c>
      <c r="I35">
        <v>3.6282982913385826</v>
      </c>
      <c r="J35">
        <v>0.42110249866141808</v>
      </c>
      <c r="K35">
        <v>4.0494007900000009</v>
      </c>
      <c r="L35">
        <v>8.6161879895561206</v>
      </c>
      <c r="M35">
        <v>3.133530342519685</v>
      </c>
      <c r="N35">
        <v>0.28751515248031523</v>
      </c>
    </row>
    <row r="36" spans="1:14" x14ac:dyDescent="0.2">
      <c r="B36">
        <v>100</v>
      </c>
      <c r="C36">
        <v>5</v>
      </c>
      <c r="D36">
        <v>2.2000000000000002</v>
      </c>
      <c r="E36">
        <v>1</v>
      </c>
      <c r="F36">
        <v>2.2000000000000002</v>
      </c>
      <c r="G36">
        <v>1</v>
      </c>
      <c r="H36">
        <v>0.123026</v>
      </c>
      <c r="I36">
        <v>2.6387623937007874</v>
      </c>
      <c r="J36">
        <v>0.15392780629921232</v>
      </c>
      <c r="K36">
        <v>2.7926901999999996</v>
      </c>
      <c r="L36">
        <v>17.142857142857174</v>
      </c>
    </row>
    <row r="37" spans="1:14" x14ac:dyDescent="0.2">
      <c r="A37">
        <v>488292</v>
      </c>
      <c r="B37">
        <v>100</v>
      </c>
      <c r="C37">
        <v>8</v>
      </c>
      <c r="D37">
        <v>3.15</v>
      </c>
      <c r="E37">
        <v>2.2999999999999998</v>
      </c>
      <c r="F37">
        <v>3.15</v>
      </c>
      <c r="G37">
        <v>2.2999999999999998</v>
      </c>
      <c r="H37">
        <v>3.8630000000000001E-3</v>
      </c>
      <c r="I37">
        <v>5.8690224409448828E-2</v>
      </c>
      <c r="J37">
        <v>0.14299700559055117</v>
      </c>
      <c r="K37">
        <v>0.20168723</v>
      </c>
      <c r="L37">
        <v>0.41042974408498317</v>
      </c>
      <c r="M37">
        <v>6.3868773622047251E-2</v>
      </c>
      <c r="N37">
        <v>0.14001070887795275</v>
      </c>
    </row>
    <row r="38" spans="1:14" x14ac:dyDescent="0.2">
      <c r="B38">
        <v>100</v>
      </c>
      <c r="C38">
        <v>8</v>
      </c>
      <c r="D38">
        <v>3.35</v>
      </c>
      <c r="E38">
        <v>2.35</v>
      </c>
      <c r="F38">
        <v>3.35</v>
      </c>
      <c r="G38">
        <v>2.35</v>
      </c>
      <c r="H38">
        <v>3.8630000000000001E-3</v>
      </c>
      <c r="I38">
        <v>6.904732283464568E-2</v>
      </c>
      <c r="J38">
        <v>0.13702441216535435</v>
      </c>
      <c r="K38">
        <v>0.20607173500000003</v>
      </c>
      <c r="L38">
        <v>0.5039052658100277</v>
      </c>
    </row>
    <row r="39" spans="1:14" x14ac:dyDescent="0.2">
      <c r="A39">
        <v>488293</v>
      </c>
      <c r="B39">
        <v>100</v>
      </c>
      <c r="C39">
        <v>8</v>
      </c>
      <c r="D39">
        <v>2.75</v>
      </c>
      <c r="E39">
        <v>1.95</v>
      </c>
      <c r="F39">
        <v>2.75</v>
      </c>
      <c r="G39">
        <v>1.95</v>
      </c>
      <c r="H39">
        <v>3.8630000000000001E-3</v>
      </c>
      <c r="I39">
        <v>5.5237858267716537E-2</v>
      </c>
      <c r="J39">
        <v>0.11575783673228346</v>
      </c>
      <c r="K39">
        <v>0.170995695</v>
      </c>
      <c r="L39">
        <v>0.47718461079630187</v>
      </c>
      <c r="M39">
        <v>0.18002842716535436</v>
      </c>
      <c r="N39">
        <v>0.1266809203346457</v>
      </c>
    </row>
    <row r="40" spans="1:14" x14ac:dyDescent="0.2">
      <c r="B40">
        <v>100</v>
      </c>
      <c r="C40">
        <v>7</v>
      </c>
      <c r="D40">
        <v>3.75</v>
      </c>
      <c r="E40">
        <v>2</v>
      </c>
      <c r="F40">
        <v>3.75</v>
      </c>
      <c r="G40">
        <v>2</v>
      </c>
      <c r="H40">
        <v>9.7450000000000002E-3</v>
      </c>
      <c r="I40">
        <v>0.30481899606299218</v>
      </c>
      <c r="J40">
        <v>0.13760400393700795</v>
      </c>
      <c r="K40">
        <v>0.44242300000000012</v>
      </c>
      <c r="L40">
        <v>2.2151898734177209</v>
      </c>
    </row>
    <row r="41" spans="1:14" x14ac:dyDescent="0.2">
      <c r="A41">
        <v>488294</v>
      </c>
      <c r="B41">
        <v>100</v>
      </c>
      <c r="C41">
        <v>7</v>
      </c>
      <c r="D41">
        <v>5</v>
      </c>
      <c r="E41">
        <v>2.8</v>
      </c>
      <c r="F41">
        <v>5</v>
      </c>
      <c r="G41">
        <v>2.8</v>
      </c>
      <c r="H41">
        <v>9.7450000000000002E-3</v>
      </c>
      <c r="I41">
        <v>0.38320102362204733</v>
      </c>
      <c r="J41">
        <v>0.23619117637795273</v>
      </c>
      <c r="K41">
        <v>0.61939220000000006</v>
      </c>
      <c r="L41">
        <v>1.6224188790560479</v>
      </c>
      <c r="M41">
        <v>0.33530089566929133</v>
      </c>
      <c r="N41">
        <v>0.20666727933070866</v>
      </c>
    </row>
    <row r="42" spans="1:14" x14ac:dyDescent="0.2">
      <c r="B42">
        <v>100</v>
      </c>
      <c r="C42">
        <v>7</v>
      </c>
      <c r="D42">
        <v>3.75</v>
      </c>
      <c r="E42">
        <v>2.1</v>
      </c>
      <c r="F42">
        <v>3.75</v>
      </c>
      <c r="G42">
        <v>2.1</v>
      </c>
      <c r="H42">
        <v>9.7450000000000002E-3</v>
      </c>
      <c r="I42">
        <v>0.28740076771653539</v>
      </c>
      <c r="J42">
        <v>0.17714338228346463</v>
      </c>
      <c r="K42">
        <v>0.46454415000000004</v>
      </c>
      <c r="L42">
        <v>1.6224188790560463</v>
      </c>
    </row>
    <row r="43" spans="1:14" x14ac:dyDescent="0.2">
      <c r="A43">
        <v>488295</v>
      </c>
      <c r="B43">
        <v>100</v>
      </c>
      <c r="C43">
        <v>7</v>
      </c>
      <c r="D43">
        <v>4.2</v>
      </c>
      <c r="E43">
        <v>2.4</v>
      </c>
      <c r="F43">
        <v>4.2</v>
      </c>
      <c r="G43">
        <v>2.4</v>
      </c>
      <c r="H43">
        <v>9.7450000000000002E-3</v>
      </c>
      <c r="I43">
        <v>0.31352811023622057</v>
      </c>
      <c r="J43">
        <v>0.21737948976377947</v>
      </c>
      <c r="K43">
        <v>0.53090760000000004</v>
      </c>
      <c r="L43">
        <v>1.4423076923076932</v>
      </c>
      <c r="M43">
        <v>0.37449190944881894</v>
      </c>
      <c r="N43">
        <v>0.20618827805118115</v>
      </c>
    </row>
    <row r="44" spans="1:14" x14ac:dyDescent="0.2">
      <c r="B44">
        <v>100</v>
      </c>
      <c r="C44">
        <v>7</v>
      </c>
      <c r="D44">
        <v>5.35</v>
      </c>
      <c r="E44">
        <v>2.85</v>
      </c>
      <c r="F44">
        <v>5.35</v>
      </c>
      <c r="G44">
        <v>2.85</v>
      </c>
      <c r="H44">
        <v>9.7450000000000002E-3</v>
      </c>
      <c r="I44">
        <v>0.43545570866141725</v>
      </c>
      <c r="J44">
        <v>0.19499706633858283</v>
      </c>
      <c r="K44">
        <v>0.63045277500000008</v>
      </c>
      <c r="L44">
        <v>2.2331397945511369</v>
      </c>
    </row>
    <row r="45" spans="1:14" x14ac:dyDescent="0.2">
      <c r="A45">
        <v>488296</v>
      </c>
      <c r="B45">
        <v>100</v>
      </c>
      <c r="C45">
        <v>7</v>
      </c>
      <c r="D45">
        <v>6.85</v>
      </c>
      <c r="E45">
        <v>3.6</v>
      </c>
      <c r="F45">
        <v>6.85</v>
      </c>
      <c r="G45">
        <v>3.6</v>
      </c>
      <c r="H45">
        <v>9.7450000000000002E-3</v>
      </c>
      <c r="I45">
        <v>0.56609242125984249</v>
      </c>
      <c r="J45">
        <v>0.23026897874015761</v>
      </c>
      <c r="K45">
        <v>0.79636140000000011</v>
      </c>
      <c r="L45">
        <v>2.4583963691376685</v>
      </c>
      <c r="M45">
        <v>0.50077406496062993</v>
      </c>
      <c r="N45">
        <v>0.24581474753937008</v>
      </c>
    </row>
    <row r="46" spans="1:14" x14ac:dyDescent="0.2">
      <c r="B46">
        <v>100</v>
      </c>
      <c r="C46">
        <v>7</v>
      </c>
      <c r="D46">
        <v>5.65</v>
      </c>
      <c r="E46">
        <v>3.15</v>
      </c>
      <c r="F46">
        <v>5.65</v>
      </c>
      <c r="G46">
        <v>3.15</v>
      </c>
      <c r="H46">
        <v>9.7450000000000002E-3</v>
      </c>
      <c r="I46">
        <v>0.43545570866141736</v>
      </c>
      <c r="J46">
        <v>0.26136051633858254</v>
      </c>
      <c r="K46">
        <v>0.69681622499999984</v>
      </c>
      <c r="L46">
        <v>1.6661112962345894</v>
      </c>
    </row>
    <row r="47" spans="1:14" x14ac:dyDescent="0.2">
      <c r="A47">
        <v>488297</v>
      </c>
      <c r="B47">
        <v>100</v>
      </c>
      <c r="C47">
        <v>6</v>
      </c>
      <c r="D47">
        <v>3.25</v>
      </c>
      <c r="E47">
        <v>1.65</v>
      </c>
      <c r="F47">
        <v>3.25</v>
      </c>
      <c r="G47">
        <v>1.65</v>
      </c>
      <c r="H47">
        <v>3.5767E-2</v>
      </c>
      <c r="I47">
        <v>1.0228798740157481</v>
      </c>
      <c r="J47">
        <v>0.31677311098425193</v>
      </c>
      <c r="K47">
        <v>1.3396529850000001</v>
      </c>
      <c r="L47">
        <v>3.2290615539858734</v>
      </c>
      <c r="M47">
        <v>0.97493237992125981</v>
      </c>
      <c r="N47">
        <v>0.34442283257874029</v>
      </c>
    </row>
    <row r="48" spans="1:14" x14ac:dyDescent="0.2">
      <c r="B48">
        <v>100</v>
      </c>
      <c r="C48">
        <v>6</v>
      </c>
      <c r="D48">
        <v>3.05</v>
      </c>
      <c r="E48">
        <v>1.6</v>
      </c>
      <c r="F48">
        <v>3.05</v>
      </c>
      <c r="G48">
        <v>1.6</v>
      </c>
      <c r="H48">
        <v>3.5767E-2</v>
      </c>
      <c r="I48">
        <v>0.92698488582677152</v>
      </c>
      <c r="J48">
        <v>0.3720725541732286</v>
      </c>
      <c r="K48">
        <v>1.2990574400000001</v>
      </c>
      <c r="L48">
        <v>2.4914089347079016</v>
      </c>
    </row>
    <row r="49" spans="1:14" x14ac:dyDescent="0.2">
      <c r="A49">
        <v>488298</v>
      </c>
      <c r="B49">
        <v>100</v>
      </c>
      <c r="C49">
        <v>6</v>
      </c>
      <c r="D49">
        <v>5.85</v>
      </c>
      <c r="E49">
        <v>2.9</v>
      </c>
      <c r="F49">
        <v>5.85</v>
      </c>
      <c r="G49">
        <v>2.9</v>
      </c>
      <c r="H49">
        <v>3.5767E-2</v>
      </c>
      <c r="I49">
        <v>1.8859347677165355</v>
      </c>
      <c r="J49">
        <v>0.46860684228346533</v>
      </c>
      <c r="K49">
        <v>2.354541610000001</v>
      </c>
      <c r="L49">
        <v>4.0245566166439222</v>
      </c>
      <c r="M49">
        <v>1.8379872736220473</v>
      </c>
      <c r="N49">
        <v>0.47595879137795322</v>
      </c>
    </row>
    <row r="50" spans="1:14" x14ac:dyDescent="0.2">
      <c r="B50">
        <v>100</v>
      </c>
      <c r="C50">
        <v>6</v>
      </c>
      <c r="D50">
        <v>5.6</v>
      </c>
      <c r="E50">
        <v>2.8</v>
      </c>
      <c r="F50">
        <v>5.6</v>
      </c>
      <c r="G50">
        <v>2.8</v>
      </c>
      <c r="H50">
        <v>3.5767E-2</v>
      </c>
      <c r="I50">
        <v>1.7900397795275591</v>
      </c>
      <c r="J50">
        <v>0.4833107404724411</v>
      </c>
      <c r="K50">
        <v>2.2733505200000002</v>
      </c>
      <c r="L50">
        <v>3.7037037037037024</v>
      </c>
    </row>
    <row r="51" spans="1:14" x14ac:dyDescent="0.2">
      <c r="A51">
        <v>488299</v>
      </c>
      <c r="B51">
        <v>100</v>
      </c>
      <c r="C51">
        <v>5</v>
      </c>
      <c r="D51">
        <v>4</v>
      </c>
      <c r="E51">
        <v>1.9</v>
      </c>
      <c r="F51">
        <v>4</v>
      </c>
      <c r="G51">
        <v>1.9</v>
      </c>
      <c r="H51">
        <v>0.123026</v>
      </c>
      <c r="I51">
        <v>4.617834188976377</v>
      </c>
      <c r="J51">
        <v>0.6882771910236225</v>
      </c>
      <c r="K51">
        <v>5.306111379999999</v>
      </c>
      <c r="L51">
        <v>6.7092651757188442</v>
      </c>
      <c r="M51">
        <v>4.4529115393700778</v>
      </c>
      <c r="N51">
        <v>0.71356533062992189</v>
      </c>
    </row>
    <row r="52" spans="1:14" x14ac:dyDescent="0.2">
      <c r="B52">
        <v>100</v>
      </c>
      <c r="C52">
        <v>5</v>
      </c>
      <c r="D52">
        <v>3.75</v>
      </c>
      <c r="E52">
        <v>1.8</v>
      </c>
      <c r="F52">
        <v>3.75</v>
      </c>
      <c r="G52">
        <v>1.8</v>
      </c>
      <c r="H52">
        <v>0.123026</v>
      </c>
      <c r="I52">
        <v>4.2879888897637786</v>
      </c>
      <c r="J52">
        <v>0.73885347023622128</v>
      </c>
      <c r="K52">
        <v>5.0268423599999998</v>
      </c>
      <c r="L52">
        <v>5.8035714285714208</v>
      </c>
    </row>
    <row r="53" spans="1:14" x14ac:dyDescent="0.2">
      <c r="A53">
        <v>488300</v>
      </c>
      <c r="B53">
        <v>100</v>
      </c>
      <c r="C53">
        <v>5</v>
      </c>
      <c r="D53">
        <v>3.25</v>
      </c>
      <c r="E53">
        <v>1.5</v>
      </c>
      <c r="F53">
        <v>3.25</v>
      </c>
      <c r="G53">
        <v>1.5</v>
      </c>
      <c r="H53">
        <v>0.123026</v>
      </c>
      <c r="I53">
        <v>3.8481951574803146</v>
      </c>
      <c r="J53">
        <v>0.34084014251968447</v>
      </c>
      <c r="K53">
        <v>4.1890352999999987</v>
      </c>
      <c r="L53">
        <v>11.29032258064518</v>
      </c>
      <c r="M53">
        <v>3.7932209409448814</v>
      </c>
      <c r="N53">
        <v>0.53544886905511813</v>
      </c>
    </row>
    <row r="54" spans="1:14" x14ac:dyDescent="0.2">
      <c r="B54">
        <v>100</v>
      </c>
      <c r="C54">
        <v>5</v>
      </c>
      <c r="D54">
        <v>3.3</v>
      </c>
      <c r="E54">
        <v>1.6</v>
      </c>
      <c r="F54">
        <v>3.3</v>
      </c>
      <c r="G54">
        <v>1.6</v>
      </c>
      <c r="H54">
        <v>0.123026</v>
      </c>
      <c r="I54">
        <v>3.7382467244094482</v>
      </c>
      <c r="J54">
        <v>0.73005759559055183</v>
      </c>
      <c r="K54">
        <v>4.4683043199999997</v>
      </c>
      <c r="L54">
        <v>5.1204819277108378</v>
      </c>
    </row>
    <row r="55" spans="1:14" x14ac:dyDescent="0.2">
      <c r="A55">
        <v>488301</v>
      </c>
      <c r="B55">
        <v>100</v>
      </c>
      <c r="C55">
        <v>8</v>
      </c>
      <c r="D55">
        <v>4.45</v>
      </c>
      <c r="E55">
        <v>3.05</v>
      </c>
      <c r="F55">
        <v>4.45</v>
      </c>
      <c r="G55">
        <v>3.05</v>
      </c>
      <c r="H55">
        <v>3.8630000000000001E-3</v>
      </c>
      <c r="I55">
        <v>9.6666251968503966E-2</v>
      </c>
      <c r="J55">
        <v>0.17078855303149598</v>
      </c>
      <c r="K55">
        <v>0.26745480499999996</v>
      </c>
      <c r="L55">
        <v>0.56599959571457492</v>
      </c>
      <c r="M55">
        <v>0.15363029330708664</v>
      </c>
      <c r="N55">
        <v>0.18616884419291335</v>
      </c>
    </row>
    <row r="56" spans="1:14" x14ac:dyDescent="0.2">
      <c r="B56">
        <v>100</v>
      </c>
      <c r="C56">
        <v>8</v>
      </c>
      <c r="D56">
        <v>7.75</v>
      </c>
      <c r="E56">
        <v>4.7</v>
      </c>
      <c r="F56">
        <v>7.75</v>
      </c>
      <c r="G56">
        <v>4.7</v>
      </c>
      <c r="H56">
        <v>3.8630000000000001E-3</v>
      </c>
      <c r="I56">
        <v>0.21059433464566929</v>
      </c>
      <c r="J56">
        <v>0.20154913535433075</v>
      </c>
      <c r="K56">
        <v>0.41214347000000007</v>
      </c>
      <c r="L56">
        <v>1.0448783830078792</v>
      </c>
    </row>
    <row r="57" spans="1:14" x14ac:dyDescent="0.2">
      <c r="A57">
        <v>488302</v>
      </c>
      <c r="B57">
        <v>100</v>
      </c>
      <c r="C57">
        <v>8</v>
      </c>
      <c r="D57">
        <v>5.4</v>
      </c>
      <c r="E57">
        <v>3.55</v>
      </c>
      <c r="F57">
        <v>5.4</v>
      </c>
      <c r="G57">
        <v>3.55</v>
      </c>
      <c r="H57">
        <v>3.8630000000000001E-3</v>
      </c>
      <c r="I57">
        <v>0.12773754724409453</v>
      </c>
      <c r="J57">
        <v>0.18356230775590551</v>
      </c>
      <c r="K57">
        <v>0.31129985500000001</v>
      </c>
      <c r="L57">
        <v>0.69588113597893575</v>
      </c>
      <c r="M57">
        <v>0.11565426574803152</v>
      </c>
      <c r="N57">
        <v>0.19345333675196852</v>
      </c>
    </row>
    <row r="58" spans="1:14" x14ac:dyDescent="0.2">
      <c r="B58">
        <v>100</v>
      </c>
      <c r="C58">
        <v>8</v>
      </c>
      <c r="D58">
        <v>5</v>
      </c>
      <c r="E58">
        <v>3.5</v>
      </c>
      <c r="F58">
        <v>5</v>
      </c>
      <c r="G58">
        <v>3.5</v>
      </c>
      <c r="H58">
        <v>3.8630000000000001E-3</v>
      </c>
      <c r="I58">
        <v>0.10357098425196851</v>
      </c>
      <c r="J58">
        <v>0.2033443657480315</v>
      </c>
      <c r="K58">
        <v>0.30691535000000003</v>
      </c>
      <c r="L58">
        <v>0.50933786078098475</v>
      </c>
    </row>
    <row r="59" spans="1:14" x14ac:dyDescent="0.2">
      <c r="A59">
        <v>488303</v>
      </c>
      <c r="B59">
        <v>100</v>
      </c>
      <c r="C59">
        <v>7</v>
      </c>
      <c r="D59">
        <v>3.6</v>
      </c>
      <c r="E59">
        <v>2.15</v>
      </c>
      <c r="F59">
        <v>3.6</v>
      </c>
      <c r="G59">
        <v>2.15</v>
      </c>
      <c r="H59">
        <v>9.7450000000000002E-3</v>
      </c>
      <c r="I59">
        <v>0.25256431102362209</v>
      </c>
      <c r="J59">
        <v>0.22304041397637789</v>
      </c>
      <c r="K59">
        <v>0.47560472499999995</v>
      </c>
      <c r="L59">
        <v>1.1323701679031632</v>
      </c>
      <c r="M59">
        <v>0.26998253937007877</v>
      </c>
      <c r="N59">
        <v>0.22774333562992125</v>
      </c>
    </row>
    <row r="60" spans="1:14" x14ac:dyDescent="0.2">
      <c r="B60">
        <v>100</v>
      </c>
      <c r="C60">
        <v>7</v>
      </c>
      <c r="D60">
        <v>4</v>
      </c>
      <c r="E60">
        <v>2.35</v>
      </c>
      <c r="F60">
        <v>4</v>
      </c>
      <c r="G60">
        <v>2.35</v>
      </c>
      <c r="H60">
        <v>9.7450000000000002E-3</v>
      </c>
      <c r="I60">
        <v>0.28740076771653539</v>
      </c>
      <c r="J60">
        <v>0.2324462572834646</v>
      </c>
      <c r="K60">
        <v>0.51984702500000002</v>
      </c>
      <c r="L60">
        <v>1.2364181341326335</v>
      </c>
    </row>
    <row r="61" spans="1:14" x14ac:dyDescent="0.2">
      <c r="A61">
        <v>488304</v>
      </c>
      <c r="B61">
        <v>100</v>
      </c>
      <c r="C61">
        <v>7</v>
      </c>
      <c r="D61">
        <v>4.4000000000000004</v>
      </c>
      <c r="E61">
        <v>2.5499999999999998</v>
      </c>
      <c r="F61">
        <v>4.4000000000000004</v>
      </c>
      <c r="G61">
        <v>2.5499999999999998</v>
      </c>
      <c r="H61">
        <v>9.7450000000000002E-3</v>
      </c>
      <c r="I61">
        <v>0.32223722440944896</v>
      </c>
      <c r="J61">
        <v>0.24185210059055112</v>
      </c>
      <c r="K61">
        <v>0.56408932500000009</v>
      </c>
      <c r="L61">
        <v>1.3323730644580492</v>
      </c>
      <c r="M61">
        <v>0.44416482283464576</v>
      </c>
      <c r="N61">
        <v>0.25265140216535442</v>
      </c>
    </row>
    <row r="62" spans="1:14" x14ac:dyDescent="0.2">
      <c r="B62">
        <v>100</v>
      </c>
      <c r="C62">
        <v>7</v>
      </c>
      <c r="D62">
        <v>7</v>
      </c>
      <c r="E62">
        <v>3.75</v>
      </c>
      <c r="F62">
        <v>7</v>
      </c>
      <c r="G62">
        <v>3.75</v>
      </c>
      <c r="H62">
        <v>9.7450000000000002E-3</v>
      </c>
      <c r="I62">
        <v>0.56609242125984249</v>
      </c>
      <c r="J62">
        <v>0.26345070374015767</v>
      </c>
      <c r="K62">
        <v>0.82954312500000016</v>
      </c>
      <c r="L62">
        <v>2.1487603305785106</v>
      </c>
    </row>
    <row r="63" spans="1:14" x14ac:dyDescent="0.2">
      <c r="A63">
        <v>488305</v>
      </c>
      <c r="B63">
        <v>100</v>
      </c>
      <c r="C63">
        <v>6</v>
      </c>
      <c r="D63">
        <v>2.65</v>
      </c>
      <c r="E63">
        <v>1.35</v>
      </c>
      <c r="F63">
        <v>2.65</v>
      </c>
      <c r="G63">
        <v>1.35</v>
      </c>
      <c r="H63">
        <v>3.5767E-2</v>
      </c>
      <c r="I63">
        <v>0.83108989763779517</v>
      </c>
      <c r="J63">
        <v>0.26498981736220484</v>
      </c>
      <c r="K63">
        <v>1.0960797150000001</v>
      </c>
      <c r="L63">
        <v>3.1363088057901067</v>
      </c>
      <c r="M63">
        <v>0.81510739960629919</v>
      </c>
      <c r="N63">
        <v>0.26067454289370096</v>
      </c>
    </row>
    <row r="64" spans="1:14" x14ac:dyDescent="0.2">
      <c r="B64">
        <v>100</v>
      </c>
      <c r="C64">
        <v>6</v>
      </c>
      <c r="D64">
        <v>2.5499999999999998</v>
      </c>
      <c r="E64">
        <v>1.3</v>
      </c>
      <c r="F64">
        <v>2.5499999999999998</v>
      </c>
      <c r="G64">
        <v>1.3</v>
      </c>
      <c r="H64">
        <v>3.5767E-2</v>
      </c>
      <c r="I64">
        <v>0.79912490157480309</v>
      </c>
      <c r="J64">
        <v>0.25635926842519707</v>
      </c>
      <c r="K64">
        <v>1.0554841700000002</v>
      </c>
      <c r="L64">
        <v>3.1172069825436379</v>
      </c>
    </row>
    <row r="65" spans="1:14" x14ac:dyDescent="0.2">
      <c r="A65">
        <v>488306</v>
      </c>
      <c r="B65">
        <v>100</v>
      </c>
      <c r="C65">
        <v>6</v>
      </c>
      <c r="D65">
        <v>4.3</v>
      </c>
      <c r="E65">
        <v>2.15</v>
      </c>
      <c r="F65">
        <v>4.3</v>
      </c>
      <c r="G65">
        <v>2.15</v>
      </c>
      <c r="H65">
        <v>3.5767E-2</v>
      </c>
      <c r="I65">
        <v>1.3744948307086617</v>
      </c>
      <c r="J65">
        <v>0.37111360429133838</v>
      </c>
      <c r="K65">
        <v>1.7456084350000001</v>
      </c>
      <c r="L65">
        <v>3.7037037037037064</v>
      </c>
      <c r="M65">
        <v>1.3425298346456693</v>
      </c>
      <c r="N65">
        <v>0.42337637285433072</v>
      </c>
    </row>
    <row r="66" spans="1:14" x14ac:dyDescent="0.2">
      <c r="B66">
        <v>100</v>
      </c>
      <c r="C66">
        <v>6</v>
      </c>
      <c r="D66">
        <v>4.25</v>
      </c>
      <c r="E66">
        <v>2.2000000000000002</v>
      </c>
      <c r="F66">
        <v>4.25</v>
      </c>
      <c r="G66">
        <v>2.2000000000000002</v>
      </c>
      <c r="H66">
        <v>3.5767E-2</v>
      </c>
      <c r="I66">
        <v>1.3105648385826771</v>
      </c>
      <c r="J66">
        <v>0.47563914141732311</v>
      </c>
      <c r="K66">
        <v>1.7862039800000002</v>
      </c>
      <c r="L66">
        <v>2.7553763440860197</v>
      </c>
    </row>
    <row r="67" spans="1:14" x14ac:dyDescent="0.2">
      <c r="A67">
        <v>488307</v>
      </c>
      <c r="B67">
        <v>100</v>
      </c>
      <c r="C67">
        <v>5</v>
      </c>
      <c r="D67">
        <v>2.65</v>
      </c>
      <c r="E67">
        <v>1.3</v>
      </c>
      <c r="F67">
        <v>2.65</v>
      </c>
      <c r="G67">
        <v>1.3</v>
      </c>
      <c r="H67">
        <v>0.123026</v>
      </c>
      <c r="I67">
        <v>2.9686076929133858</v>
      </c>
      <c r="J67">
        <v>0.66188956708661395</v>
      </c>
      <c r="K67">
        <v>3.6304972599999998</v>
      </c>
      <c r="L67">
        <v>4.4850498338870448</v>
      </c>
      <c r="M67">
        <v>2.5837881771653541</v>
      </c>
      <c r="N67">
        <v>0.62780555283464556</v>
      </c>
    </row>
    <row r="68" spans="1:14" x14ac:dyDescent="0.2">
      <c r="B68">
        <v>100</v>
      </c>
      <c r="C68">
        <v>5</v>
      </c>
      <c r="D68">
        <v>2</v>
      </c>
      <c r="E68">
        <v>1</v>
      </c>
      <c r="F68">
        <v>2</v>
      </c>
      <c r="G68">
        <v>1</v>
      </c>
      <c r="H68">
        <v>0.123026</v>
      </c>
      <c r="I68">
        <v>2.1989686614173225</v>
      </c>
      <c r="J68">
        <v>0.59372153858267729</v>
      </c>
      <c r="K68">
        <v>2.7926902</v>
      </c>
      <c r="L68">
        <v>3.7037037037037024</v>
      </c>
    </row>
    <row r="69" spans="1:14" x14ac:dyDescent="0.2">
      <c r="A69">
        <v>488308</v>
      </c>
      <c r="B69">
        <v>100</v>
      </c>
      <c r="C69">
        <v>5</v>
      </c>
      <c r="D69">
        <v>2.8</v>
      </c>
      <c r="E69">
        <v>1.4</v>
      </c>
      <c r="F69">
        <v>2.8</v>
      </c>
      <c r="G69">
        <v>1.4</v>
      </c>
      <c r="H69">
        <v>0.123026</v>
      </c>
      <c r="I69">
        <v>3.0785561259842513</v>
      </c>
      <c r="J69">
        <v>0.83121015401574827</v>
      </c>
      <c r="K69">
        <v>3.9097662799999995</v>
      </c>
      <c r="L69">
        <v>3.7037037037037019</v>
      </c>
      <c r="M69">
        <v>3.2434787755905505</v>
      </c>
      <c r="N69">
        <v>0.80592201440944899</v>
      </c>
    </row>
    <row r="70" spans="1:14" x14ac:dyDescent="0.2">
      <c r="B70">
        <v>100</v>
      </c>
      <c r="C70">
        <v>5</v>
      </c>
      <c r="D70">
        <v>3.05</v>
      </c>
      <c r="E70">
        <v>1.5</v>
      </c>
      <c r="F70">
        <v>3.05</v>
      </c>
      <c r="G70">
        <v>1.5</v>
      </c>
      <c r="H70">
        <v>0.123026</v>
      </c>
      <c r="I70">
        <v>3.4084014251968493</v>
      </c>
      <c r="J70">
        <v>0.78063387480314961</v>
      </c>
      <c r="K70">
        <v>4.1890352999999987</v>
      </c>
      <c r="L70">
        <v>4.3661971830985902</v>
      </c>
    </row>
    <row r="71" spans="1:14" x14ac:dyDescent="0.2">
      <c r="A71">
        <v>488309</v>
      </c>
      <c r="B71">
        <v>100</v>
      </c>
      <c r="C71">
        <v>5</v>
      </c>
      <c r="D71">
        <v>4.3499999999999996</v>
      </c>
      <c r="E71">
        <v>2.1</v>
      </c>
      <c r="F71">
        <v>4.3499999999999996</v>
      </c>
      <c r="G71">
        <v>2.1</v>
      </c>
      <c r="H71">
        <v>0.123026</v>
      </c>
      <c r="I71">
        <v>4.9476794881889745</v>
      </c>
      <c r="J71">
        <v>0.91696993181102515</v>
      </c>
      <c r="K71">
        <v>5.8646494199999992</v>
      </c>
      <c r="L71">
        <v>5.3956834532373987</v>
      </c>
      <c r="M71">
        <v>5.1675763543307074</v>
      </c>
      <c r="N71">
        <v>0.97634208566929159</v>
      </c>
    </row>
    <row r="72" spans="1:14" x14ac:dyDescent="0.2">
      <c r="B72">
        <v>100</v>
      </c>
      <c r="C72">
        <v>5</v>
      </c>
      <c r="D72">
        <v>4.75</v>
      </c>
      <c r="E72">
        <v>2.2999999999999998</v>
      </c>
      <c r="F72">
        <v>4.75</v>
      </c>
      <c r="G72">
        <v>2.2999999999999998</v>
      </c>
      <c r="H72">
        <v>0.123026</v>
      </c>
      <c r="I72">
        <v>5.3874732204724411</v>
      </c>
      <c r="J72">
        <v>1.035714239527558</v>
      </c>
      <c r="K72">
        <v>6.4231874599999994</v>
      </c>
      <c r="L72">
        <v>5.2016985138004301</v>
      </c>
    </row>
    <row r="73" spans="1:14" x14ac:dyDescent="0.2">
      <c r="A73">
        <v>488310</v>
      </c>
      <c r="B73">
        <v>100</v>
      </c>
      <c r="C73">
        <v>8</v>
      </c>
      <c r="D73">
        <v>6.3</v>
      </c>
      <c r="E73">
        <v>4</v>
      </c>
      <c r="F73">
        <v>6.3</v>
      </c>
      <c r="G73">
        <v>4</v>
      </c>
      <c r="H73">
        <v>3.8630000000000001E-3</v>
      </c>
      <c r="I73">
        <v>0.15880884251968502</v>
      </c>
      <c r="J73">
        <v>0.19195155748031503</v>
      </c>
      <c r="K73">
        <v>0.35076040000000008</v>
      </c>
      <c r="L73">
        <v>0.82733812949640251</v>
      </c>
      <c r="M73">
        <v>0.25794126181102361</v>
      </c>
      <c r="N73">
        <v>0.19395331318897652</v>
      </c>
    </row>
    <row r="74" spans="1:14" x14ac:dyDescent="0.2">
      <c r="B74">
        <v>100</v>
      </c>
      <c r="C74">
        <v>7</v>
      </c>
      <c r="D74">
        <v>4.55</v>
      </c>
      <c r="E74">
        <v>2.5</v>
      </c>
      <c r="F74">
        <v>4.55</v>
      </c>
      <c r="G74">
        <v>2.5</v>
      </c>
      <c r="H74">
        <v>9.7450000000000002E-3</v>
      </c>
      <c r="I74">
        <v>0.35707368110236215</v>
      </c>
      <c r="J74">
        <v>0.19595506889763797</v>
      </c>
      <c r="K74">
        <v>0.55302875000000018</v>
      </c>
      <c r="L74">
        <v>1.8222222222222202</v>
      </c>
    </row>
    <row r="75" spans="1:14" x14ac:dyDescent="0.2">
      <c r="A75">
        <v>488311</v>
      </c>
      <c r="B75">
        <v>100</v>
      </c>
      <c r="C75">
        <v>8</v>
      </c>
      <c r="D75">
        <v>4.3</v>
      </c>
      <c r="E75">
        <v>2.95</v>
      </c>
      <c r="F75">
        <v>4.3</v>
      </c>
      <c r="G75">
        <v>2.95</v>
      </c>
      <c r="H75">
        <v>3.8630000000000001E-3</v>
      </c>
      <c r="I75">
        <v>9.3213885826771647E-2</v>
      </c>
      <c r="J75">
        <v>0.16547190917322843</v>
      </c>
      <c r="K75">
        <v>0.25868579500000011</v>
      </c>
      <c r="L75">
        <v>0.56332151053619828</v>
      </c>
      <c r="M75">
        <v>0.12946373031496064</v>
      </c>
      <c r="N75">
        <v>0.17745161968503939</v>
      </c>
    </row>
    <row r="76" spans="1:14" x14ac:dyDescent="0.2">
      <c r="B76">
        <v>100</v>
      </c>
      <c r="C76">
        <v>8</v>
      </c>
      <c r="D76">
        <v>6.45</v>
      </c>
      <c r="E76">
        <v>4.05</v>
      </c>
      <c r="F76">
        <v>6.45</v>
      </c>
      <c r="G76">
        <v>4.05</v>
      </c>
      <c r="H76">
        <v>3.8630000000000001E-3</v>
      </c>
      <c r="I76">
        <v>0.16571357480314963</v>
      </c>
      <c r="J76">
        <v>0.18943133019685035</v>
      </c>
      <c r="K76">
        <v>0.35514490499999996</v>
      </c>
      <c r="L76">
        <v>0.87479496992892325</v>
      </c>
    </row>
    <row r="77" spans="1:14" x14ac:dyDescent="0.2">
      <c r="A77">
        <v>488312</v>
      </c>
      <c r="B77">
        <v>100</v>
      </c>
      <c r="C77">
        <v>8</v>
      </c>
      <c r="D77">
        <v>7.6</v>
      </c>
      <c r="E77">
        <v>4.5999999999999996</v>
      </c>
      <c r="F77">
        <v>7.6</v>
      </c>
      <c r="G77">
        <v>4.5999999999999996</v>
      </c>
      <c r="H77">
        <v>3.8630000000000001E-3</v>
      </c>
      <c r="I77">
        <v>0.20714196850393701</v>
      </c>
      <c r="J77">
        <v>0.19623249149606295</v>
      </c>
      <c r="K77">
        <v>0.40337445999999999</v>
      </c>
      <c r="L77">
        <v>1.0555946516537653</v>
      </c>
      <c r="M77">
        <v>0.21577288385826771</v>
      </c>
      <c r="N77">
        <v>0.19417833364173231</v>
      </c>
    </row>
    <row r="78" spans="1:14" x14ac:dyDescent="0.2">
      <c r="B78">
        <v>100</v>
      </c>
      <c r="C78">
        <v>8</v>
      </c>
      <c r="D78">
        <v>8</v>
      </c>
      <c r="E78">
        <v>4.75</v>
      </c>
      <c r="F78">
        <v>8</v>
      </c>
      <c r="G78">
        <v>4.75</v>
      </c>
      <c r="H78">
        <v>3.8630000000000001E-3</v>
      </c>
      <c r="I78">
        <v>0.22440379921259843</v>
      </c>
      <c r="J78">
        <v>0.19212417578740168</v>
      </c>
      <c r="K78">
        <v>0.41652797500000011</v>
      </c>
      <c r="L78">
        <v>1.1680143755615446</v>
      </c>
    </row>
    <row r="79" spans="1:14" x14ac:dyDescent="0.2">
      <c r="A79">
        <v>488313</v>
      </c>
      <c r="B79">
        <v>100</v>
      </c>
      <c r="C79">
        <v>7</v>
      </c>
      <c r="D79">
        <v>3.4</v>
      </c>
      <c r="E79">
        <v>2</v>
      </c>
      <c r="F79">
        <v>3.4</v>
      </c>
      <c r="G79">
        <v>2</v>
      </c>
      <c r="H79">
        <v>9.7450000000000002E-3</v>
      </c>
      <c r="I79">
        <v>0.2438551968503937</v>
      </c>
      <c r="J79">
        <v>0.19856780314960634</v>
      </c>
      <c r="K79">
        <v>0.44242300000000001</v>
      </c>
      <c r="L79">
        <v>1.2280701754385963</v>
      </c>
      <c r="M79">
        <v>0.1785368405511811</v>
      </c>
      <c r="N79">
        <v>0.18093184694881895</v>
      </c>
    </row>
    <row r="80" spans="1:14" x14ac:dyDescent="0.2">
      <c r="B80">
        <v>100</v>
      </c>
      <c r="C80">
        <v>7</v>
      </c>
      <c r="D80">
        <v>1.9</v>
      </c>
      <c r="E80">
        <v>1.25</v>
      </c>
      <c r="F80">
        <v>1.9</v>
      </c>
      <c r="G80">
        <v>1.25</v>
      </c>
      <c r="H80">
        <v>9.7450000000000002E-3</v>
      </c>
      <c r="I80">
        <v>0.1132184842519685</v>
      </c>
      <c r="J80">
        <v>0.16329589074803155</v>
      </c>
      <c r="K80">
        <v>0.27651437500000003</v>
      </c>
      <c r="L80">
        <v>0.69333333333333302</v>
      </c>
    </row>
    <row r="81" spans="1:14" x14ac:dyDescent="0.2">
      <c r="A81">
        <v>488314</v>
      </c>
      <c r="B81">
        <v>100</v>
      </c>
      <c r="C81">
        <v>8</v>
      </c>
      <c r="D81">
        <v>5.0999999999999996</v>
      </c>
      <c r="E81">
        <v>3.6</v>
      </c>
      <c r="F81">
        <v>5.0999999999999996</v>
      </c>
      <c r="G81">
        <v>3.6</v>
      </c>
      <c r="H81">
        <v>3.8630000000000001E-3</v>
      </c>
      <c r="I81">
        <v>0.10357098425196848</v>
      </c>
      <c r="J81">
        <v>0.21211337574803157</v>
      </c>
      <c r="K81">
        <v>0.31568436000000005</v>
      </c>
      <c r="L81">
        <v>0.48828124999999972</v>
      </c>
      <c r="M81">
        <v>0.11738044881889764</v>
      </c>
      <c r="N81">
        <v>0.2158419311811024</v>
      </c>
    </row>
    <row r="82" spans="1:14" x14ac:dyDescent="0.2">
      <c r="B82">
        <v>100</v>
      </c>
      <c r="C82">
        <v>8</v>
      </c>
      <c r="D82">
        <v>5.9</v>
      </c>
      <c r="E82">
        <v>4</v>
      </c>
      <c r="F82">
        <v>5.9</v>
      </c>
      <c r="G82">
        <v>4</v>
      </c>
      <c r="H82">
        <v>3.8630000000000001E-3</v>
      </c>
      <c r="I82">
        <v>0.13118991338582681</v>
      </c>
      <c r="J82">
        <v>0.21957048661417325</v>
      </c>
      <c r="K82">
        <v>0.35076040000000008</v>
      </c>
      <c r="L82">
        <v>0.59748427672955984</v>
      </c>
    </row>
    <row r="83" spans="1:14" x14ac:dyDescent="0.2">
      <c r="A83">
        <v>488315</v>
      </c>
      <c r="B83">
        <v>100</v>
      </c>
      <c r="C83">
        <v>7</v>
      </c>
      <c r="D83">
        <v>5</v>
      </c>
      <c r="E83">
        <v>3</v>
      </c>
      <c r="F83">
        <v>5</v>
      </c>
      <c r="G83">
        <v>3</v>
      </c>
      <c r="H83">
        <v>9.7450000000000002E-3</v>
      </c>
      <c r="I83">
        <v>0.34836456692913387</v>
      </c>
      <c r="J83">
        <v>0.31526993307086609</v>
      </c>
      <c r="K83">
        <v>0.66363449999999991</v>
      </c>
      <c r="L83">
        <v>1.104972375690608</v>
      </c>
      <c r="M83">
        <v>0.35271912401574801</v>
      </c>
      <c r="N83">
        <v>0.3109153759842519</v>
      </c>
    </row>
    <row r="84" spans="1:14" x14ac:dyDescent="0.2">
      <c r="B84">
        <v>100</v>
      </c>
      <c r="C84">
        <v>7</v>
      </c>
      <c r="D84">
        <v>5.05</v>
      </c>
      <c r="E84">
        <v>3</v>
      </c>
      <c r="F84">
        <v>5.05</v>
      </c>
      <c r="G84">
        <v>3</v>
      </c>
      <c r="H84">
        <v>9.7450000000000002E-3</v>
      </c>
      <c r="I84">
        <v>0.35707368110236215</v>
      </c>
      <c r="J84">
        <v>0.30656081889763775</v>
      </c>
      <c r="K84">
        <v>0.66363449999999991</v>
      </c>
      <c r="L84">
        <v>1.1647727272727273</v>
      </c>
    </row>
    <row r="85" spans="1:14" x14ac:dyDescent="0.2">
      <c r="A85">
        <v>488316</v>
      </c>
      <c r="B85">
        <v>100</v>
      </c>
      <c r="C85">
        <v>7</v>
      </c>
      <c r="D85">
        <v>7.3</v>
      </c>
      <c r="E85">
        <v>4.2</v>
      </c>
      <c r="F85">
        <v>7.3</v>
      </c>
      <c r="G85">
        <v>4.2</v>
      </c>
      <c r="H85">
        <v>9.7450000000000002E-3</v>
      </c>
      <c r="I85">
        <v>0.53996507874015753</v>
      </c>
      <c r="J85">
        <v>0.38912322125984244</v>
      </c>
      <c r="K85">
        <v>0.92908829999999998</v>
      </c>
      <c r="L85">
        <v>1.3876454789615045</v>
      </c>
      <c r="M85">
        <v>0.53125596456692925</v>
      </c>
      <c r="N85">
        <v>0.38124147293307087</v>
      </c>
    </row>
    <row r="86" spans="1:14" x14ac:dyDescent="0.2">
      <c r="B86">
        <v>100</v>
      </c>
      <c r="C86">
        <v>7</v>
      </c>
      <c r="D86">
        <v>7.05</v>
      </c>
      <c r="E86">
        <v>4.05</v>
      </c>
      <c r="F86">
        <v>7.05</v>
      </c>
      <c r="G86">
        <v>4.05</v>
      </c>
      <c r="H86">
        <v>9.7450000000000002E-3</v>
      </c>
      <c r="I86">
        <v>0.52254685039370086</v>
      </c>
      <c r="J86">
        <v>0.37335972460629935</v>
      </c>
      <c r="K86">
        <v>0.89590657500000015</v>
      </c>
      <c r="L86">
        <v>1.3995801259622109</v>
      </c>
    </row>
    <row r="87" spans="1:14" x14ac:dyDescent="0.2">
      <c r="A87">
        <v>488317</v>
      </c>
      <c r="B87">
        <v>100</v>
      </c>
      <c r="C87">
        <v>7</v>
      </c>
      <c r="D87">
        <v>6.05</v>
      </c>
      <c r="E87">
        <v>3.2</v>
      </c>
      <c r="F87">
        <v>6.05</v>
      </c>
      <c r="G87">
        <v>3.2</v>
      </c>
      <c r="H87">
        <v>9.7450000000000002E-3</v>
      </c>
      <c r="I87">
        <v>0.49641950787401568</v>
      </c>
      <c r="J87">
        <v>0.21145729212598441</v>
      </c>
      <c r="K87">
        <v>0.70787680000000008</v>
      </c>
      <c r="L87">
        <v>2.3476112026359122</v>
      </c>
      <c r="M87">
        <v>0.46158305118110232</v>
      </c>
      <c r="N87">
        <v>0.20205144881889769</v>
      </c>
    </row>
    <row r="88" spans="1:14" x14ac:dyDescent="0.2">
      <c r="B88">
        <v>100</v>
      </c>
      <c r="C88">
        <v>7</v>
      </c>
      <c r="D88">
        <v>5.25</v>
      </c>
      <c r="E88">
        <v>2.8</v>
      </c>
      <c r="F88">
        <v>5.25</v>
      </c>
      <c r="G88">
        <v>2.8</v>
      </c>
      <c r="H88">
        <v>9.7450000000000002E-3</v>
      </c>
      <c r="I88">
        <v>0.42674659448818902</v>
      </c>
      <c r="J88">
        <v>0.19264560551181098</v>
      </c>
      <c r="K88">
        <v>0.61939220000000006</v>
      </c>
      <c r="L88">
        <v>2.2151898734177222</v>
      </c>
    </row>
    <row r="89" spans="1:14" x14ac:dyDescent="0.2">
      <c r="A89">
        <v>488318</v>
      </c>
      <c r="B89">
        <v>100</v>
      </c>
      <c r="C89">
        <v>7</v>
      </c>
      <c r="D89">
        <v>4.75</v>
      </c>
      <c r="E89">
        <v>2.5499999999999998</v>
      </c>
      <c r="F89">
        <v>4.75</v>
      </c>
      <c r="G89">
        <v>2.5499999999999998</v>
      </c>
      <c r="H89">
        <v>9.7450000000000002E-3</v>
      </c>
      <c r="I89">
        <v>0.38320102362204733</v>
      </c>
      <c r="J89">
        <v>0.18088830137795281</v>
      </c>
      <c r="K89">
        <v>0.56408932500000009</v>
      </c>
      <c r="L89">
        <v>2.1184400577756377</v>
      </c>
      <c r="M89">
        <v>0.37884646653543319</v>
      </c>
      <c r="N89">
        <v>0.15759142096456688</v>
      </c>
    </row>
    <row r="90" spans="1:14" x14ac:dyDescent="0.2">
      <c r="B90">
        <v>100</v>
      </c>
      <c r="C90">
        <v>7</v>
      </c>
      <c r="D90">
        <v>4.45</v>
      </c>
      <c r="E90">
        <v>2.2999999999999998</v>
      </c>
      <c r="F90">
        <v>4.45</v>
      </c>
      <c r="G90">
        <v>2.2999999999999998</v>
      </c>
      <c r="H90">
        <v>9.7450000000000002E-3</v>
      </c>
      <c r="I90">
        <v>0.37449190944881899</v>
      </c>
      <c r="J90">
        <v>0.13429454055118095</v>
      </c>
      <c r="K90">
        <v>0.50878644999999989</v>
      </c>
      <c r="L90">
        <v>2.7885862516212749</v>
      </c>
    </row>
    <row r="91" spans="1:14" x14ac:dyDescent="0.2">
      <c r="A91">
        <v>488321</v>
      </c>
      <c r="B91">
        <v>100</v>
      </c>
      <c r="C91">
        <v>8</v>
      </c>
      <c r="D91">
        <v>3.6</v>
      </c>
      <c r="E91">
        <v>2.4500000000000002</v>
      </c>
      <c r="F91">
        <v>3.6</v>
      </c>
      <c r="G91">
        <v>2.4500000000000002</v>
      </c>
      <c r="H91">
        <v>3.8630000000000001E-3</v>
      </c>
      <c r="I91">
        <v>7.9404421259842511E-2</v>
      </c>
      <c r="J91">
        <v>0.13543632374015752</v>
      </c>
      <c r="K91">
        <v>0.21484074500000003</v>
      </c>
      <c r="L91">
        <v>0.58628600560795285</v>
      </c>
      <c r="M91">
        <v>8.9761519685039357E-2</v>
      </c>
      <c r="N91">
        <v>0.14261724531496067</v>
      </c>
    </row>
    <row r="92" spans="1:14" x14ac:dyDescent="0.2">
      <c r="B92">
        <v>100</v>
      </c>
      <c r="C92">
        <v>8</v>
      </c>
      <c r="D92">
        <v>4.3</v>
      </c>
      <c r="E92">
        <v>2.85</v>
      </c>
      <c r="F92">
        <v>4.3</v>
      </c>
      <c r="G92">
        <v>2.85</v>
      </c>
      <c r="H92">
        <v>3.8630000000000001E-3</v>
      </c>
      <c r="I92">
        <v>0.1001186181102362</v>
      </c>
      <c r="J92">
        <v>0.14979816688976383</v>
      </c>
      <c r="K92">
        <v>0.24991678500000003</v>
      </c>
      <c r="L92">
        <v>0.66835676423138934</v>
      </c>
    </row>
    <row r="93" spans="1:14" x14ac:dyDescent="0.2">
      <c r="A93">
        <v>488322</v>
      </c>
      <c r="B93">
        <v>100</v>
      </c>
      <c r="C93">
        <v>8</v>
      </c>
      <c r="D93">
        <v>4.6500000000000004</v>
      </c>
      <c r="E93">
        <v>3</v>
      </c>
      <c r="F93">
        <v>4.6500000000000004</v>
      </c>
      <c r="G93">
        <v>3</v>
      </c>
      <c r="H93">
        <v>3.8630000000000001E-3</v>
      </c>
      <c r="I93">
        <v>0.11392808267716539</v>
      </c>
      <c r="J93">
        <v>0.14914221732283459</v>
      </c>
      <c r="K93">
        <v>0.26307029999999998</v>
      </c>
      <c r="L93">
        <v>0.76388888888888951</v>
      </c>
      <c r="M93">
        <v>0.11220189960629923</v>
      </c>
      <c r="N93">
        <v>0.13990713789370079</v>
      </c>
    </row>
    <row r="94" spans="1:14" x14ac:dyDescent="0.2">
      <c r="B94">
        <v>100</v>
      </c>
      <c r="C94">
        <v>8</v>
      </c>
      <c r="D94">
        <v>4.3499999999999996</v>
      </c>
      <c r="E94">
        <v>2.75</v>
      </c>
      <c r="F94">
        <v>4.3499999999999996</v>
      </c>
      <c r="G94">
        <v>2.75</v>
      </c>
      <c r="H94">
        <v>3.8630000000000001E-3</v>
      </c>
      <c r="I94">
        <v>0.11047571653543306</v>
      </c>
      <c r="J94">
        <v>0.13067205846456698</v>
      </c>
      <c r="K94">
        <v>0.24114777500000004</v>
      </c>
      <c r="L94">
        <v>0.84544253632760857</v>
      </c>
    </row>
    <row r="95" spans="1:14" x14ac:dyDescent="0.2">
      <c r="A95">
        <v>488323</v>
      </c>
      <c r="B95">
        <v>100</v>
      </c>
      <c r="C95">
        <v>8</v>
      </c>
      <c r="D95">
        <v>5.85</v>
      </c>
      <c r="E95">
        <v>3.65</v>
      </c>
      <c r="F95">
        <v>5.85</v>
      </c>
      <c r="G95">
        <v>3.65</v>
      </c>
      <c r="H95">
        <v>3.8630000000000001E-3</v>
      </c>
      <c r="I95">
        <v>0.15190411023622047</v>
      </c>
      <c r="J95">
        <v>0.16816475476377959</v>
      </c>
      <c r="K95">
        <v>0.32006886500000009</v>
      </c>
      <c r="L95">
        <v>0.9033052761239988</v>
      </c>
      <c r="M95">
        <v>0.16743975787401577</v>
      </c>
      <c r="N95">
        <v>0.17235937962598427</v>
      </c>
    </row>
    <row r="96" spans="1:14" x14ac:dyDescent="0.2">
      <c r="B96">
        <v>100</v>
      </c>
      <c r="C96">
        <v>8</v>
      </c>
      <c r="D96">
        <v>6.75</v>
      </c>
      <c r="E96">
        <v>4.0999999999999996</v>
      </c>
      <c r="F96">
        <v>6.75</v>
      </c>
      <c r="G96">
        <v>4.0999999999999996</v>
      </c>
      <c r="H96">
        <v>3.8630000000000001E-3</v>
      </c>
      <c r="I96">
        <v>0.18297540551181105</v>
      </c>
      <c r="J96">
        <v>0.17655400448818895</v>
      </c>
      <c r="K96">
        <v>0.35952940999999999</v>
      </c>
      <c r="L96">
        <v>1.0363707469691048</v>
      </c>
    </row>
    <row r="97" spans="1:14" x14ac:dyDescent="0.2">
      <c r="A97">
        <v>488324</v>
      </c>
      <c r="B97">
        <v>100</v>
      </c>
      <c r="C97">
        <v>8</v>
      </c>
      <c r="D97">
        <v>5.2</v>
      </c>
      <c r="E97">
        <v>3.35</v>
      </c>
      <c r="F97">
        <v>5.2</v>
      </c>
      <c r="G97">
        <v>3.35</v>
      </c>
      <c r="H97">
        <v>3.8630000000000001E-3</v>
      </c>
      <c r="I97">
        <v>0.12773754724409447</v>
      </c>
      <c r="J97">
        <v>0.16602428775590558</v>
      </c>
      <c r="K97">
        <v>0.29376183500000008</v>
      </c>
      <c r="L97">
        <v>0.76939072572260303</v>
      </c>
      <c r="M97">
        <v>0.12083281496062993</v>
      </c>
      <c r="N97">
        <v>0.15758325253937008</v>
      </c>
    </row>
    <row r="98" spans="1:14" x14ac:dyDescent="0.2">
      <c r="B98">
        <v>100</v>
      </c>
      <c r="C98">
        <v>8</v>
      </c>
      <c r="D98">
        <v>4.6500000000000004</v>
      </c>
      <c r="E98">
        <v>3</v>
      </c>
      <c r="F98">
        <v>4.6500000000000004</v>
      </c>
      <c r="G98">
        <v>3</v>
      </c>
      <c r="H98">
        <v>3.8630000000000001E-3</v>
      </c>
      <c r="I98">
        <v>0.11392808267716539</v>
      </c>
      <c r="J98">
        <v>0.14914221732283459</v>
      </c>
      <c r="K98">
        <v>0.26307029999999998</v>
      </c>
      <c r="L98">
        <v>0.76388888888888951</v>
      </c>
    </row>
    <row r="99" spans="1:14" x14ac:dyDescent="0.2">
      <c r="A99">
        <v>488325</v>
      </c>
      <c r="B99">
        <v>100</v>
      </c>
      <c r="C99">
        <v>8</v>
      </c>
      <c r="D99">
        <v>7.15</v>
      </c>
      <c r="E99">
        <v>4.55</v>
      </c>
      <c r="F99">
        <v>7.15</v>
      </c>
      <c r="G99">
        <v>4.55</v>
      </c>
      <c r="H99">
        <v>3.8630000000000001E-3</v>
      </c>
      <c r="I99">
        <v>0.17952303937007877</v>
      </c>
      <c r="J99">
        <v>0.21946691562992127</v>
      </c>
      <c r="K99">
        <v>0.39898995500000001</v>
      </c>
      <c r="L99">
        <v>0.81799591002045002</v>
      </c>
      <c r="M99">
        <v>0.15880884251968508</v>
      </c>
      <c r="N99">
        <v>0.17879804248031494</v>
      </c>
    </row>
    <row r="100" spans="1:14" x14ac:dyDescent="0.2">
      <c r="B100">
        <v>100</v>
      </c>
      <c r="C100">
        <v>8</v>
      </c>
      <c r="D100">
        <v>5.15</v>
      </c>
      <c r="E100">
        <v>3.15</v>
      </c>
      <c r="F100">
        <v>5.15</v>
      </c>
      <c r="G100">
        <v>3.15</v>
      </c>
      <c r="H100">
        <v>3.8630000000000001E-3</v>
      </c>
      <c r="I100">
        <v>0.13809464566929139</v>
      </c>
      <c r="J100">
        <v>0.13812916933070862</v>
      </c>
      <c r="K100">
        <v>0.27622381500000004</v>
      </c>
      <c r="L100">
        <v>0.99975006248437959</v>
      </c>
    </row>
    <row r="101" spans="1:14" x14ac:dyDescent="0.2">
      <c r="A101">
        <v>488326</v>
      </c>
      <c r="B101">
        <v>100</v>
      </c>
      <c r="C101">
        <v>8</v>
      </c>
      <c r="D101">
        <v>7.35</v>
      </c>
      <c r="E101">
        <v>4.25</v>
      </c>
      <c r="F101">
        <v>7.35</v>
      </c>
      <c r="G101">
        <v>4.25</v>
      </c>
      <c r="H101">
        <v>3.8630000000000001E-3</v>
      </c>
      <c r="I101">
        <v>0.21404670078740157</v>
      </c>
      <c r="J101">
        <v>0.15863622421259843</v>
      </c>
      <c r="K101">
        <v>0.372682925</v>
      </c>
      <c r="L101">
        <v>1.3492927094668117</v>
      </c>
      <c r="M101">
        <v>0.19851105314960632</v>
      </c>
      <c r="N101">
        <v>0.16321060935039372</v>
      </c>
    </row>
    <row r="102" spans="1:14" x14ac:dyDescent="0.2">
      <c r="B102">
        <v>100</v>
      </c>
      <c r="C102">
        <v>8</v>
      </c>
      <c r="D102">
        <v>6.65</v>
      </c>
      <c r="E102">
        <v>4</v>
      </c>
      <c r="F102">
        <v>6.65</v>
      </c>
      <c r="G102">
        <v>4</v>
      </c>
      <c r="H102">
        <v>3.8630000000000001E-3</v>
      </c>
      <c r="I102">
        <v>0.18297540551181105</v>
      </c>
      <c r="J102">
        <v>0.16778499448818901</v>
      </c>
      <c r="K102">
        <v>0.35076040000000008</v>
      </c>
      <c r="L102">
        <v>1.0905349794238681</v>
      </c>
    </row>
    <row r="103" spans="1:14" x14ac:dyDescent="0.2">
      <c r="A103">
        <v>488327</v>
      </c>
      <c r="B103">
        <v>100</v>
      </c>
      <c r="C103">
        <v>7</v>
      </c>
      <c r="D103">
        <v>5.75</v>
      </c>
      <c r="E103">
        <v>3.05</v>
      </c>
      <c r="F103">
        <v>5.75</v>
      </c>
      <c r="G103">
        <v>3.05</v>
      </c>
      <c r="H103">
        <v>9.7450000000000002E-3</v>
      </c>
      <c r="I103">
        <v>0.47029216535433077</v>
      </c>
      <c r="J103">
        <v>0.2044029096456691</v>
      </c>
      <c r="K103">
        <v>0.67469507499999981</v>
      </c>
      <c r="L103">
        <v>2.3008095440988523</v>
      </c>
      <c r="M103">
        <v>0.46593760826771657</v>
      </c>
      <c r="N103">
        <v>0.21428775423228336</v>
      </c>
    </row>
    <row r="104" spans="1:14" x14ac:dyDescent="0.2">
      <c r="B104">
        <v>100</v>
      </c>
      <c r="C104">
        <v>7</v>
      </c>
      <c r="D104">
        <v>5.75</v>
      </c>
      <c r="E104">
        <v>3.1</v>
      </c>
      <c r="F104">
        <v>5.75</v>
      </c>
      <c r="G104">
        <v>3.1</v>
      </c>
      <c r="H104">
        <v>9.7450000000000002E-3</v>
      </c>
      <c r="I104">
        <v>0.46158305118110243</v>
      </c>
      <c r="J104">
        <v>0.22417259881889762</v>
      </c>
      <c r="K104">
        <v>0.68575565000000005</v>
      </c>
      <c r="L104">
        <v>2.0590520590520596</v>
      </c>
    </row>
    <row r="105" spans="1:14" x14ac:dyDescent="0.2">
      <c r="A105">
        <v>488328</v>
      </c>
      <c r="B105">
        <v>100</v>
      </c>
      <c r="C105">
        <v>6</v>
      </c>
      <c r="D105">
        <v>2.35</v>
      </c>
      <c r="E105">
        <v>1.2</v>
      </c>
      <c r="F105">
        <v>2.35</v>
      </c>
      <c r="G105">
        <v>1.2</v>
      </c>
      <c r="H105">
        <v>3.5767E-2</v>
      </c>
      <c r="I105">
        <v>0.73519490944881893</v>
      </c>
      <c r="J105">
        <v>0.2390981705511811</v>
      </c>
      <c r="K105">
        <v>0.97429308000000003</v>
      </c>
      <c r="L105">
        <v>3.0748663101604281</v>
      </c>
      <c r="M105">
        <v>0.73519490944881893</v>
      </c>
      <c r="N105">
        <v>0.21880039805118107</v>
      </c>
    </row>
    <row r="106" spans="1:14" x14ac:dyDescent="0.2">
      <c r="B106">
        <v>100</v>
      </c>
      <c r="C106">
        <v>6</v>
      </c>
      <c r="D106">
        <v>2.2999999999999998</v>
      </c>
      <c r="E106">
        <v>1.1499999999999999</v>
      </c>
      <c r="F106">
        <v>2.2999999999999998</v>
      </c>
      <c r="G106">
        <v>1.1499999999999999</v>
      </c>
      <c r="H106">
        <v>3.5767E-2</v>
      </c>
      <c r="I106">
        <v>0.73519490944881893</v>
      </c>
      <c r="J106">
        <v>0.19850262555118106</v>
      </c>
      <c r="K106">
        <v>0.93369753499999997</v>
      </c>
      <c r="L106">
        <v>3.7037037037037046</v>
      </c>
    </row>
    <row r="107" spans="1:14" x14ac:dyDescent="0.2">
      <c r="A107">
        <v>488329</v>
      </c>
      <c r="B107">
        <v>100</v>
      </c>
      <c r="C107">
        <v>7</v>
      </c>
      <c r="D107">
        <v>5.4</v>
      </c>
      <c r="E107">
        <v>2.85</v>
      </c>
      <c r="F107">
        <v>5.4</v>
      </c>
      <c r="G107">
        <v>2.85</v>
      </c>
      <c r="H107">
        <v>9.7450000000000002E-3</v>
      </c>
      <c r="I107">
        <v>0.44416482283464576</v>
      </c>
      <c r="J107">
        <v>0.18628795216535449</v>
      </c>
      <c r="K107">
        <v>0.63045277500000019</v>
      </c>
      <c r="L107">
        <v>2.3842917251051876</v>
      </c>
      <c r="M107">
        <v>0.44416482283464576</v>
      </c>
      <c r="N107">
        <v>0.19181823966535444</v>
      </c>
    </row>
    <row r="108" spans="1:14" x14ac:dyDescent="0.2">
      <c r="B108">
        <v>100</v>
      </c>
      <c r="C108">
        <v>7</v>
      </c>
      <c r="D108">
        <v>5.45</v>
      </c>
      <c r="E108">
        <v>2.9</v>
      </c>
      <c r="F108">
        <v>5.45</v>
      </c>
      <c r="G108">
        <v>2.9</v>
      </c>
      <c r="H108">
        <v>9.7450000000000002E-3</v>
      </c>
      <c r="I108">
        <v>0.44416482283464576</v>
      </c>
      <c r="J108">
        <v>0.19734852716535442</v>
      </c>
      <c r="K108">
        <v>0.6415133500000002</v>
      </c>
      <c r="L108">
        <v>2.2506619593998227</v>
      </c>
    </row>
    <row r="109" spans="1:14" x14ac:dyDescent="0.2">
      <c r="A109">
        <v>488336</v>
      </c>
      <c r="B109">
        <v>100</v>
      </c>
      <c r="C109">
        <v>8</v>
      </c>
      <c r="D109">
        <v>2.6</v>
      </c>
      <c r="E109">
        <v>1.75</v>
      </c>
      <c r="F109">
        <v>2.6</v>
      </c>
      <c r="G109">
        <v>1.75</v>
      </c>
      <c r="H109">
        <v>3.8630000000000001E-3</v>
      </c>
      <c r="I109">
        <v>5.8690224409448828E-2</v>
      </c>
      <c r="J109">
        <v>9.4767450590551194E-2</v>
      </c>
      <c r="K109">
        <v>0.15345767500000002</v>
      </c>
      <c r="L109">
        <v>0.61930783242258658</v>
      </c>
      <c r="M109">
        <v>6.2142590551181112E-2</v>
      </c>
      <c r="N109">
        <v>8.9122831948818898E-2</v>
      </c>
    </row>
    <row r="110" spans="1:14" x14ac:dyDescent="0.2">
      <c r="B110">
        <v>100</v>
      </c>
      <c r="C110">
        <v>8</v>
      </c>
      <c r="D110">
        <v>2.65</v>
      </c>
      <c r="E110">
        <v>1.7</v>
      </c>
      <c r="F110">
        <v>2.65</v>
      </c>
      <c r="G110">
        <v>1.7</v>
      </c>
      <c r="H110">
        <v>3.8630000000000001E-3</v>
      </c>
      <c r="I110">
        <v>6.5594956692913389E-2</v>
      </c>
      <c r="J110">
        <v>8.3478213307086616E-2</v>
      </c>
      <c r="K110">
        <v>0.14907317</v>
      </c>
      <c r="L110">
        <v>0.78577336641852769</v>
      </c>
    </row>
    <row r="111" spans="1:14" x14ac:dyDescent="0.2">
      <c r="A111">
        <v>488337</v>
      </c>
      <c r="B111">
        <v>100</v>
      </c>
      <c r="C111">
        <v>8</v>
      </c>
      <c r="D111">
        <v>5.45</v>
      </c>
      <c r="E111">
        <v>3.5</v>
      </c>
      <c r="F111">
        <v>5.45</v>
      </c>
      <c r="G111">
        <v>3.5</v>
      </c>
      <c r="H111">
        <v>3.8630000000000001E-3</v>
      </c>
      <c r="I111">
        <v>0.13464227952755908</v>
      </c>
      <c r="J111">
        <v>0.17227307047244098</v>
      </c>
      <c r="K111">
        <v>0.30691535000000003</v>
      </c>
      <c r="L111">
        <v>0.78156312625250501</v>
      </c>
      <c r="M111">
        <v>0.15017792716535436</v>
      </c>
      <c r="N111">
        <v>0.19400571533464567</v>
      </c>
    </row>
    <row r="112" spans="1:14" x14ac:dyDescent="0.2">
      <c r="B112">
        <v>100</v>
      </c>
      <c r="C112">
        <v>8</v>
      </c>
      <c r="D112">
        <v>6.75</v>
      </c>
      <c r="E112">
        <v>4.3499999999999996</v>
      </c>
      <c r="F112">
        <v>6.75</v>
      </c>
      <c r="G112">
        <v>4.3499999999999996</v>
      </c>
      <c r="H112">
        <v>3.8630000000000001E-3</v>
      </c>
      <c r="I112">
        <v>0.16571357480314963</v>
      </c>
      <c r="J112">
        <v>0.21573836019685033</v>
      </c>
      <c r="K112">
        <v>0.38145193499999996</v>
      </c>
      <c r="L112">
        <v>0.76812289966394653</v>
      </c>
    </row>
    <row r="113" spans="1:14" x14ac:dyDescent="0.2">
      <c r="A113">
        <v>488338</v>
      </c>
      <c r="B113">
        <v>100</v>
      </c>
      <c r="C113">
        <v>7</v>
      </c>
      <c r="D113">
        <v>2.9</v>
      </c>
      <c r="E113">
        <v>1.75</v>
      </c>
      <c r="F113">
        <v>2.9</v>
      </c>
      <c r="G113">
        <v>1.75</v>
      </c>
      <c r="H113">
        <v>9.7450000000000002E-3</v>
      </c>
      <c r="I113">
        <v>0.20030962598425198</v>
      </c>
      <c r="J113">
        <v>0.18681049901574798</v>
      </c>
      <c r="K113">
        <v>0.38712012499999993</v>
      </c>
      <c r="L113">
        <v>1.0722610722610726</v>
      </c>
      <c r="M113">
        <v>0.19160051181102361</v>
      </c>
      <c r="N113">
        <v>0.19551961318897637</v>
      </c>
    </row>
    <row r="114" spans="1:14" x14ac:dyDescent="0.2">
      <c r="B114">
        <v>100</v>
      </c>
      <c r="C114">
        <v>7</v>
      </c>
      <c r="D114">
        <v>2.8</v>
      </c>
      <c r="E114">
        <v>1.75</v>
      </c>
      <c r="F114">
        <v>2.8</v>
      </c>
      <c r="G114">
        <v>1.75</v>
      </c>
      <c r="H114">
        <v>9.7450000000000002E-3</v>
      </c>
      <c r="I114">
        <v>0.18289139763779524</v>
      </c>
      <c r="J114">
        <v>0.20422872736220479</v>
      </c>
      <c r="K114">
        <v>0.38712012500000004</v>
      </c>
      <c r="L114">
        <v>0.89552238805970108</v>
      </c>
    </row>
    <row r="115" spans="1:14" x14ac:dyDescent="0.2">
      <c r="A115">
        <v>488339</v>
      </c>
      <c r="B115">
        <v>100</v>
      </c>
      <c r="C115">
        <v>7</v>
      </c>
      <c r="D115">
        <v>2.25</v>
      </c>
      <c r="E115">
        <v>1.35</v>
      </c>
      <c r="F115">
        <v>2.25</v>
      </c>
      <c r="G115">
        <v>1.35</v>
      </c>
      <c r="H115">
        <v>9.7450000000000002E-3</v>
      </c>
      <c r="I115">
        <v>0.1567640551181102</v>
      </c>
      <c r="J115">
        <v>0.14187146988188976</v>
      </c>
      <c r="K115">
        <v>0.29863552499999996</v>
      </c>
      <c r="L115">
        <v>1.1049723756906076</v>
      </c>
      <c r="M115">
        <v>0.1611186122047244</v>
      </c>
      <c r="N115">
        <v>0.14304720029527557</v>
      </c>
    </row>
    <row r="116" spans="1:14" x14ac:dyDescent="0.2">
      <c r="B116">
        <v>100</v>
      </c>
      <c r="C116">
        <v>7</v>
      </c>
      <c r="D116">
        <v>2.35</v>
      </c>
      <c r="E116">
        <v>1.4</v>
      </c>
      <c r="F116">
        <v>2.35</v>
      </c>
      <c r="G116">
        <v>1.4</v>
      </c>
      <c r="H116">
        <v>9.7450000000000002E-3</v>
      </c>
      <c r="I116">
        <v>0.16547316929133862</v>
      </c>
      <c r="J116">
        <v>0.14422293070866141</v>
      </c>
      <c r="K116">
        <v>0.30969610000000003</v>
      </c>
      <c r="L116">
        <v>1.1473429951690826</v>
      </c>
    </row>
    <row r="117" spans="1:14" x14ac:dyDescent="0.2">
      <c r="A117">
        <v>488340</v>
      </c>
      <c r="B117">
        <v>100</v>
      </c>
      <c r="C117">
        <v>8</v>
      </c>
      <c r="D117">
        <v>7.2</v>
      </c>
      <c r="E117">
        <v>4.1500000000000004</v>
      </c>
      <c r="F117">
        <v>7.2</v>
      </c>
      <c r="G117">
        <v>4.1500000000000004</v>
      </c>
      <c r="H117">
        <v>3.8630000000000001E-3</v>
      </c>
      <c r="I117">
        <v>0.21059433464566929</v>
      </c>
      <c r="J117">
        <v>0.1533195803543308</v>
      </c>
      <c r="K117">
        <v>0.36391391500000009</v>
      </c>
      <c r="L117">
        <v>1.3735645124971845</v>
      </c>
      <c r="M117">
        <v>0.23593387992125989</v>
      </c>
      <c r="N117">
        <v>0.16170429007874015</v>
      </c>
    </row>
    <row r="118" spans="1:14" x14ac:dyDescent="0.2">
      <c r="B118">
        <v>100</v>
      </c>
      <c r="C118">
        <v>7</v>
      </c>
      <c r="D118">
        <v>3.45</v>
      </c>
      <c r="E118">
        <v>1.95</v>
      </c>
      <c r="F118">
        <v>3.45</v>
      </c>
      <c r="G118">
        <v>1.95</v>
      </c>
      <c r="H118">
        <v>9.7450000000000002E-3</v>
      </c>
      <c r="I118">
        <v>0.26127342519685048</v>
      </c>
      <c r="J118">
        <v>0.17008899980314951</v>
      </c>
      <c r="K118">
        <v>0.43136242499999999</v>
      </c>
      <c r="L118">
        <v>1.5360983102918602</v>
      </c>
    </row>
    <row r="119" spans="1:14" x14ac:dyDescent="0.2">
      <c r="A119">
        <v>488341</v>
      </c>
      <c r="B119">
        <v>100</v>
      </c>
      <c r="C119">
        <v>7</v>
      </c>
      <c r="D119">
        <v>7.35</v>
      </c>
      <c r="E119">
        <v>3.8</v>
      </c>
      <c r="F119">
        <v>7.35</v>
      </c>
      <c r="G119">
        <v>3.8</v>
      </c>
      <c r="H119">
        <v>9.7450000000000002E-3</v>
      </c>
      <c r="I119">
        <v>0.61834710629921263</v>
      </c>
      <c r="J119">
        <v>0.22225659370078749</v>
      </c>
      <c r="K119">
        <v>0.84060370000000018</v>
      </c>
      <c r="L119">
        <v>2.7821316614420053</v>
      </c>
      <c r="M119">
        <v>0.59221976377952756</v>
      </c>
      <c r="N119">
        <v>0.21520221122047251</v>
      </c>
    </row>
    <row r="120" spans="1:14" x14ac:dyDescent="0.2">
      <c r="B120">
        <v>100</v>
      </c>
      <c r="C120">
        <v>7</v>
      </c>
      <c r="D120">
        <v>6.75</v>
      </c>
      <c r="E120">
        <v>3.5</v>
      </c>
      <c r="F120">
        <v>6.75</v>
      </c>
      <c r="G120">
        <v>3.5</v>
      </c>
      <c r="H120">
        <v>9.7450000000000002E-3</v>
      </c>
      <c r="I120">
        <v>0.56609242125984249</v>
      </c>
      <c r="J120">
        <v>0.20814782874015753</v>
      </c>
      <c r="K120">
        <v>0.77424025000000007</v>
      </c>
      <c r="L120">
        <v>2.7196652719665266</v>
      </c>
    </row>
    <row r="121" spans="1:14" x14ac:dyDescent="0.2">
      <c r="A121">
        <v>488342</v>
      </c>
      <c r="B121">
        <v>100</v>
      </c>
      <c r="C121">
        <v>6</v>
      </c>
      <c r="D121">
        <v>3.35</v>
      </c>
      <c r="E121">
        <v>1.5</v>
      </c>
      <c r="F121">
        <v>3.35</v>
      </c>
      <c r="G121">
        <v>1.5</v>
      </c>
      <c r="H121">
        <v>3.5767E-2</v>
      </c>
      <c r="I121">
        <v>1.1827048543307088</v>
      </c>
      <c r="J121">
        <v>3.5161495669291276E-2</v>
      </c>
      <c r="K121">
        <v>1.21786635</v>
      </c>
      <c r="L121">
        <v>33.636363636363704</v>
      </c>
      <c r="M121">
        <v>1.230652348425197</v>
      </c>
      <c r="N121">
        <v>6.8405091574803262E-2</v>
      </c>
    </row>
    <row r="122" spans="1:14" x14ac:dyDescent="0.2">
      <c r="B122">
        <v>100</v>
      </c>
      <c r="C122">
        <v>6</v>
      </c>
      <c r="D122">
        <v>3.7</v>
      </c>
      <c r="E122">
        <v>1.7</v>
      </c>
      <c r="F122">
        <v>3.7</v>
      </c>
      <c r="G122">
        <v>1.7</v>
      </c>
      <c r="H122">
        <v>3.5767E-2</v>
      </c>
      <c r="I122">
        <v>1.2785998425196852</v>
      </c>
      <c r="J122">
        <v>0.10164868748031523</v>
      </c>
      <c r="K122">
        <v>1.3802485300000005</v>
      </c>
      <c r="L122">
        <v>12.578616352201225</v>
      </c>
    </row>
    <row r="123" spans="1:14" x14ac:dyDescent="0.2">
      <c r="A123">
        <v>488343</v>
      </c>
      <c r="B123">
        <v>100</v>
      </c>
      <c r="C123">
        <v>6</v>
      </c>
      <c r="D123">
        <v>4.4000000000000004</v>
      </c>
      <c r="E123">
        <v>2.0499999999999998</v>
      </c>
      <c r="F123">
        <v>4.4000000000000004</v>
      </c>
      <c r="G123">
        <v>2.0499999999999998</v>
      </c>
      <c r="H123">
        <v>3.5767E-2</v>
      </c>
      <c r="I123">
        <v>1.5023548149606301</v>
      </c>
      <c r="J123">
        <v>0.16206253003936971</v>
      </c>
      <c r="K123">
        <v>1.6644173449999997</v>
      </c>
      <c r="L123">
        <v>9.2702169625246764</v>
      </c>
      <c r="M123">
        <v>1.5023548149606301</v>
      </c>
      <c r="N123">
        <v>0.16206253003936971</v>
      </c>
    </row>
    <row r="124" spans="1:14" x14ac:dyDescent="0.2">
      <c r="B124">
        <v>100</v>
      </c>
      <c r="C124">
        <v>6</v>
      </c>
      <c r="D124">
        <v>4.4000000000000004</v>
      </c>
      <c r="E124">
        <v>2.0499999999999998</v>
      </c>
      <c r="F124">
        <v>4.4000000000000004</v>
      </c>
      <c r="G124">
        <v>2.0499999999999998</v>
      </c>
      <c r="H124">
        <v>3.5767E-2</v>
      </c>
      <c r="I124">
        <v>1.5023548149606301</v>
      </c>
      <c r="J124">
        <v>0.16206253003936971</v>
      </c>
      <c r="K124">
        <v>1.6644173449999997</v>
      </c>
      <c r="L124">
        <v>9.2702169625246764</v>
      </c>
    </row>
    <row r="125" spans="1:14" x14ac:dyDescent="0.2">
      <c r="A125">
        <v>488344</v>
      </c>
      <c r="B125">
        <v>100</v>
      </c>
      <c r="C125">
        <v>6</v>
      </c>
      <c r="D125">
        <v>3.35</v>
      </c>
      <c r="E125">
        <v>1.6</v>
      </c>
      <c r="F125">
        <v>3.35</v>
      </c>
      <c r="G125">
        <v>1.6</v>
      </c>
      <c r="H125">
        <v>3.5767E-2</v>
      </c>
      <c r="I125">
        <v>1.1187748622047244</v>
      </c>
      <c r="J125">
        <v>0.18028257779527582</v>
      </c>
      <c r="K125">
        <v>1.2990574400000003</v>
      </c>
      <c r="L125">
        <v>6.2056737588652409</v>
      </c>
      <c r="M125">
        <v>1.0868098661417323</v>
      </c>
      <c r="N125">
        <v>0.13105648385826785</v>
      </c>
    </row>
    <row r="126" spans="1:14" x14ac:dyDescent="0.2">
      <c r="B126">
        <v>100</v>
      </c>
      <c r="C126">
        <v>6</v>
      </c>
      <c r="D126">
        <v>3.05</v>
      </c>
      <c r="E126">
        <v>1.4</v>
      </c>
      <c r="F126">
        <v>3.05</v>
      </c>
      <c r="G126">
        <v>1.4</v>
      </c>
      <c r="H126">
        <v>3.5767E-2</v>
      </c>
      <c r="I126">
        <v>1.0548448700787403</v>
      </c>
      <c r="J126">
        <v>8.183038992125985E-2</v>
      </c>
      <c r="K126">
        <v>1.1366752600000001</v>
      </c>
      <c r="L126">
        <v>12.890625</v>
      </c>
    </row>
    <row r="127" spans="1:14" x14ac:dyDescent="0.2">
      <c r="A127">
        <v>488352</v>
      </c>
      <c r="B127">
        <v>100</v>
      </c>
      <c r="C127">
        <v>8</v>
      </c>
      <c r="D127">
        <v>0.85</v>
      </c>
      <c r="E127">
        <v>0.7</v>
      </c>
      <c r="F127">
        <v>0.85</v>
      </c>
      <c r="G127">
        <v>0.7</v>
      </c>
      <c r="H127">
        <v>3.8630000000000001E-3</v>
      </c>
      <c r="I127">
        <v>1.0357098425196852E-2</v>
      </c>
      <c r="J127">
        <v>5.1025971574803146E-2</v>
      </c>
      <c r="K127">
        <v>6.1383069999999998E-2</v>
      </c>
      <c r="L127">
        <v>0.20297699594046012</v>
      </c>
      <c r="M127">
        <v>1.5535647637795278E-2</v>
      </c>
      <c r="N127">
        <v>4.8039674862204715E-2</v>
      </c>
    </row>
    <row r="128" spans="1:14" x14ac:dyDescent="0.2">
      <c r="B128">
        <v>100</v>
      </c>
      <c r="C128">
        <v>8</v>
      </c>
      <c r="D128">
        <v>1.05</v>
      </c>
      <c r="E128">
        <v>0.75</v>
      </c>
      <c r="F128">
        <v>1.05</v>
      </c>
      <c r="G128">
        <v>0.75</v>
      </c>
      <c r="H128">
        <v>3.8630000000000001E-3</v>
      </c>
      <c r="I128">
        <v>2.0714196850393704E-2</v>
      </c>
      <c r="J128">
        <v>4.5053378149606284E-2</v>
      </c>
      <c r="K128">
        <v>6.5767574999999995E-2</v>
      </c>
      <c r="L128">
        <v>0.45977011494252895</v>
      </c>
    </row>
    <row r="129" spans="1:14" x14ac:dyDescent="0.2">
      <c r="A129">
        <v>488353</v>
      </c>
      <c r="B129">
        <v>100</v>
      </c>
      <c r="C129">
        <v>8</v>
      </c>
      <c r="D129">
        <v>2.0499999999999998</v>
      </c>
      <c r="E129">
        <v>1.4</v>
      </c>
      <c r="F129">
        <v>2.0499999999999998</v>
      </c>
      <c r="G129">
        <v>1.4</v>
      </c>
      <c r="H129">
        <v>3.8630000000000001E-3</v>
      </c>
      <c r="I129">
        <v>4.4880759842519685E-2</v>
      </c>
      <c r="J129">
        <v>7.7885380157480311E-2</v>
      </c>
      <c r="K129">
        <v>0.12276614</v>
      </c>
      <c r="L129">
        <v>0.57624113475177308</v>
      </c>
      <c r="M129">
        <v>4.8333125984251962E-2</v>
      </c>
      <c r="N129">
        <v>8.1009771515748036E-2</v>
      </c>
    </row>
    <row r="130" spans="1:14" x14ac:dyDescent="0.2">
      <c r="B130">
        <v>100</v>
      </c>
      <c r="C130">
        <v>8</v>
      </c>
      <c r="D130">
        <v>2.2999999999999998</v>
      </c>
      <c r="E130">
        <v>1.55</v>
      </c>
      <c r="F130">
        <v>2.2999999999999998</v>
      </c>
      <c r="G130">
        <v>1.55</v>
      </c>
      <c r="H130">
        <v>3.8630000000000001E-3</v>
      </c>
      <c r="I130">
        <v>5.1785492125984239E-2</v>
      </c>
      <c r="J130">
        <v>8.4134162874015761E-2</v>
      </c>
      <c r="K130">
        <v>0.135919655</v>
      </c>
      <c r="L130">
        <v>0.61551087402544091</v>
      </c>
    </row>
    <row r="131" spans="1:14" x14ac:dyDescent="0.2">
      <c r="A131">
        <v>488354</v>
      </c>
      <c r="B131">
        <v>100</v>
      </c>
      <c r="C131">
        <v>8</v>
      </c>
      <c r="D131">
        <v>4.75</v>
      </c>
      <c r="E131">
        <v>3.15</v>
      </c>
      <c r="F131">
        <v>4.75</v>
      </c>
      <c r="G131">
        <v>3.15</v>
      </c>
      <c r="H131">
        <v>3.8630000000000001E-3</v>
      </c>
      <c r="I131">
        <v>0.11047571653543307</v>
      </c>
      <c r="J131">
        <v>0.16574809846456692</v>
      </c>
      <c r="K131">
        <v>0.27622381499999998</v>
      </c>
      <c r="L131">
        <v>0.66652780670693612</v>
      </c>
      <c r="M131">
        <v>0.10184480118110237</v>
      </c>
      <c r="N131">
        <v>0.18753252881889765</v>
      </c>
    </row>
    <row r="132" spans="1:14" x14ac:dyDescent="0.2">
      <c r="B132">
        <v>100</v>
      </c>
      <c r="C132">
        <v>8</v>
      </c>
      <c r="D132">
        <v>4.8</v>
      </c>
      <c r="E132">
        <v>3.45</v>
      </c>
      <c r="F132">
        <v>4.8</v>
      </c>
      <c r="G132">
        <v>3.45</v>
      </c>
      <c r="H132">
        <v>3.8630000000000001E-3</v>
      </c>
      <c r="I132">
        <v>9.3213885826771647E-2</v>
      </c>
      <c r="J132">
        <v>0.20931695917322837</v>
      </c>
      <c r="K132">
        <v>0.30253084500000005</v>
      </c>
      <c r="L132">
        <v>0.44532409698169212</v>
      </c>
    </row>
    <row r="133" spans="1:14" x14ac:dyDescent="0.2">
      <c r="A133">
        <v>488355</v>
      </c>
      <c r="B133">
        <v>100</v>
      </c>
      <c r="C133">
        <v>8</v>
      </c>
      <c r="D133">
        <v>7</v>
      </c>
      <c r="E133">
        <v>4.6500000000000004</v>
      </c>
      <c r="F133">
        <v>7</v>
      </c>
      <c r="G133">
        <v>4.6500000000000004</v>
      </c>
      <c r="H133">
        <v>3.8630000000000001E-3</v>
      </c>
      <c r="I133">
        <v>0.1622612086614173</v>
      </c>
      <c r="J133">
        <v>0.24549775633858284</v>
      </c>
      <c r="K133">
        <v>0.40775896500000014</v>
      </c>
      <c r="L133">
        <v>0.66094782730980117</v>
      </c>
      <c r="M133">
        <v>0.16571357480314963</v>
      </c>
      <c r="N133">
        <v>0.23985313769685046</v>
      </c>
    </row>
    <row r="134" spans="1:14" x14ac:dyDescent="0.2">
      <c r="B134">
        <v>100</v>
      </c>
      <c r="C134">
        <v>8</v>
      </c>
      <c r="D134">
        <v>7.05</v>
      </c>
      <c r="E134">
        <v>4.5999999999999996</v>
      </c>
      <c r="F134">
        <v>7.05</v>
      </c>
      <c r="G134">
        <v>4.5999999999999996</v>
      </c>
      <c r="H134">
        <v>3.8630000000000001E-3</v>
      </c>
      <c r="I134">
        <v>0.16916594094488194</v>
      </c>
      <c r="J134">
        <v>0.23420851905511808</v>
      </c>
      <c r="K134">
        <v>0.40337445999999999</v>
      </c>
      <c r="L134">
        <v>0.72228773584905692</v>
      </c>
    </row>
    <row r="135" spans="1:14" x14ac:dyDescent="0.2">
      <c r="A135">
        <v>488356</v>
      </c>
      <c r="B135">
        <v>100</v>
      </c>
      <c r="C135">
        <v>7</v>
      </c>
      <c r="D135">
        <v>4.75</v>
      </c>
      <c r="E135">
        <v>3.05</v>
      </c>
      <c r="F135">
        <v>4.75</v>
      </c>
      <c r="G135">
        <v>3.05</v>
      </c>
      <c r="H135">
        <v>9.7450000000000002E-3</v>
      </c>
      <c r="I135">
        <v>0.29610988188976384</v>
      </c>
      <c r="J135">
        <v>0.37858519311023614</v>
      </c>
      <c r="K135">
        <v>0.67469507500000003</v>
      </c>
      <c r="L135">
        <v>0.78214860823556509</v>
      </c>
      <c r="M135">
        <v>0.29610988188976378</v>
      </c>
      <c r="N135">
        <v>0.38411548061023626</v>
      </c>
    </row>
    <row r="136" spans="1:14" x14ac:dyDescent="0.2">
      <c r="B136">
        <v>100</v>
      </c>
      <c r="C136">
        <v>7</v>
      </c>
      <c r="D136">
        <v>4.8</v>
      </c>
      <c r="E136">
        <v>3.1</v>
      </c>
      <c r="F136">
        <v>4.8</v>
      </c>
      <c r="G136">
        <v>3.1</v>
      </c>
      <c r="H136">
        <v>9.7450000000000002E-3</v>
      </c>
      <c r="I136">
        <v>0.29610988188976373</v>
      </c>
      <c r="J136">
        <v>0.38964576811023632</v>
      </c>
      <c r="K136">
        <v>0.68575565000000005</v>
      </c>
      <c r="L136">
        <v>0.75994635672776001</v>
      </c>
    </row>
    <row r="137" spans="1:14" x14ac:dyDescent="0.2">
      <c r="A137">
        <v>488357</v>
      </c>
      <c r="B137">
        <v>100</v>
      </c>
      <c r="C137">
        <v>7</v>
      </c>
      <c r="D137">
        <v>6.8</v>
      </c>
      <c r="E137">
        <v>3.8</v>
      </c>
      <c r="F137">
        <v>6.8</v>
      </c>
      <c r="G137">
        <v>3.8</v>
      </c>
      <c r="H137">
        <v>9.7450000000000002E-3</v>
      </c>
      <c r="I137">
        <v>0.52254685039370086</v>
      </c>
      <c r="J137">
        <v>0.31805684960629926</v>
      </c>
      <c r="K137">
        <v>0.84060370000000018</v>
      </c>
      <c r="L137">
        <v>1.6429353778751368</v>
      </c>
      <c r="M137">
        <v>0.52254685039370086</v>
      </c>
      <c r="N137">
        <v>0.3069962746062993</v>
      </c>
    </row>
    <row r="138" spans="1:14" x14ac:dyDescent="0.2">
      <c r="B138">
        <v>100</v>
      </c>
      <c r="C138">
        <v>7</v>
      </c>
      <c r="D138">
        <v>6.7</v>
      </c>
      <c r="E138">
        <v>3.7</v>
      </c>
      <c r="F138">
        <v>6.7</v>
      </c>
      <c r="G138">
        <v>3.7</v>
      </c>
      <c r="H138">
        <v>9.7450000000000002E-3</v>
      </c>
      <c r="I138">
        <v>0.52254685039370086</v>
      </c>
      <c r="J138">
        <v>0.2959356996062994</v>
      </c>
      <c r="K138">
        <v>0.81848255000000025</v>
      </c>
      <c r="L138">
        <v>1.7657445556209526</v>
      </c>
    </row>
    <row r="139" spans="1:14" x14ac:dyDescent="0.2">
      <c r="A139">
        <v>488358</v>
      </c>
      <c r="B139">
        <v>100</v>
      </c>
      <c r="C139">
        <v>7</v>
      </c>
      <c r="D139">
        <v>5.9</v>
      </c>
      <c r="E139">
        <v>3.2</v>
      </c>
      <c r="F139">
        <v>5.9</v>
      </c>
      <c r="G139">
        <v>3.2</v>
      </c>
      <c r="H139">
        <v>9.7450000000000002E-3</v>
      </c>
      <c r="I139">
        <v>0.47029216535433077</v>
      </c>
      <c r="J139">
        <v>0.23758463464566937</v>
      </c>
      <c r="K139">
        <v>0.70787680000000019</v>
      </c>
      <c r="L139">
        <v>1.9794721407624629</v>
      </c>
      <c r="M139">
        <v>0.47029216535433072</v>
      </c>
      <c r="N139">
        <v>0.25417549714566945</v>
      </c>
    </row>
    <row r="140" spans="1:14" x14ac:dyDescent="0.2">
      <c r="B140">
        <v>100</v>
      </c>
      <c r="C140">
        <v>7</v>
      </c>
      <c r="D140">
        <v>6.05</v>
      </c>
      <c r="E140">
        <v>3.35</v>
      </c>
      <c r="F140">
        <v>6.05</v>
      </c>
      <c r="G140">
        <v>3.35</v>
      </c>
      <c r="H140">
        <v>9.7450000000000002E-3</v>
      </c>
      <c r="I140">
        <v>0.47029216535433072</v>
      </c>
      <c r="J140">
        <v>0.27076635964566947</v>
      </c>
      <c r="K140">
        <v>0.74105852500000013</v>
      </c>
      <c r="L140">
        <v>1.7368928916050166</v>
      </c>
    </row>
    <row r="141" spans="1:14" x14ac:dyDescent="0.2">
      <c r="A141">
        <v>488359</v>
      </c>
      <c r="B141">
        <v>100</v>
      </c>
      <c r="C141">
        <v>7</v>
      </c>
      <c r="D141">
        <v>3.2</v>
      </c>
      <c r="E141">
        <v>1.8</v>
      </c>
      <c r="F141">
        <v>3.2</v>
      </c>
      <c r="G141">
        <v>1.8</v>
      </c>
      <c r="H141">
        <v>9.7450000000000002E-3</v>
      </c>
      <c r="I141">
        <v>0.24385519685039372</v>
      </c>
      <c r="J141">
        <v>0.15432550314960633</v>
      </c>
      <c r="K141">
        <v>0.39818070000000005</v>
      </c>
      <c r="L141">
        <v>1.5801354401805867</v>
      </c>
      <c r="M141">
        <v>0.23950063976377955</v>
      </c>
      <c r="N141">
        <v>0.13102862273622048</v>
      </c>
    </row>
    <row r="142" spans="1:14" x14ac:dyDescent="0.2">
      <c r="B142">
        <v>100</v>
      </c>
      <c r="C142">
        <v>7</v>
      </c>
      <c r="D142">
        <v>2.9</v>
      </c>
      <c r="E142">
        <v>1.55</v>
      </c>
      <c r="F142">
        <v>2.9</v>
      </c>
      <c r="G142">
        <v>1.55</v>
      </c>
      <c r="H142">
        <v>9.7450000000000002E-3</v>
      </c>
      <c r="I142">
        <v>0.23514608267716536</v>
      </c>
      <c r="J142">
        <v>0.10773174232283463</v>
      </c>
      <c r="K142">
        <v>0.34287782499999997</v>
      </c>
      <c r="L142">
        <v>2.182700080840744</v>
      </c>
    </row>
    <row r="143" spans="1:14" x14ac:dyDescent="0.2">
      <c r="A143">
        <v>488360</v>
      </c>
      <c r="B143">
        <v>100</v>
      </c>
      <c r="C143">
        <v>7</v>
      </c>
      <c r="D143">
        <v>2.75</v>
      </c>
      <c r="E143">
        <v>1.45</v>
      </c>
      <c r="F143">
        <v>2.75</v>
      </c>
      <c r="G143">
        <v>1.45</v>
      </c>
      <c r="H143">
        <v>9.7450000000000002E-3</v>
      </c>
      <c r="I143">
        <v>0.22643696850393705</v>
      </c>
      <c r="J143">
        <v>9.4319706496063041E-2</v>
      </c>
      <c r="K143">
        <v>0.3207566750000001</v>
      </c>
      <c r="L143">
        <v>2.4007386888273308</v>
      </c>
      <c r="M143">
        <v>0.23079152559055122</v>
      </c>
      <c r="N143">
        <v>8.9965149409448872E-2</v>
      </c>
    </row>
    <row r="144" spans="1:14" x14ac:dyDescent="0.2">
      <c r="B144">
        <v>100</v>
      </c>
      <c r="C144">
        <v>7</v>
      </c>
      <c r="D144">
        <v>2.8</v>
      </c>
      <c r="E144">
        <v>1.45</v>
      </c>
      <c r="F144">
        <v>2.8</v>
      </c>
      <c r="G144">
        <v>1.45</v>
      </c>
      <c r="H144">
        <v>9.7450000000000002E-3</v>
      </c>
      <c r="I144">
        <v>0.23514608267716536</v>
      </c>
      <c r="J144">
        <v>8.5610592322834703E-2</v>
      </c>
      <c r="K144">
        <v>0.32075667500000005</v>
      </c>
      <c r="L144">
        <v>2.7466937945066108</v>
      </c>
    </row>
    <row r="145" spans="1:14" x14ac:dyDescent="0.2">
      <c r="A145">
        <v>488251</v>
      </c>
      <c r="B145">
        <v>100</v>
      </c>
      <c r="C145">
        <v>6</v>
      </c>
      <c r="D145">
        <v>2.75</v>
      </c>
      <c r="E145">
        <v>1.3</v>
      </c>
      <c r="F145">
        <v>2.75</v>
      </c>
      <c r="G145">
        <v>1.3</v>
      </c>
      <c r="H145">
        <v>3.5767E-2</v>
      </c>
      <c r="I145">
        <v>0.92698488582677174</v>
      </c>
      <c r="J145">
        <v>0.12849928417322842</v>
      </c>
      <c r="K145">
        <v>1.0554841700000002</v>
      </c>
      <c r="L145">
        <v>7.2139303482587032</v>
      </c>
      <c r="M145">
        <v>0.91100238779527565</v>
      </c>
      <c r="N145">
        <v>0.12418400970472451</v>
      </c>
    </row>
    <row r="146" spans="1:14" x14ac:dyDescent="0.2">
      <c r="B146">
        <v>100</v>
      </c>
      <c r="C146">
        <v>6</v>
      </c>
      <c r="D146">
        <v>2.65</v>
      </c>
      <c r="E146">
        <v>1.25</v>
      </c>
      <c r="F146">
        <v>2.65</v>
      </c>
      <c r="G146">
        <v>1.25</v>
      </c>
      <c r="H146">
        <v>3.5767E-2</v>
      </c>
      <c r="I146">
        <v>0.89501988976377955</v>
      </c>
      <c r="J146">
        <v>0.1198687352362206</v>
      </c>
      <c r="K146">
        <v>1.0148886250000002</v>
      </c>
      <c r="L146">
        <v>7.4666666666666588</v>
      </c>
    </row>
    <row r="147" spans="1:14" x14ac:dyDescent="0.2">
      <c r="A147">
        <v>488361</v>
      </c>
      <c r="B147">
        <v>100</v>
      </c>
      <c r="C147">
        <v>7</v>
      </c>
      <c r="D147">
        <v>2.5</v>
      </c>
      <c r="E147">
        <v>1.4</v>
      </c>
      <c r="F147">
        <v>2.5</v>
      </c>
      <c r="G147">
        <v>1.4</v>
      </c>
      <c r="H147">
        <v>9.7450000000000002E-3</v>
      </c>
      <c r="I147">
        <v>0.19160051181102367</v>
      </c>
      <c r="J147">
        <v>0.11809558818897636</v>
      </c>
      <c r="K147">
        <v>0.30969610000000003</v>
      </c>
      <c r="L147">
        <v>1.6224188790560479</v>
      </c>
      <c r="M147">
        <v>0.21337329724409454</v>
      </c>
      <c r="N147">
        <v>0.15162567775590552</v>
      </c>
    </row>
    <row r="148" spans="1:14" x14ac:dyDescent="0.2">
      <c r="B148">
        <v>100</v>
      </c>
      <c r="C148">
        <v>7</v>
      </c>
      <c r="D148">
        <v>3.25</v>
      </c>
      <c r="E148">
        <v>1.9</v>
      </c>
      <c r="F148">
        <v>3.25</v>
      </c>
      <c r="G148">
        <v>1.9</v>
      </c>
      <c r="H148">
        <v>9.7450000000000002E-3</v>
      </c>
      <c r="I148">
        <v>0.23514608267716539</v>
      </c>
      <c r="J148">
        <v>0.18515576732283467</v>
      </c>
      <c r="K148">
        <v>0.42030185000000009</v>
      </c>
      <c r="L148">
        <v>1.2699905926622765</v>
      </c>
    </row>
    <row r="149" spans="1:14" x14ac:dyDescent="0.2">
      <c r="A149">
        <v>488362</v>
      </c>
      <c r="B149">
        <v>100</v>
      </c>
      <c r="C149">
        <v>7</v>
      </c>
      <c r="D149">
        <v>3.15</v>
      </c>
      <c r="E149">
        <v>1.85</v>
      </c>
      <c r="F149">
        <v>3.15</v>
      </c>
      <c r="G149">
        <v>1.85</v>
      </c>
      <c r="H149">
        <v>9.7450000000000002E-3</v>
      </c>
      <c r="I149">
        <v>0.22643696850393699</v>
      </c>
      <c r="J149">
        <v>0.18280430649606313</v>
      </c>
      <c r="K149">
        <v>0.40924127500000013</v>
      </c>
      <c r="L149">
        <v>1.2386850881372071</v>
      </c>
      <c r="M149">
        <v>0.20030962598425195</v>
      </c>
      <c r="N149">
        <v>0.14809848651574811</v>
      </c>
    </row>
    <row r="150" spans="1:14" x14ac:dyDescent="0.2">
      <c r="B150">
        <v>100</v>
      </c>
      <c r="C150">
        <v>7</v>
      </c>
      <c r="D150">
        <v>2.2999999999999998</v>
      </c>
      <c r="E150">
        <v>1.3</v>
      </c>
      <c r="F150">
        <v>2.2999999999999998</v>
      </c>
      <c r="G150">
        <v>1.3</v>
      </c>
      <c r="H150">
        <v>9.7450000000000002E-3</v>
      </c>
      <c r="I150">
        <v>0.17418228346456691</v>
      </c>
      <c r="J150">
        <v>0.1133926665354331</v>
      </c>
      <c r="K150">
        <v>0.28757495</v>
      </c>
      <c r="L150">
        <v>1.5360983102918579</v>
      </c>
    </row>
    <row r="151" spans="1:14" x14ac:dyDescent="0.2">
      <c r="A151">
        <v>488363</v>
      </c>
      <c r="B151">
        <v>100</v>
      </c>
      <c r="C151">
        <v>7</v>
      </c>
      <c r="D151">
        <v>3.75</v>
      </c>
      <c r="E151">
        <v>2</v>
      </c>
      <c r="F151">
        <v>3.75</v>
      </c>
      <c r="G151">
        <v>2</v>
      </c>
      <c r="H151">
        <v>9.7450000000000002E-3</v>
      </c>
      <c r="I151">
        <v>0.30481899606299218</v>
      </c>
      <c r="J151">
        <v>0.13760400393700795</v>
      </c>
      <c r="K151">
        <v>0.44242300000000012</v>
      </c>
      <c r="L151">
        <v>2.2151898734177209</v>
      </c>
      <c r="M151">
        <v>0.26562798228346463</v>
      </c>
      <c r="N151">
        <v>0.1436132927165355</v>
      </c>
    </row>
    <row r="152" spans="1:14" x14ac:dyDescent="0.2">
      <c r="B152">
        <v>100</v>
      </c>
      <c r="C152">
        <v>7</v>
      </c>
      <c r="D152">
        <v>3</v>
      </c>
      <c r="E152">
        <v>1.7</v>
      </c>
      <c r="F152">
        <v>3</v>
      </c>
      <c r="G152">
        <v>1.7</v>
      </c>
      <c r="H152">
        <v>9.7450000000000002E-3</v>
      </c>
      <c r="I152">
        <v>0.22643696850393705</v>
      </c>
      <c r="J152">
        <v>0.14962258149606306</v>
      </c>
      <c r="K152">
        <v>0.37605955000000013</v>
      </c>
      <c r="L152">
        <v>1.5133876600698484</v>
      </c>
    </row>
    <row r="153" spans="1:14" x14ac:dyDescent="0.2">
      <c r="A153">
        <v>488364</v>
      </c>
      <c r="B153">
        <v>100</v>
      </c>
      <c r="C153">
        <v>5</v>
      </c>
      <c r="D153">
        <v>2.7</v>
      </c>
      <c r="E153">
        <v>1.2</v>
      </c>
      <c r="F153">
        <v>2.7</v>
      </c>
      <c r="G153">
        <v>1.2</v>
      </c>
      <c r="H153">
        <v>0.123026</v>
      </c>
      <c r="I153">
        <v>3.2984529921259842</v>
      </c>
      <c r="J153">
        <v>5.2775247874015899E-2</v>
      </c>
      <c r="K153">
        <v>3.3512282400000002</v>
      </c>
      <c r="L153">
        <v>62.499999999999822</v>
      </c>
      <c r="M153">
        <v>3.2984529921259842</v>
      </c>
      <c r="N153">
        <v>0.12259250287401627</v>
      </c>
    </row>
    <row r="154" spans="1:14" x14ac:dyDescent="0.2">
      <c r="B154">
        <v>100</v>
      </c>
      <c r="C154">
        <v>5</v>
      </c>
      <c r="D154">
        <v>2.75</v>
      </c>
      <c r="E154">
        <v>1.25</v>
      </c>
      <c r="F154">
        <v>2.75</v>
      </c>
      <c r="G154">
        <v>1.25</v>
      </c>
      <c r="H154">
        <v>0.123026</v>
      </c>
      <c r="I154">
        <v>3.2984529921259842</v>
      </c>
      <c r="J154">
        <v>0.19240975787401665</v>
      </c>
      <c r="K154">
        <v>3.4908627500000007</v>
      </c>
      <c r="L154">
        <v>17.142857142857061</v>
      </c>
    </row>
    <row r="155" spans="1:14" x14ac:dyDescent="0.2">
      <c r="A155">
        <v>488365</v>
      </c>
      <c r="B155">
        <v>100</v>
      </c>
      <c r="C155">
        <v>6</v>
      </c>
      <c r="D155">
        <v>4.75</v>
      </c>
      <c r="E155">
        <v>2.2999999999999998</v>
      </c>
      <c r="F155">
        <v>4.75</v>
      </c>
      <c r="G155">
        <v>2.2999999999999998</v>
      </c>
      <c r="H155">
        <v>3.5767E-2</v>
      </c>
      <c r="I155">
        <v>1.5662848070866144</v>
      </c>
      <c r="J155">
        <v>0.30111026291338561</v>
      </c>
      <c r="K155">
        <v>1.8673950700000002</v>
      </c>
      <c r="L155">
        <v>5.2016985138004292</v>
      </c>
      <c r="M155">
        <v>1.5662848070866144</v>
      </c>
      <c r="N155">
        <v>0.26051471791338576</v>
      </c>
    </row>
    <row r="156" spans="1:14" x14ac:dyDescent="0.2">
      <c r="B156">
        <v>100</v>
      </c>
      <c r="C156">
        <v>6</v>
      </c>
      <c r="D156">
        <v>4.6500000000000004</v>
      </c>
      <c r="E156">
        <v>2.2000000000000002</v>
      </c>
      <c r="F156">
        <v>4.6500000000000004</v>
      </c>
      <c r="G156">
        <v>2.2000000000000002</v>
      </c>
      <c r="H156">
        <v>3.5767E-2</v>
      </c>
      <c r="I156">
        <v>1.5662848070866144</v>
      </c>
      <c r="J156">
        <v>0.21991917291338589</v>
      </c>
      <c r="K156">
        <v>1.7862039800000002</v>
      </c>
      <c r="L156">
        <v>7.1220930232558128</v>
      </c>
    </row>
    <row r="157" spans="1:14" x14ac:dyDescent="0.2">
      <c r="A157">
        <v>488366</v>
      </c>
      <c r="B157">
        <v>100</v>
      </c>
      <c r="C157">
        <v>6</v>
      </c>
      <c r="D157">
        <v>4.1500000000000004</v>
      </c>
      <c r="E157">
        <v>2.0499999999999998</v>
      </c>
      <c r="F157">
        <v>4.1500000000000004</v>
      </c>
      <c r="G157">
        <v>2.0499999999999998</v>
      </c>
      <c r="H157">
        <v>3.5767E-2</v>
      </c>
      <c r="I157">
        <v>1.3425298346456698</v>
      </c>
      <c r="J157">
        <v>0.3218875103543305</v>
      </c>
      <c r="K157">
        <v>1.6644173450000004</v>
      </c>
      <c r="L157">
        <v>4.1708043694141059</v>
      </c>
      <c r="M157">
        <v>1.3585123326771658</v>
      </c>
      <c r="N157">
        <v>0.32620278482283449</v>
      </c>
    </row>
    <row r="158" spans="1:14" x14ac:dyDescent="0.2">
      <c r="B158">
        <v>100</v>
      </c>
      <c r="C158">
        <v>6</v>
      </c>
      <c r="D158">
        <v>4.25</v>
      </c>
      <c r="E158">
        <v>2.1</v>
      </c>
      <c r="F158">
        <v>4.25</v>
      </c>
      <c r="G158">
        <v>2.1</v>
      </c>
      <c r="H158">
        <v>3.5767E-2</v>
      </c>
      <c r="I158">
        <v>1.3744948307086617</v>
      </c>
      <c r="J158">
        <v>0.33051805929133854</v>
      </c>
      <c r="K158">
        <v>1.7050128900000003</v>
      </c>
      <c r="L158">
        <v>4.1586073500967133</v>
      </c>
    </row>
    <row r="159" spans="1:14" x14ac:dyDescent="0.2">
      <c r="A159">
        <v>488367</v>
      </c>
      <c r="B159">
        <v>100</v>
      </c>
      <c r="C159">
        <v>6</v>
      </c>
      <c r="D159">
        <v>4.3499999999999996</v>
      </c>
      <c r="E159">
        <v>2.15</v>
      </c>
      <c r="F159">
        <v>4.3499999999999996</v>
      </c>
      <c r="G159">
        <v>2.15</v>
      </c>
      <c r="H159">
        <v>3.5767E-2</v>
      </c>
      <c r="I159">
        <v>1.4064598267716537</v>
      </c>
      <c r="J159">
        <v>0.33914860822834675</v>
      </c>
      <c r="K159">
        <v>1.7456084350000005</v>
      </c>
      <c r="L159">
        <v>4.1470311027332674</v>
      </c>
      <c r="M159">
        <v>1.3904773287401579</v>
      </c>
      <c r="N159">
        <v>0.31453556125984256</v>
      </c>
    </row>
    <row r="160" spans="1:14" x14ac:dyDescent="0.2">
      <c r="B160">
        <v>100</v>
      </c>
      <c r="C160">
        <v>6</v>
      </c>
      <c r="D160">
        <v>4.2</v>
      </c>
      <c r="E160">
        <v>2.0499999999999998</v>
      </c>
      <c r="F160">
        <v>4.2</v>
      </c>
      <c r="G160">
        <v>2.0499999999999998</v>
      </c>
      <c r="H160">
        <v>3.5767E-2</v>
      </c>
      <c r="I160">
        <v>1.374494830708662</v>
      </c>
      <c r="J160">
        <v>0.28992251429133836</v>
      </c>
      <c r="K160">
        <v>1.6644173450000004</v>
      </c>
      <c r="L160">
        <v>4.7409040793825854</v>
      </c>
    </row>
    <row r="161" spans="1:14" x14ac:dyDescent="0.2">
      <c r="A161">
        <v>488368</v>
      </c>
      <c r="B161">
        <v>100</v>
      </c>
      <c r="C161">
        <v>6</v>
      </c>
      <c r="D161">
        <v>5.45</v>
      </c>
      <c r="E161">
        <v>2.5499999999999998</v>
      </c>
      <c r="F161">
        <v>5.45</v>
      </c>
      <c r="G161">
        <v>2.5499999999999998</v>
      </c>
      <c r="H161">
        <v>3.5767E-2</v>
      </c>
      <c r="I161">
        <v>1.8539697716535437</v>
      </c>
      <c r="J161">
        <v>0.21640302334645697</v>
      </c>
      <c r="K161">
        <v>2.0703727950000008</v>
      </c>
      <c r="L161">
        <v>8.5672082717872868</v>
      </c>
      <c r="M161">
        <v>1.8060222775590558</v>
      </c>
      <c r="N161">
        <v>0.20345719994094494</v>
      </c>
    </row>
    <row r="162" spans="1:14" x14ac:dyDescent="0.2">
      <c r="B162">
        <v>100</v>
      </c>
      <c r="C162">
        <v>6</v>
      </c>
      <c r="D162">
        <v>5.15</v>
      </c>
      <c r="E162">
        <v>2.4</v>
      </c>
      <c r="F162">
        <v>5.15</v>
      </c>
      <c r="G162">
        <v>2.4</v>
      </c>
      <c r="H162">
        <v>3.5767E-2</v>
      </c>
      <c r="I162">
        <v>1.7580747834645676</v>
      </c>
      <c r="J162">
        <v>0.1905113765354329</v>
      </c>
      <c r="K162">
        <v>1.9485861600000005</v>
      </c>
      <c r="L162">
        <v>9.2281879194630996</v>
      </c>
    </row>
    <row r="163" spans="1:14" x14ac:dyDescent="0.2">
      <c r="A163">
        <v>488369</v>
      </c>
      <c r="B163">
        <v>100</v>
      </c>
      <c r="C163">
        <v>6</v>
      </c>
      <c r="D163">
        <v>3.95</v>
      </c>
      <c r="E163">
        <v>1.85</v>
      </c>
      <c r="F163">
        <v>3.95</v>
      </c>
      <c r="G163">
        <v>1.85</v>
      </c>
      <c r="H163">
        <v>3.5767E-2</v>
      </c>
      <c r="I163">
        <v>1.3425298346456693</v>
      </c>
      <c r="J163">
        <v>0.15950533035433101</v>
      </c>
      <c r="K163">
        <v>1.5020351650000003</v>
      </c>
      <c r="L163">
        <v>8.4168336673346538</v>
      </c>
      <c r="M163">
        <v>1.4064598267716537</v>
      </c>
      <c r="N163">
        <v>0.13617088322834653</v>
      </c>
    </row>
    <row r="164" spans="1:14" x14ac:dyDescent="0.2">
      <c r="B164">
        <v>100</v>
      </c>
      <c r="C164">
        <v>6</v>
      </c>
      <c r="D164">
        <v>4.25</v>
      </c>
      <c r="E164">
        <v>1.95</v>
      </c>
      <c r="F164">
        <v>4.25</v>
      </c>
      <c r="G164">
        <v>1.95</v>
      </c>
      <c r="H164">
        <v>3.5767E-2</v>
      </c>
      <c r="I164">
        <v>1.4703898188976379</v>
      </c>
      <c r="J164">
        <v>0.11283643610236208</v>
      </c>
      <c r="K164">
        <v>1.583226255</v>
      </c>
      <c r="L164">
        <v>13.031161473087835</v>
      </c>
    </row>
    <row r="165" spans="1:14" x14ac:dyDescent="0.2">
      <c r="A165">
        <v>488374</v>
      </c>
      <c r="B165">
        <v>100</v>
      </c>
      <c r="C165">
        <v>8</v>
      </c>
      <c r="D165">
        <v>1.8</v>
      </c>
      <c r="E165">
        <v>1.35</v>
      </c>
      <c r="F165">
        <v>1.8</v>
      </c>
      <c r="G165">
        <v>1.35</v>
      </c>
      <c r="H165">
        <v>3.8630000000000001E-3</v>
      </c>
      <c r="I165">
        <v>3.1071295275590546E-2</v>
      </c>
      <c r="J165">
        <v>8.731033972440945E-2</v>
      </c>
      <c r="K165">
        <v>0.118381635</v>
      </c>
      <c r="L165">
        <v>0.35587188612099635</v>
      </c>
      <c r="M165">
        <v>2.5892746062992127E-2</v>
      </c>
      <c r="N165">
        <v>8.8104383937007882E-2</v>
      </c>
    </row>
    <row r="166" spans="1:14" x14ac:dyDescent="0.2">
      <c r="B166">
        <v>100</v>
      </c>
      <c r="C166">
        <v>8</v>
      </c>
      <c r="D166">
        <v>1.55</v>
      </c>
      <c r="E166">
        <v>1.25</v>
      </c>
      <c r="F166">
        <v>1.55</v>
      </c>
      <c r="G166">
        <v>1.25</v>
      </c>
      <c r="H166">
        <v>3.8630000000000001E-3</v>
      </c>
      <c r="I166">
        <v>2.0714196850393704E-2</v>
      </c>
      <c r="J166">
        <v>8.8898428149606315E-2</v>
      </c>
      <c r="K166">
        <v>0.10961262500000002</v>
      </c>
      <c r="L166">
        <v>0.23300970873786409</v>
      </c>
    </row>
    <row r="167" spans="1:14" x14ac:dyDescent="0.2">
      <c r="A167">
        <v>488375</v>
      </c>
      <c r="B167">
        <v>100</v>
      </c>
      <c r="C167">
        <v>8</v>
      </c>
      <c r="D167">
        <v>3.2</v>
      </c>
      <c r="E167">
        <v>2.0499999999999998</v>
      </c>
      <c r="F167">
        <v>3.2</v>
      </c>
      <c r="G167">
        <v>2.0499999999999998</v>
      </c>
      <c r="H167">
        <v>3.8630000000000001E-3</v>
      </c>
      <c r="I167">
        <v>7.9404421259842553E-2</v>
      </c>
      <c r="J167">
        <v>0.10036028374015746</v>
      </c>
      <c r="K167">
        <v>0.17976470500000002</v>
      </c>
      <c r="L167">
        <v>0.79119367045063693</v>
      </c>
      <c r="M167">
        <v>7.9404421259842553E-2</v>
      </c>
      <c r="N167">
        <v>0.10036028374015746</v>
      </c>
    </row>
    <row r="168" spans="1:14" x14ac:dyDescent="0.2">
      <c r="B168">
        <v>100</v>
      </c>
      <c r="C168">
        <v>8</v>
      </c>
      <c r="D168">
        <v>3.2</v>
      </c>
      <c r="E168">
        <v>2.0499999999999998</v>
      </c>
      <c r="F168">
        <v>3.2</v>
      </c>
      <c r="G168">
        <v>2.0499999999999998</v>
      </c>
      <c r="H168">
        <v>3.8630000000000001E-3</v>
      </c>
      <c r="I168">
        <v>7.9404421259842553E-2</v>
      </c>
      <c r="J168">
        <v>0.10036028374015746</v>
      </c>
      <c r="K168">
        <v>0.17976470500000002</v>
      </c>
      <c r="L168">
        <v>0.79119367045063693</v>
      </c>
    </row>
    <row r="169" spans="1:14" x14ac:dyDescent="0.2">
      <c r="A169">
        <v>488376</v>
      </c>
      <c r="B169">
        <v>100</v>
      </c>
      <c r="C169">
        <v>8</v>
      </c>
      <c r="D169">
        <v>3.55</v>
      </c>
      <c r="E169">
        <v>2.35</v>
      </c>
      <c r="F169">
        <v>3.55</v>
      </c>
      <c r="G169">
        <v>2.35</v>
      </c>
      <c r="H169">
        <v>3.8630000000000001E-3</v>
      </c>
      <c r="I169">
        <v>8.2856787401574775E-2</v>
      </c>
      <c r="J169">
        <v>0.12321494759842523</v>
      </c>
      <c r="K169">
        <v>0.20607173500000001</v>
      </c>
      <c r="L169">
        <v>0.67245727094424168</v>
      </c>
      <c r="M169">
        <v>7.7678238188976359E-2</v>
      </c>
      <c r="N169">
        <v>0.12400899181102364</v>
      </c>
    </row>
    <row r="170" spans="1:14" x14ac:dyDescent="0.2">
      <c r="B170">
        <v>100</v>
      </c>
      <c r="C170">
        <v>8</v>
      </c>
      <c r="D170">
        <v>3.3</v>
      </c>
      <c r="E170">
        <v>2.25</v>
      </c>
      <c r="F170">
        <v>3.3</v>
      </c>
      <c r="G170">
        <v>2.25</v>
      </c>
      <c r="H170">
        <v>3.8630000000000001E-3</v>
      </c>
      <c r="I170">
        <v>7.2499688976377943E-2</v>
      </c>
      <c r="J170">
        <v>0.12480303602362204</v>
      </c>
      <c r="K170">
        <v>0.19730272499999998</v>
      </c>
      <c r="L170">
        <v>0.58091286307053935</v>
      </c>
    </row>
    <row r="171" spans="1:14" x14ac:dyDescent="0.2">
      <c r="A171">
        <v>488377</v>
      </c>
      <c r="B171">
        <v>100</v>
      </c>
      <c r="C171">
        <v>8</v>
      </c>
      <c r="D171">
        <v>6</v>
      </c>
      <c r="E171">
        <v>3.45</v>
      </c>
      <c r="F171">
        <v>6</v>
      </c>
      <c r="G171">
        <v>3.45</v>
      </c>
      <c r="H171">
        <v>3.8630000000000001E-3</v>
      </c>
      <c r="I171">
        <v>0.17607067322834646</v>
      </c>
      <c r="J171">
        <v>0.12646017177165356</v>
      </c>
      <c r="K171">
        <v>0.30253084500000005</v>
      </c>
      <c r="L171">
        <v>1.3923013923013923</v>
      </c>
      <c r="M171">
        <v>0.18124922244094488</v>
      </c>
      <c r="N171">
        <v>0.11689711755905516</v>
      </c>
    </row>
    <row r="172" spans="1:14" x14ac:dyDescent="0.2">
      <c r="B172">
        <v>100</v>
      </c>
      <c r="C172">
        <v>8</v>
      </c>
      <c r="D172">
        <v>6.05</v>
      </c>
      <c r="E172">
        <v>3.35</v>
      </c>
      <c r="F172">
        <v>6.05</v>
      </c>
      <c r="G172">
        <v>3.35</v>
      </c>
      <c r="H172">
        <v>3.8630000000000001E-3</v>
      </c>
      <c r="I172">
        <v>0.18642777165354332</v>
      </c>
      <c r="J172">
        <v>0.10733406334645677</v>
      </c>
      <c r="K172">
        <v>0.29376183500000008</v>
      </c>
      <c r="L172">
        <v>1.7368928916050166</v>
      </c>
    </row>
    <row r="173" spans="1:14" x14ac:dyDescent="0.2">
      <c r="A173">
        <v>488378</v>
      </c>
      <c r="B173">
        <v>100</v>
      </c>
      <c r="C173">
        <v>7</v>
      </c>
      <c r="D173">
        <v>5.65</v>
      </c>
      <c r="E173">
        <v>2.85</v>
      </c>
      <c r="F173">
        <v>5.65</v>
      </c>
      <c r="G173">
        <v>2.85</v>
      </c>
      <c r="H173">
        <v>9.7450000000000002E-3</v>
      </c>
      <c r="I173">
        <v>0.48771039370078745</v>
      </c>
      <c r="J173">
        <v>0.14274238129921263</v>
      </c>
      <c r="K173">
        <v>0.63045277500000008</v>
      </c>
      <c r="L173">
        <v>3.4167175106772416</v>
      </c>
      <c r="M173">
        <v>0.49206495078740164</v>
      </c>
      <c r="N173">
        <v>0.14391811171259844</v>
      </c>
    </row>
    <row r="174" spans="1:14" x14ac:dyDescent="0.2">
      <c r="B174">
        <v>100</v>
      </c>
      <c r="C174">
        <v>7</v>
      </c>
      <c r="D174">
        <v>5.75</v>
      </c>
      <c r="E174">
        <v>2.9</v>
      </c>
      <c r="F174">
        <v>5.75</v>
      </c>
      <c r="G174">
        <v>2.9</v>
      </c>
      <c r="H174">
        <v>9.7450000000000002E-3</v>
      </c>
      <c r="I174">
        <v>0.49641950787401579</v>
      </c>
      <c r="J174">
        <v>0.14509384212598422</v>
      </c>
      <c r="K174">
        <v>0.64151334999999998</v>
      </c>
      <c r="L174">
        <v>3.4213685474189686</v>
      </c>
    </row>
    <row r="175" spans="1:14" x14ac:dyDescent="0.2">
      <c r="A175">
        <v>488379</v>
      </c>
      <c r="B175">
        <v>100</v>
      </c>
      <c r="C175">
        <v>6</v>
      </c>
      <c r="D175">
        <v>3.95</v>
      </c>
      <c r="E175">
        <v>1.8</v>
      </c>
      <c r="F175">
        <v>3.95</v>
      </c>
      <c r="G175">
        <v>1.8</v>
      </c>
      <c r="H175">
        <v>3.5767E-2</v>
      </c>
      <c r="I175">
        <v>1.374494830708662</v>
      </c>
      <c r="J175">
        <v>8.6944789291338698E-2</v>
      </c>
      <c r="K175">
        <v>1.4614396200000006</v>
      </c>
      <c r="L175">
        <v>15.80882352941175</v>
      </c>
      <c r="M175">
        <v>1.3425298346456696</v>
      </c>
      <c r="N175">
        <v>0.13920755785433087</v>
      </c>
    </row>
    <row r="176" spans="1:14" x14ac:dyDescent="0.2">
      <c r="B176">
        <v>100</v>
      </c>
      <c r="C176">
        <v>6</v>
      </c>
      <c r="D176">
        <v>3.9</v>
      </c>
      <c r="E176">
        <v>1.85</v>
      </c>
      <c r="F176">
        <v>3.9</v>
      </c>
      <c r="G176">
        <v>1.85</v>
      </c>
      <c r="H176">
        <v>3.5767E-2</v>
      </c>
      <c r="I176">
        <v>1.3105648385826771</v>
      </c>
      <c r="J176">
        <v>0.19147032641732306</v>
      </c>
      <c r="K176">
        <v>1.5020351650000001</v>
      </c>
      <c r="L176">
        <v>6.8447412353923127</v>
      </c>
    </row>
    <row r="177" spans="1:14" x14ac:dyDescent="0.2">
      <c r="A177">
        <v>488380</v>
      </c>
      <c r="B177">
        <v>100</v>
      </c>
      <c r="C177">
        <v>6</v>
      </c>
      <c r="D177">
        <v>4.0999999999999996</v>
      </c>
      <c r="E177">
        <v>1.95</v>
      </c>
      <c r="F177">
        <v>4.0999999999999996</v>
      </c>
      <c r="G177">
        <v>1.95</v>
      </c>
      <c r="H177">
        <v>3.5767E-2</v>
      </c>
      <c r="I177">
        <v>1.3744948307086611</v>
      </c>
      <c r="J177">
        <v>0.20873142429133865</v>
      </c>
      <c r="K177">
        <v>1.5832262549999998</v>
      </c>
      <c r="L177">
        <v>6.5849923430321553</v>
      </c>
      <c r="M177">
        <v>1.4703898188976376</v>
      </c>
      <c r="N177">
        <v>0.23462307110236219</v>
      </c>
    </row>
    <row r="178" spans="1:14" x14ac:dyDescent="0.2">
      <c r="B178">
        <v>100</v>
      </c>
      <c r="C178">
        <v>6</v>
      </c>
      <c r="D178">
        <v>4.7</v>
      </c>
      <c r="E178">
        <v>2.25</v>
      </c>
      <c r="F178">
        <v>4.7</v>
      </c>
      <c r="G178">
        <v>2.25</v>
      </c>
      <c r="H178">
        <v>3.5767E-2</v>
      </c>
      <c r="I178">
        <v>1.5662848070866144</v>
      </c>
      <c r="J178">
        <v>0.26051471791338576</v>
      </c>
      <c r="K178">
        <v>1.8267995250000002</v>
      </c>
      <c r="L178">
        <v>6.0122699386503093</v>
      </c>
    </row>
    <row r="179" spans="1:14" x14ac:dyDescent="0.2">
      <c r="A179">
        <v>488381</v>
      </c>
      <c r="B179">
        <v>100</v>
      </c>
      <c r="C179">
        <v>6</v>
      </c>
      <c r="D179">
        <v>3.15</v>
      </c>
      <c r="E179">
        <v>1.5</v>
      </c>
      <c r="F179">
        <v>3.15</v>
      </c>
      <c r="G179">
        <v>1.5</v>
      </c>
      <c r="H179">
        <v>3.5767E-2</v>
      </c>
      <c r="I179">
        <v>1.0548448700787403</v>
      </c>
      <c r="J179">
        <v>0.16302147992125993</v>
      </c>
      <c r="K179">
        <v>1.2178663500000002</v>
      </c>
      <c r="L179">
        <v>6.4705882352941151</v>
      </c>
      <c r="M179">
        <v>1.0068973759842521</v>
      </c>
      <c r="N179">
        <v>0.21096897401574802</v>
      </c>
    </row>
    <row r="180" spans="1:14" x14ac:dyDescent="0.2">
      <c r="B180">
        <v>100</v>
      </c>
      <c r="C180">
        <v>6</v>
      </c>
      <c r="D180">
        <v>3</v>
      </c>
      <c r="E180">
        <v>1.5</v>
      </c>
      <c r="F180">
        <v>3</v>
      </c>
      <c r="G180">
        <v>1.5</v>
      </c>
      <c r="H180">
        <v>3.5767E-2</v>
      </c>
      <c r="I180">
        <v>0.95894988188976371</v>
      </c>
      <c r="J180">
        <v>0.25891646811023611</v>
      </c>
      <c r="K180">
        <v>1.2178663499999998</v>
      </c>
      <c r="L180">
        <v>3.7037037037037051</v>
      </c>
    </row>
    <row r="181" spans="1:14" x14ac:dyDescent="0.2">
      <c r="A181">
        <v>488382</v>
      </c>
      <c r="B181">
        <v>100</v>
      </c>
      <c r="C181">
        <v>6</v>
      </c>
      <c r="D181">
        <v>3.8</v>
      </c>
      <c r="E181">
        <v>1.8</v>
      </c>
      <c r="F181">
        <v>3.8</v>
      </c>
      <c r="G181">
        <v>1.8</v>
      </c>
      <c r="H181">
        <v>3.5767E-2</v>
      </c>
      <c r="I181">
        <v>1.2785998425196849</v>
      </c>
      <c r="J181">
        <v>0.1828397774803153</v>
      </c>
      <c r="K181">
        <v>1.4614396200000002</v>
      </c>
      <c r="L181">
        <v>6.99300699300698</v>
      </c>
      <c r="M181">
        <v>1.1667223562992126</v>
      </c>
      <c r="N181">
        <v>0.17293062870078763</v>
      </c>
    </row>
    <row r="182" spans="1:14" x14ac:dyDescent="0.2">
      <c r="B182">
        <v>100</v>
      </c>
      <c r="C182">
        <v>6</v>
      </c>
      <c r="D182">
        <v>3.15</v>
      </c>
      <c r="E182">
        <v>1.5</v>
      </c>
      <c r="F182">
        <v>3.15</v>
      </c>
      <c r="G182">
        <v>1.5</v>
      </c>
      <c r="H182">
        <v>3.5767E-2</v>
      </c>
      <c r="I182">
        <v>1.0548448700787403</v>
      </c>
      <c r="J182">
        <v>0.16302147992125993</v>
      </c>
      <c r="K182">
        <v>1.2178663500000002</v>
      </c>
      <c r="L182">
        <v>6.4705882352941151</v>
      </c>
    </row>
    <row r="183" spans="1:14" x14ac:dyDescent="0.2">
      <c r="A183">
        <v>488387</v>
      </c>
      <c r="B183">
        <v>100</v>
      </c>
      <c r="C183">
        <v>8</v>
      </c>
      <c r="D183">
        <v>5.9</v>
      </c>
      <c r="E183">
        <v>4.2</v>
      </c>
      <c r="F183">
        <v>5.9</v>
      </c>
      <c r="G183">
        <v>4.2</v>
      </c>
      <c r="H183">
        <v>3.8630000000000001E-3</v>
      </c>
      <c r="I183">
        <v>0.11738044881889766</v>
      </c>
      <c r="J183">
        <v>0.25091797118110237</v>
      </c>
      <c r="K183">
        <v>0.36829842000000002</v>
      </c>
      <c r="L183">
        <v>0.46780407264722074</v>
      </c>
      <c r="M183">
        <v>0.12601136417322836</v>
      </c>
      <c r="N183">
        <v>0.24667156082677166</v>
      </c>
    </row>
    <row r="184" spans="1:14" x14ac:dyDescent="0.2">
      <c r="B184">
        <v>100</v>
      </c>
      <c r="C184">
        <v>8</v>
      </c>
      <c r="D184">
        <v>6.25</v>
      </c>
      <c r="E184">
        <v>4.3</v>
      </c>
      <c r="F184">
        <v>6.25</v>
      </c>
      <c r="G184">
        <v>4.3</v>
      </c>
      <c r="H184">
        <v>3.8630000000000001E-3</v>
      </c>
      <c r="I184">
        <v>0.13464227952755908</v>
      </c>
      <c r="J184">
        <v>0.24242515047244098</v>
      </c>
      <c r="K184">
        <v>0.37706743000000009</v>
      </c>
      <c r="L184">
        <v>0.55539732270008546</v>
      </c>
    </row>
    <row r="185" spans="1:14" x14ac:dyDescent="0.2">
      <c r="A185">
        <v>488388</v>
      </c>
      <c r="B185">
        <v>100</v>
      </c>
      <c r="C185">
        <v>8</v>
      </c>
      <c r="D185">
        <v>3.95</v>
      </c>
      <c r="E185">
        <v>2.4500000000000002</v>
      </c>
      <c r="F185">
        <v>3.95</v>
      </c>
      <c r="G185">
        <v>2.4500000000000002</v>
      </c>
      <c r="H185">
        <v>3.8630000000000001E-3</v>
      </c>
      <c r="I185">
        <v>0.10357098425196851</v>
      </c>
      <c r="J185">
        <v>0.11126976074803155</v>
      </c>
      <c r="K185">
        <v>0.21484074500000006</v>
      </c>
      <c r="L185">
        <v>0.93080980452994067</v>
      </c>
      <c r="M185">
        <v>0.10357098425196851</v>
      </c>
      <c r="N185">
        <v>0.11126976074803155</v>
      </c>
    </row>
    <row r="186" spans="1:14" x14ac:dyDescent="0.2">
      <c r="B186">
        <v>100</v>
      </c>
      <c r="C186">
        <v>8</v>
      </c>
      <c r="D186">
        <v>3.95</v>
      </c>
      <c r="E186">
        <v>2.4500000000000002</v>
      </c>
      <c r="F186">
        <v>3.95</v>
      </c>
      <c r="G186">
        <v>2.4500000000000002</v>
      </c>
      <c r="H186">
        <v>3.8630000000000001E-3</v>
      </c>
      <c r="I186">
        <v>0.10357098425196851</v>
      </c>
      <c r="J186">
        <v>0.11126976074803155</v>
      </c>
      <c r="K186">
        <v>0.21484074500000006</v>
      </c>
      <c r="L186">
        <v>0.93080980452994067</v>
      </c>
    </row>
    <row r="187" spans="1:14" x14ac:dyDescent="0.2">
      <c r="A187">
        <v>488389</v>
      </c>
      <c r="B187">
        <v>100</v>
      </c>
      <c r="C187">
        <v>8</v>
      </c>
      <c r="D187">
        <v>6.3</v>
      </c>
      <c r="E187">
        <v>3.8</v>
      </c>
      <c r="F187">
        <v>6.3</v>
      </c>
      <c r="G187">
        <v>3.8</v>
      </c>
      <c r="H187">
        <v>3.8630000000000001E-3</v>
      </c>
      <c r="I187">
        <v>0.17261830708661419</v>
      </c>
      <c r="J187">
        <v>0.16060407291338588</v>
      </c>
      <c r="K187">
        <v>0.33322238000000004</v>
      </c>
      <c r="L187">
        <v>1.0748065348237315</v>
      </c>
      <c r="M187">
        <v>0.17607067322834646</v>
      </c>
      <c r="N187">
        <v>0.15495945427165364</v>
      </c>
    </row>
    <row r="188" spans="1:14" x14ac:dyDescent="0.2">
      <c r="B188">
        <v>100</v>
      </c>
      <c r="C188">
        <v>8</v>
      </c>
      <c r="D188">
        <v>6.35</v>
      </c>
      <c r="E188">
        <v>3.75</v>
      </c>
      <c r="F188">
        <v>6.35</v>
      </c>
      <c r="G188">
        <v>3.75</v>
      </c>
      <c r="H188">
        <v>3.8630000000000001E-3</v>
      </c>
      <c r="I188">
        <v>0.17952303937007874</v>
      </c>
      <c r="J188">
        <v>0.14931483562992137</v>
      </c>
      <c r="K188">
        <v>0.32883787500000011</v>
      </c>
      <c r="L188">
        <v>1.2023121387283229</v>
      </c>
    </row>
    <row r="189" spans="1:14" x14ac:dyDescent="0.2">
      <c r="A189">
        <v>488390</v>
      </c>
      <c r="B189">
        <v>100</v>
      </c>
      <c r="C189">
        <v>8</v>
      </c>
      <c r="D189">
        <v>6.45</v>
      </c>
      <c r="E189">
        <v>3.75</v>
      </c>
      <c r="F189">
        <v>6.45</v>
      </c>
      <c r="G189">
        <v>3.75</v>
      </c>
      <c r="H189">
        <v>3.8630000000000001E-3</v>
      </c>
      <c r="I189">
        <v>0.18642777165354335</v>
      </c>
      <c r="J189">
        <v>0.14241010334645673</v>
      </c>
      <c r="K189">
        <v>0.32883787500000006</v>
      </c>
      <c r="L189">
        <v>1.3090909090909091</v>
      </c>
      <c r="M189">
        <v>0.19851105314960632</v>
      </c>
      <c r="N189">
        <v>0.14786484185039378</v>
      </c>
    </row>
    <row r="190" spans="1:14" x14ac:dyDescent="0.2">
      <c r="B190">
        <v>100</v>
      </c>
      <c r="C190">
        <v>8</v>
      </c>
      <c r="D190">
        <v>7.2</v>
      </c>
      <c r="E190">
        <v>4.1500000000000004</v>
      </c>
      <c r="F190">
        <v>7.2</v>
      </c>
      <c r="G190">
        <v>4.1500000000000004</v>
      </c>
      <c r="H190">
        <v>3.8630000000000001E-3</v>
      </c>
      <c r="I190">
        <v>0.21059433464566929</v>
      </c>
      <c r="J190">
        <v>0.1533195803543308</v>
      </c>
      <c r="K190">
        <v>0.36391391500000009</v>
      </c>
      <c r="L190">
        <v>1.3735645124971845</v>
      </c>
    </row>
    <row r="191" spans="1:14" x14ac:dyDescent="0.2">
      <c r="A191">
        <v>488391</v>
      </c>
      <c r="B191">
        <v>100</v>
      </c>
      <c r="C191">
        <v>7</v>
      </c>
      <c r="D191">
        <v>5.25</v>
      </c>
      <c r="E191">
        <v>2.95</v>
      </c>
      <c r="F191">
        <v>5.25</v>
      </c>
      <c r="G191">
        <v>2.95</v>
      </c>
      <c r="H191">
        <v>9.7450000000000002E-3</v>
      </c>
      <c r="I191">
        <v>0.40061925196850395</v>
      </c>
      <c r="J191">
        <v>0.25195467303149621</v>
      </c>
      <c r="K191">
        <v>0.65257392500000022</v>
      </c>
      <c r="L191">
        <v>1.5900449360525397</v>
      </c>
      <c r="M191">
        <v>0.39191013779527561</v>
      </c>
      <c r="N191">
        <v>0.23301234970472451</v>
      </c>
    </row>
    <row r="192" spans="1:14" x14ac:dyDescent="0.2">
      <c r="B192">
        <v>100</v>
      </c>
      <c r="C192">
        <v>7</v>
      </c>
      <c r="D192">
        <v>4.9000000000000004</v>
      </c>
      <c r="E192">
        <v>2.7</v>
      </c>
      <c r="F192">
        <v>4.9000000000000004</v>
      </c>
      <c r="G192">
        <v>2.7</v>
      </c>
      <c r="H192">
        <v>9.7450000000000002E-3</v>
      </c>
      <c r="I192">
        <v>0.38320102362204733</v>
      </c>
      <c r="J192">
        <v>0.2140700263779528</v>
      </c>
      <c r="K192">
        <v>0.59727105000000014</v>
      </c>
      <c r="L192">
        <v>1.790073230268511</v>
      </c>
    </row>
    <row r="193" spans="1:14" x14ac:dyDescent="0.2">
      <c r="A193">
        <v>488392</v>
      </c>
      <c r="B193">
        <v>100</v>
      </c>
      <c r="C193">
        <v>7</v>
      </c>
      <c r="D193">
        <v>7.55</v>
      </c>
      <c r="E193">
        <v>4</v>
      </c>
      <c r="F193">
        <v>7.55</v>
      </c>
      <c r="G193">
        <v>4</v>
      </c>
      <c r="H193">
        <v>9.7450000000000002E-3</v>
      </c>
      <c r="I193">
        <v>0.61834710629921263</v>
      </c>
      <c r="J193">
        <v>0.26649889370078755</v>
      </c>
      <c r="K193">
        <v>0.88484600000000024</v>
      </c>
      <c r="L193">
        <v>2.3202614379084956</v>
      </c>
      <c r="M193">
        <v>0.61399254921259838</v>
      </c>
      <c r="N193">
        <v>0.25426258828740167</v>
      </c>
    </row>
    <row r="194" spans="1:14" x14ac:dyDescent="0.2">
      <c r="B194">
        <v>100</v>
      </c>
      <c r="C194">
        <v>7</v>
      </c>
      <c r="D194">
        <v>7.35</v>
      </c>
      <c r="E194">
        <v>3.85</v>
      </c>
      <c r="F194">
        <v>7.35</v>
      </c>
      <c r="G194">
        <v>3.85</v>
      </c>
      <c r="H194">
        <v>9.7450000000000002E-3</v>
      </c>
      <c r="I194">
        <v>0.60963799212598424</v>
      </c>
      <c r="J194">
        <v>0.24202628287401573</v>
      </c>
      <c r="K194">
        <v>0.85166427499999997</v>
      </c>
      <c r="L194">
        <v>2.518891687657431</v>
      </c>
    </row>
    <row r="195" spans="1:14" x14ac:dyDescent="0.2">
      <c r="A195">
        <v>488393</v>
      </c>
      <c r="B195">
        <v>100</v>
      </c>
      <c r="C195">
        <v>6</v>
      </c>
      <c r="D195">
        <v>2.85</v>
      </c>
      <c r="E195">
        <v>1.45</v>
      </c>
      <c r="F195">
        <v>2.85</v>
      </c>
      <c r="G195">
        <v>1.45</v>
      </c>
      <c r="H195">
        <v>3.5767E-2</v>
      </c>
      <c r="I195">
        <v>0.89501988976377977</v>
      </c>
      <c r="J195">
        <v>0.28225091523622037</v>
      </c>
      <c r="K195">
        <v>1.177270805</v>
      </c>
      <c r="L195">
        <v>3.1710079275198209</v>
      </c>
      <c r="M195">
        <v>0.89501988976377966</v>
      </c>
      <c r="N195">
        <v>0.26195314273622045</v>
      </c>
    </row>
    <row r="196" spans="1:14" x14ac:dyDescent="0.2">
      <c r="B196">
        <v>100</v>
      </c>
      <c r="C196">
        <v>6</v>
      </c>
      <c r="D196">
        <v>2.8</v>
      </c>
      <c r="E196">
        <v>1.4</v>
      </c>
      <c r="F196">
        <v>2.8</v>
      </c>
      <c r="G196">
        <v>1.4</v>
      </c>
      <c r="H196">
        <v>3.5767E-2</v>
      </c>
      <c r="I196">
        <v>0.89501988976377955</v>
      </c>
      <c r="J196">
        <v>0.24165537023622055</v>
      </c>
      <c r="K196">
        <v>1.1366752600000001</v>
      </c>
      <c r="L196">
        <v>3.7037037037037024</v>
      </c>
    </row>
    <row r="197" spans="1:14" x14ac:dyDescent="0.2">
      <c r="A197">
        <v>488394</v>
      </c>
      <c r="B197">
        <v>100</v>
      </c>
      <c r="C197">
        <v>6</v>
      </c>
      <c r="D197">
        <v>2.75</v>
      </c>
      <c r="E197">
        <v>1.35</v>
      </c>
      <c r="F197">
        <v>2.75</v>
      </c>
      <c r="G197">
        <v>1.35</v>
      </c>
      <c r="H197">
        <v>3.5767E-2</v>
      </c>
      <c r="I197">
        <v>0.89501988976377955</v>
      </c>
      <c r="J197">
        <v>0.20105982523622071</v>
      </c>
      <c r="K197">
        <v>1.0960797150000003</v>
      </c>
      <c r="L197">
        <v>4.4515103338632702</v>
      </c>
      <c r="M197">
        <v>0.76715990551181101</v>
      </c>
      <c r="N197">
        <v>0.20713317448818913</v>
      </c>
    </row>
    <row r="198" spans="1:14" x14ac:dyDescent="0.2">
      <c r="B198">
        <v>100</v>
      </c>
      <c r="C198">
        <v>6</v>
      </c>
      <c r="D198">
        <v>2.0499999999999998</v>
      </c>
      <c r="E198">
        <v>1.05</v>
      </c>
      <c r="F198">
        <v>2.0499999999999998</v>
      </c>
      <c r="G198">
        <v>1.05</v>
      </c>
      <c r="H198">
        <v>3.5767E-2</v>
      </c>
      <c r="I198">
        <v>0.63929992125984247</v>
      </c>
      <c r="J198">
        <v>0.21320652374015758</v>
      </c>
      <c r="K198">
        <v>0.85250644500000006</v>
      </c>
      <c r="L198">
        <v>2.9985007496251859</v>
      </c>
    </row>
    <row r="199" spans="1:14" x14ac:dyDescent="0.2">
      <c r="A199">
        <v>488400</v>
      </c>
      <c r="B199">
        <v>100</v>
      </c>
      <c r="C199">
        <v>8</v>
      </c>
      <c r="D199">
        <v>2.1</v>
      </c>
      <c r="E199">
        <v>1.6</v>
      </c>
      <c r="F199">
        <v>2.1</v>
      </c>
      <c r="G199">
        <v>1.6</v>
      </c>
      <c r="H199">
        <v>3.8630000000000001E-3</v>
      </c>
      <c r="I199">
        <v>3.452366141732284E-2</v>
      </c>
      <c r="J199">
        <v>0.10578049858267718</v>
      </c>
      <c r="K199">
        <v>0.14030416000000001</v>
      </c>
      <c r="L199">
        <v>0.32637075718015662</v>
      </c>
      <c r="M199">
        <v>3.4523661417322826E-2</v>
      </c>
      <c r="N199">
        <v>0.10358824608267719</v>
      </c>
    </row>
    <row r="200" spans="1:14" x14ac:dyDescent="0.2">
      <c r="B200">
        <v>100</v>
      </c>
      <c r="C200">
        <v>8</v>
      </c>
      <c r="D200">
        <v>2.0499999999999998</v>
      </c>
      <c r="E200">
        <v>1.55</v>
      </c>
      <c r="F200">
        <v>2.0499999999999998</v>
      </c>
      <c r="G200">
        <v>1.55</v>
      </c>
      <c r="H200">
        <v>3.8630000000000001E-3</v>
      </c>
      <c r="I200">
        <v>3.4523661417322819E-2</v>
      </c>
      <c r="J200">
        <v>0.10139599358267719</v>
      </c>
      <c r="K200">
        <v>0.135919655</v>
      </c>
      <c r="L200">
        <v>0.34048348655090205</v>
      </c>
    </row>
    <row r="201" spans="1:14" x14ac:dyDescent="0.2">
      <c r="A201">
        <v>488401</v>
      </c>
      <c r="B201">
        <v>100</v>
      </c>
      <c r="C201">
        <v>8</v>
      </c>
      <c r="D201">
        <v>2.35</v>
      </c>
      <c r="E201">
        <v>1.65</v>
      </c>
      <c r="F201">
        <v>2.35</v>
      </c>
      <c r="G201">
        <v>1.65</v>
      </c>
      <c r="H201">
        <v>3.8630000000000001E-3</v>
      </c>
      <c r="I201">
        <v>4.8333125984251983E-2</v>
      </c>
      <c r="J201">
        <v>9.6355539015748046E-2</v>
      </c>
      <c r="K201">
        <v>0.14468866500000002</v>
      </c>
      <c r="L201">
        <v>0.50161232533142253</v>
      </c>
      <c r="M201">
        <v>5.3511675196850392E-2</v>
      </c>
      <c r="N201">
        <v>0.10433050480314962</v>
      </c>
    </row>
    <row r="202" spans="1:14" x14ac:dyDescent="0.2">
      <c r="B202">
        <v>100</v>
      </c>
      <c r="C202">
        <v>8</v>
      </c>
      <c r="D202">
        <v>2.8</v>
      </c>
      <c r="E202">
        <v>1.95</v>
      </c>
      <c r="F202">
        <v>2.8</v>
      </c>
      <c r="G202">
        <v>1.95</v>
      </c>
      <c r="H202">
        <v>3.8630000000000001E-3</v>
      </c>
      <c r="I202">
        <v>5.8690224409448807E-2</v>
      </c>
      <c r="J202">
        <v>0.1123054705905512</v>
      </c>
      <c r="K202">
        <v>0.170995695</v>
      </c>
      <c r="L202">
        <v>0.52259452812788176</v>
      </c>
    </row>
    <row r="203" spans="1:14" x14ac:dyDescent="0.2">
      <c r="A203">
        <v>488402</v>
      </c>
      <c r="B203">
        <v>100</v>
      </c>
      <c r="C203">
        <v>8</v>
      </c>
      <c r="D203">
        <v>3.1</v>
      </c>
      <c r="E203">
        <v>2.15</v>
      </c>
      <c r="F203">
        <v>3.1</v>
      </c>
      <c r="G203">
        <v>2.15</v>
      </c>
      <c r="H203">
        <v>3.8630000000000001E-3</v>
      </c>
      <c r="I203">
        <v>6.5594956692913403E-2</v>
      </c>
      <c r="J203">
        <v>0.12293875830708662</v>
      </c>
      <c r="K203">
        <v>0.18853371500000002</v>
      </c>
      <c r="L203">
        <v>0.53355798932884035</v>
      </c>
      <c r="M203">
        <v>6.0416407480314974E-2</v>
      </c>
      <c r="N203">
        <v>0.11934829751968504</v>
      </c>
    </row>
    <row r="204" spans="1:14" x14ac:dyDescent="0.2">
      <c r="B204">
        <v>100</v>
      </c>
      <c r="C204">
        <v>8</v>
      </c>
      <c r="D204">
        <v>2.75</v>
      </c>
      <c r="E204">
        <v>1.95</v>
      </c>
      <c r="F204">
        <v>2.75</v>
      </c>
      <c r="G204">
        <v>1.95</v>
      </c>
      <c r="H204">
        <v>3.8630000000000001E-3</v>
      </c>
      <c r="I204">
        <v>5.5237858267716537E-2</v>
      </c>
      <c r="J204">
        <v>0.11575783673228346</v>
      </c>
      <c r="K204">
        <v>0.170995695</v>
      </c>
      <c r="L204">
        <v>0.47718461079630187</v>
      </c>
    </row>
    <row r="205" spans="1:14" x14ac:dyDescent="0.2">
      <c r="A205">
        <v>488403</v>
      </c>
      <c r="B205">
        <v>100</v>
      </c>
      <c r="C205">
        <v>8</v>
      </c>
      <c r="D205">
        <v>4.0999999999999996</v>
      </c>
      <c r="E205">
        <v>2.7</v>
      </c>
      <c r="F205">
        <v>4.0999999999999996</v>
      </c>
      <c r="G205">
        <v>2.7</v>
      </c>
      <c r="H205">
        <v>3.8630000000000001E-3</v>
      </c>
      <c r="I205">
        <v>9.6666251968503897E-2</v>
      </c>
      <c r="J205">
        <v>0.1400970180314961</v>
      </c>
      <c r="K205">
        <v>0.23676327</v>
      </c>
      <c r="L205">
        <v>0.68999507146377481</v>
      </c>
      <c r="M205">
        <v>0.10529716732283464</v>
      </c>
      <c r="N205">
        <v>0.14681187017716535</v>
      </c>
    </row>
    <row r="206" spans="1:14" x14ac:dyDescent="0.2">
      <c r="B206">
        <v>100</v>
      </c>
      <c r="C206">
        <v>8</v>
      </c>
      <c r="D206">
        <v>4.7</v>
      </c>
      <c r="E206">
        <v>3.05</v>
      </c>
      <c r="F206">
        <v>4.7</v>
      </c>
      <c r="G206">
        <v>3.05</v>
      </c>
      <c r="H206">
        <v>3.8630000000000001E-3</v>
      </c>
      <c r="I206">
        <v>0.11392808267716539</v>
      </c>
      <c r="J206">
        <v>0.1535267223228346</v>
      </c>
      <c r="K206">
        <v>0.26745480499999996</v>
      </c>
      <c r="L206">
        <v>0.74207330784798786</v>
      </c>
    </row>
    <row r="207" spans="1:14" x14ac:dyDescent="0.2">
      <c r="A207">
        <v>488404</v>
      </c>
      <c r="B207">
        <v>100</v>
      </c>
      <c r="C207">
        <v>8</v>
      </c>
      <c r="D207">
        <v>5.55</v>
      </c>
      <c r="E207">
        <v>3.45</v>
      </c>
      <c r="F207">
        <v>5.55</v>
      </c>
      <c r="G207">
        <v>3.45</v>
      </c>
      <c r="H207">
        <v>3.8630000000000001E-3</v>
      </c>
      <c r="I207">
        <v>0.14499937795275589</v>
      </c>
      <c r="J207">
        <v>0.15753146704724413</v>
      </c>
      <c r="K207">
        <v>0.30253084500000005</v>
      </c>
      <c r="L207">
        <v>0.92044707429322781</v>
      </c>
      <c r="M207">
        <v>0.15535647637795272</v>
      </c>
      <c r="N207">
        <v>0.1471743686220473</v>
      </c>
    </row>
    <row r="208" spans="1:14" x14ac:dyDescent="0.2">
      <c r="B208">
        <v>100</v>
      </c>
      <c r="C208">
        <v>8</v>
      </c>
      <c r="D208">
        <v>5.85</v>
      </c>
      <c r="E208">
        <v>3.45</v>
      </c>
      <c r="F208">
        <v>5.85</v>
      </c>
      <c r="G208">
        <v>3.45</v>
      </c>
      <c r="H208">
        <v>3.8630000000000001E-3</v>
      </c>
      <c r="I208">
        <v>0.16571357480314955</v>
      </c>
      <c r="J208">
        <v>0.13681727019685047</v>
      </c>
      <c r="K208">
        <v>0.30253084500000005</v>
      </c>
      <c r="L208">
        <v>1.2112036336108998</v>
      </c>
    </row>
    <row r="209" spans="1:14" x14ac:dyDescent="0.2">
      <c r="A209">
        <v>488405</v>
      </c>
      <c r="B209">
        <v>100</v>
      </c>
      <c r="C209">
        <v>6</v>
      </c>
      <c r="D209">
        <v>2.2000000000000002</v>
      </c>
      <c r="E209">
        <v>1.1000000000000001</v>
      </c>
      <c r="F209">
        <v>2.2000000000000002</v>
      </c>
      <c r="G209">
        <v>1.1000000000000001</v>
      </c>
      <c r="H209">
        <v>3.5767E-2</v>
      </c>
      <c r="I209">
        <v>0.70322991338582697</v>
      </c>
      <c r="J209">
        <v>0.18987207661417327</v>
      </c>
      <c r="K209">
        <v>0.89310199000000023</v>
      </c>
      <c r="L209">
        <v>3.7037037037037037</v>
      </c>
      <c r="M209">
        <v>0.65207939566929141</v>
      </c>
      <c r="N209">
        <v>0.17606143683070866</v>
      </c>
    </row>
    <row r="210" spans="1:14" x14ac:dyDescent="0.2">
      <c r="B210">
        <v>100</v>
      </c>
      <c r="C210">
        <v>7</v>
      </c>
      <c r="D210">
        <v>6.9</v>
      </c>
      <c r="E210">
        <v>3.45</v>
      </c>
      <c r="F210">
        <v>6.9</v>
      </c>
      <c r="G210">
        <v>3.45</v>
      </c>
      <c r="H210">
        <v>9.7450000000000002E-3</v>
      </c>
      <c r="I210">
        <v>0.60092887795275596</v>
      </c>
      <c r="J210">
        <v>0.16225079704724404</v>
      </c>
      <c r="K210">
        <v>0.76317967499999995</v>
      </c>
      <c r="L210">
        <v>3.7037037037037051</v>
      </c>
    </row>
    <row r="211" spans="1:14" x14ac:dyDescent="0.2">
      <c r="A211">
        <v>488406</v>
      </c>
      <c r="B211">
        <v>100</v>
      </c>
      <c r="C211">
        <v>6</v>
      </c>
      <c r="D211">
        <v>3</v>
      </c>
      <c r="E211">
        <v>1.5</v>
      </c>
      <c r="F211">
        <v>3</v>
      </c>
      <c r="G211">
        <v>1.5</v>
      </c>
      <c r="H211">
        <v>3.5767E-2</v>
      </c>
      <c r="I211">
        <v>0.95894988188976371</v>
      </c>
      <c r="J211">
        <v>0.25891646811023611</v>
      </c>
      <c r="K211">
        <v>1.2178663499999998</v>
      </c>
      <c r="L211">
        <v>3.7037037037037051</v>
      </c>
      <c r="M211">
        <v>1.0068973759842521</v>
      </c>
      <c r="N211">
        <v>0.23126674651574794</v>
      </c>
    </row>
    <row r="212" spans="1:14" x14ac:dyDescent="0.2">
      <c r="B212">
        <v>100</v>
      </c>
      <c r="C212">
        <v>6</v>
      </c>
      <c r="D212">
        <v>3.2</v>
      </c>
      <c r="E212">
        <v>1.55</v>
      </c>
      <c r="F212">
        <v>3.2</v>
      </c>
      <c r="G212">
        <v>1.55</v>
      </c>
      <c r="H212">
        <v>3.5767E-2</v>
      </c>
      <c r="I212">
        <v>1.0548448700787403</v>
      </c>
      <c r="J212">
        <v>0.20361702492125977</v>
      </c>
      <c r="K212">
        <v>1.2584618949999999</v>
      </c>
      <c r="L212">
        <v>5.1805337519623258</v>
      </c>
    </row>
    <row r="213" spans="1:14" x14ac:dyDescent="0.2">
      <c r="A213">
        <v>488407</v>
      </c>
      <c r="B213">
        <v>100</v>
      </c>
      <c r="C213">
        <v>6</v>
      </c>
      <c r="D213">
        <v>2.5</v>
      </c>
      <c r="E213">
        <v>1.25</v>
      </c>
      <c r="F213">
        <v>2.5</v>
      </c>
      <c r="G213">
        <v>1.25</v>
      </c>
      <c r="H213">
        <v>3.5767E-2</v>
      </c>
      <c r="I213">
        <v>0.7991249015748032</v>
      </c>
      <c r="J213">
        <v>0.21576372342519701</v>
      </c>
      <c r="K213">
        <v>1.0148886250000002</v>
      </c>
      <c r="L213">
        <v>3.7037037037037011</v>
      </c>
      <c r="M213">
        <v>0.81510739960629919</v>
      </c>
      <c r="N213">
        <v>0.22007899789370083</v>
      </c>
    </row>
    <row r="214" spans="1:14" x14ac:dyDescent="0.2">
      <c r="B214">
        <v>100</v>
      </c>
      <c r="C214">
        <v>6</v>
      </c>
      <c r="D214">
        <v>2.6</v>
      </c>
      <c r="E214">
        <v>1.3</v>
      </c>
      <c r="F214">
        <v>2.6</v>
      </c>
      <c r="G214">
        <v>1.3</v>
      </c>
      <c r="H214">
        <v>3.5767E-2</v>
      </c>
      <c r="I214">
        <v>0.83108989763779528</v>
      </c>
      <c r="J214">
        <v>0.22439427236220463</v>
      </c>
      <c r="K214">
        <v>1.0554841699999999</v>
      </c>
      <c r="L214">
        <v>3.7037037037037051</v>
      </c>
    </row>
    <row r="215" spans="1:14" x14ac:dyDescent="0.2">
      <c r="A215">
        <v>488408</v>
      </c>
      <c r="B215">
        <v>100</v>
      </c>
      <c r="C215">
        <v>6</v>
      </c>
      <c r="D215">
        <v>2.4</v>
      </c>
      <c r="E215">
        <v>1.1499999999999999</v>
      </c>
      <c r="F215">
        <v>2.4</v>
      </c>
      <c r="G215">
        <v>1.1499999999999999</v>
      </c>
      <c r="H215">
        <v>3.5767E-2</v>
      </c>
      <c r="I215">
        <v>0.7991249015748032</v>
      </c>
      <c r="J215">
        <v>0.13457263342519676</v>
      </c>
      <c r="K215">
        <v>0.93369753499999997</v>
      </c>
      <c r="L215">
        <v>5.9382422802850394</v>
      </c>
      <c r="M215">
        <v>0.92698488582677174</v>
      </c>
      <c r="N215">
        <v>-1.3585123326771531E-2</v>
      </c>
    </row>
    <row r="216" spans="1:14" x14ac:dyDescent="0.2">
      <c r="B216">
        <v>100</v>
      </c>
      <c r="C216">
        <v>6</v>
      </c>
      <c r="D216">
        <v>2.75</v>
      </c>
      <c r="E216">
        <v>1.1000000000000001</v>
      </c>
      <c r="F216">
        <v>2.75</v>
      </c>
      <c r="G216">
        <v>1.1000000000000001</v>
      </c>
      <c r="H216">
        <v>3.5767E-2</v>
      </c>
      <c r="I216">
        <v>1.0548448700787403</v>
      </c>
      <c r="J216">
        <v>-0.16174288007873983</v>
      </c>
      <c r="K216">
        <v>0.89310199000000046</v>
      </c>
      <c r="L216">
        <v>-6.5217391304347965</v>
      </c>
    </row>
    <row r="217" spans="1:14" x14ac:dyDescent="0.2">
      <c r="A217">
        <v>488422</v>
      </c>
      <c r="B217">
        <v>100</v>
      </c>
      <c r="C217">
        <v>8</v>
      </c>
      <c r="D217">
        <v>4.3</v>
      </c>
      <c r="E217">
        <v>2.85</v>
      </c>
      <c r="F217">
        <v>4.3</v>
      </c>
      <c r="G217">
        <v>2.85</v>
      </c>
      <c r="H217">
        <v>3.8630000000000001E-3</v>
      </c>
      <c r="I217">
        <v>0.1001186181102362</v>
      </c>
      <c r="J217">
        <v>0.14979816688976383</v>
      </c>
      <c r="K217">
        <v>0.24991678500000003</v>
      </c>
      <c r="L217">
        <v>0.66835676423138934</v>
      </c>
      <c r="M217">
        <v>8.4582970472440941E-2</v>
      </c>
      <c r="N217">
        <v>0.14998804702755911</v>
      </c>
    </row>
    <row r="218" spans="1:14" x14ac:dyDescent="0.2">
      <c r="B218">
        <v>100</v>
      </c>
      <c r="C218">
        <v>8</v>
      </c>
      <c r="D218">
        <v>3.5</v>
      </c>
      <c r="E218">
        <v>2.5</v>
      </c>
      <c r="F218">
        <v>3.5</v>
      </c>
      <c r="G218">
        <v>2.5</v>
      </c>
      <c r="H218">
        <v>3.8630000000000001E-3</v>
      </c>
      <c r="I218">
        <v>6.904732283464568E-2</v>
      </c>
      <c r="J218">
        <v>0.15017792716535439</v>
      </c>
      <c r="K218">
        <v>0.21922525000000007</v>
      </c>
      <c r="L218">
        <v>0.45977011494252862</v>
      </c>
    </row>
    <row r="219" spans="1:14" x14ac:dyDescent="0.2">
      <c r="A219">
        <v>488423</v>
      </c>
      <c r="B219">
        <v>100</v>
      </c>
      <c r="C219">
        <v>8</v>
      </c>
      <c r="D219">
        <v>3.4</v>
      </c>
      <c r="E219">
        <v>2.4500000000000002</v>
      </c>
      <c r="F219">
        <v>3.4</v>
      </c>
      <c r="G219">
        <v>2.4500000000000002</v>
      </c>
      <c r="H219">
        <v>3.8630000000000001E-3</v>
      </c>
      <c r="I219">
        <v>6.5594956692913375E-2</v>
      </c>
      <c r="J219">
        <v>0.14924578830708668</v>
      </c>
      <c r="K219">
        <v>0.21484074500000006</v>
      </c>
      <c r="L219">
        <v>0.43950959981494309</v>
      </c>
      <c r="M219">
        <v>6.7321139763779528E-2</v>
      </c>
      <c r="N219">
        <v>0.14532735273622049</v>
      </c>
    </row>
    <row r="220" spans="1:14" x14ac:dyDescent="0.2">
      <c r="B220">
        <v>100</v>
      </c>
      <c r="C220">
        <v>8</v>
      </c>
      <c r="D220">
        <v>3.4</v>
      </c>
      <c r="E220">
        <v>2.4</v>
      </c>
      <c r="F220">
        <v>3.4</v>
      </c>
      <c r="G220">
        <v>2.4</v>
      </c>
      <c r="H220">
        <v>3.8630000000000001E-3</v>
      </c>
      <c r="I220">
        <v>6.904732283464568E-2</v>
      </c>
      <c r="J220">
        <v>0.14140891716535434</v>
      </c>
      <c r="K220">
        <v>0.21045624000000002</v>
      </c>
      <c r="L220">
        <v>0.48828125000000006</v>
      </c>
    </row>
    <row r="221" spans="1:14" x14ac:dyDescent="0.2">
      <c r="A221">
        <v>488424</v>
      </c>
      <c r="B221">
        <v>100</v>
      </c>
      <c r="C221">
        <v>8</v>
      </c>
      <c r="D221">
        <v>3.85</v>
      </c>
      <c r="E221">
        <v>2.7</v>
      </c>
      <c r="F221">
        <v>3.85</v>
      </c>
      <c r="G221">
        <v>2.7</v>
      </c>
      <c r="H221">
        <v>3.8630000000000001E-3</v>
      </c>
      <c r="I221">
        <v>7.9404421259842511E-2</v>
      </c>
      <c r="J221">
        <v>0.15735884874015749</v>
      </c>
      <c r="K221">
        <v>0.23676327</v>
      </c>
      <c r="L221">
        <v>0.50460728389644571</v>
      </c>
      <c r="M221">
        <v>7.9404421259842511E-2</v>
      </c>
      <c r="N221">
        <v>0.15735884874015749</v>
      </c>
    </row>
    <row r="222" spans="1:14" x14ac:dyDescent="0.2">
      <c r="B222">
        <v>100</v>
      </c>
      <c r="C222">
        <v>8</v>
      </c>
      <c r="D222">
        <v>3.85</v>
      </c>
      <c r="E222">
        <v>2.7</v>
      </c>
      <c r="F222">
        <v>3.85</v>
      </c>
      <c r="G222">
        <v>2.7</v>
      </c>
      <c r="H222">
        <v>3.8630000000000001E-3</v>
      </c>
      <c r="I222">
        <v>7.9404421259842511E-2</v>
      </c>
      <c r="J222">
        <v>0.15735884874015749</v>
      </c>
      <c r="K222">
        <v>0.23676327</v>
      </c>
      <c r="L222">
        <v>0.50460728389644571</v>
      </c>
    </row>
    <row r="223" spans="1:14" x14ac:dyDescent="0.2">
      <c r="A223">
        <v>488425</v>
      </c>
      <c r="B223">
        <v>100</v>
      </c>
      <c r="C223">
        <v>8</v>
      </c>
      <c r="D223">
        <v>3.95</v>
      </c>
      <c r="E223">
        <v>2.75</v>
      </c>
      <c r="F223">
        <v>3.95</v>
      </c>
      <c r="G223">
        <v>2.75</v>
      </c>
      <c r="H223">
        <v>3.8630000000000001E-3</v>
      </c>
      <c r="I223">
        <v>8.2856787401574816E-2</v>
      </c>
      <c r="J223">
        <v>0.15829098759842519</v>
      </c>
      <c r="K223">
        <v>0.24114777500000001</v>
      </c>
      <c r="L223">
        <v>0.52344601962922588</v>
      </c>
      <c r="M223">
        <v>8.1130604330708664E-2</v>
      </c>
      <c r="N223">
        <v>0.15563266566929132</v>
      </c>
    </row>
    <row r="224" spans="1:14" x14ac:dyDescent="0.2">
      <c r="B224">
        <v>100</v>
      </c>
      <c r="C224">
        <v>8</v>
      </c>
      <c r="D224">
        <v>3.8</v>
      </c>
      <c r="E224">
        <v>2.65</v>
      </c>
      <c r="F224">
        <v>3.8</v>
      </c>
      <c r="G224">
        <v>2.65</v>
      </c>
      <c r="H224">
        <v>3.8630000000000001E-3</v>
      </c>
      <c r="I224">
        <v>7.9404421259842511E-2</v>
      </c>
      <c r="J224">
        <v>0.15297434374015745</v>
      </c>
      <c r="K224">
        <v>0.23237876499999996</v>
      </c>
      <c r="L224">
        <v>0.5190701873166329</v>
      </c>
    </row>
    <row r="225" spans="1:14" x14ac:dyDescent="0.2">
      <c r="A225">
        <v>488426</v>
      </c>
      <c r="B225">
        <v>100</v>
      </c>
      <c r="C225">
        <v>8</v>
      </c>
      <c r="D225">
        <v>5.4</v>
      </c>
      <c r="E225">
        <v>3.75</v>
      </c>
      <c r="F225">
        <v>5.4</v>
      </c>
      <c r="G225">
        <v>3.75</v>
      </c>
      <c r="H225">
        <v>3.8630000000000001E-3</v>
      </c>
      <c r="I225">
        <v>0.11392808267716539</v>
      </c>
      <c r="J225">
        <v>0.21490979232283472</v>
      </c>
      <c r="K225">
        <v>0.32883787500000011</v>
      </c>
      <c r="L225">
        <v>0.53012048192771088</v>
      </c>
      <c r="M225">
        <v>0.11738044881889767</v>
      </c>
      <c r="N225">
        <v>0.20268841618110239</v>
      </c>
    </row>
    <row r="226" spans="1:14" x14ac:dyDescent="0.2">
      <c r="B226">
        <v>100</v>
      </c>
      <c r="C226">
        <v>8</v>
      </c>
      <c r="D226">
        <v>5.3</v>
      </c>
      <c r="E226">
        <v>3.55</v>
      </c>
      <c r="F226">
        <v>5.3</v>
      </c>
      <c r="G226">
        <v>3.55</v>
      </c>
      <c r="H226">
        <v>3.8630000000000001E-3</v>
      </c>
      <c r="I226">
        <v>0.12083281496062993</v>
      </c>
      <c r="J226">
        <v>0.19046704003937007</v>
      </c>
      <c r="K226">
        <v>0.31129985500000001</v>
      </c>
      <c r="L226">
        <v>0.63440275512053668</v>
      </c>
    </row>
    <row r="227" spans="1:14" x14ac:dyDescent="0.2">
      <c r="A227">
        <v>488427</v>
      </c>
      <c r="B227">
        <v>100</v>
      </c>
      <c r="C227">
        <v>7</v>
      </c>
      <c r="D227">
        <v>3.65</v>
      </c>
      <c r="E227">
        <v>2.2999999999999998</v>
      </c>
      <c r="F227">
        <v>3.65</v>
      </c>
      <c r="G227">
        <v>2.2999999999999998</v>
      </c>
      <c r="H227">
        <v>9.7450000000000002E-3</v>
      </c>
      <c r="I227">
        <v>0.23514608267716539</v>
      </c>
      <c r="J227">
        <v>0.27364036732283453</v>
      </c>
      <c r="K227">
        <v>0.50878644999999989</v>
      </c>
      <c r="L227">
        <v>0.85932527052832641</v>
      </c>
      <c r="M227">
        <v>0.23514608267716539</v>
      </c>
      <c r="N227">
        <v>0.27364036732283453</v>
      </c>
    </row>
    <row r="228" spans="1:14" x14ac:dyDescent="0.2">
      <c r="B228">
        <v>100</v>
      </c>
      <c r="C228">
        <v>7</v>
      </c>
      <c r="D228">
        <v>3.65</v>
      </c>
      <c r="E228">
        <v>2.2999999999999998</v>
      </c>
      <c r="F228">
        <v>3.65</v>
      </c>
      <c r="G228">
        <v>2.2999999999999998</v>
      </c>
      <c r="H228">
        <v>9.7450000000000002E-3</v>
      </c>
      <c r="I228">
        <v>0.23514608267716539</v>
      </c>
      <c r="J228">
        <v>0.27364036732283453</v>
      </c>
      <c r="K228">
        <v>0.50878644999999989</v>
      </c>
      <c r="L228">
        <v>0.85932527052832641</v>
      </c>
    </row>
    <row r="229" spans="1:14" x14ac:dyDescent="0.2">
      <c r="A229">
        <v>488428</v>
      </c>
      <c r="B229">
        <v>100</v>
      </c>
      <c r="C229">
        <v>7</v>
      </c>
      <c r="D229">
        <v>6.2</v>
      </c>
      <c r="E229">
        <v>3.6</v>
      </c>
      <c r="F229">
        <v>6.2</v>
      </c>
      <c r="G229">
        <v>3.6</v>
      </c>
      <c r="H229">
        <v>9.7450000000000002E-3</v>
      </c>
      <c r="I229">
        <v>0.45287393700787409</v>
      </c>
      <c r="J229">
        <v>0.34348746299212612</v>
      </c>
      <c r="K229">
        <v>0.79636140000000022</v>
      </c>
      <c r="L229">
        <v>1.3184584178498984</v>
      </c>
      <c r="M229">
        <v>0.4441648228346457</v>
      </c>
      <c r="N229">
        <v>0.33560571466535438</v>
      </c>
    </row>
    <row r="230" spans="1:14" x14ac:dyDescent="0.2">
      <c r="B230">
        <v>100</v>
      </c>
      <c r="C230">
        <v>7</v>
      </c>
      <c r="D230">
        <v>5.95</v>
      </c>
      <c r="E230">
        <v>3.45</v>
      </c>
      <c r="F230">
        <v>5.95</v>
      </c>
      <c r="G230">
        <v>3.45</v>
      </c>
      <c r="H230">
        <v>9.7450000000000002E-3</v>
      </c>
      <c r="I230">
        <v>0.43545570866141731</v>
      </c>
      <c r="J230">
        <v>0.3277239663385827</v>
      </c>
      <c r="K230">
        <v>0.76317967499999995</v>
      </c>
      <c r="L230">
        <v>1.3287270794578792</v>
      </c>
    </row>
    <row r="231" spans="1:14" x14ac:dyDescent="0.2">
      <c r="A231">
        <v>488429</v>
      </c>
      <c r="B231">
        <v>100</v>
      </c>
      <c r="C231">
        <v>7</v>
      </c>
      <c r="D231">
        <v>6.25</v>
      </c>
      <c r="E231">
        <v>3.4</v>
      </c>
      <c r="F231">
        <v>6.25</v>
      </c>
      <c r="G231">
        <v>3.4</v>
      </c>
      <c r="H231">
        <v>9.7450000000000002E-3</v>
      </c>
      <c r="I231">
        <v>0.49641950787401579</v>
      </c>
      <c r="J231">
        <v>0.25569959212598442</v>
      </c>
      <c r="K231">
        <v>0.75211910000000026</v>
      </c>
      <c r="L231">
        <v>1.941416893732969</v>
      </c>
      <c r="M231">
        <v>0.50077406496062982</v>
      </c>
      <c r="N231">
        <v>0.25687532253937029</v>
      </c>
    </row>
    <row r="232" spans="1:14" x14ac:dyDescent="0.2">
      <c r="B232">
        <v>100</v>
      </c>
      <c r="C232">
        <v>7</v>
      </c>
      <c r="D232">
        <v>6.35</v>
      </c>
      <c r="E232">
        <v>3.45</v>
      </c>
      <c r="F232">
        <v>6.35</v>
      </c>
      <c r="G232">
        <v>3.45</v>
      </c>
      <c r="H232">
        <v>9.7450000000000002E-3</v>
      </c>
      <c r="I232">
        <v>0.50512862204724396</v>
      </c>
      <c r="J232">
        <v>0.2580510529527561</v>
      </c>
      <c r="K232">
        <v>0.76317967500000006</v>
      </c>
      <c r="L232">
        <v>1.9574755315558536</v>
      </c>
    </row>
    <row r="233" spans="1:14" x14ac:dyDescent="0.2">
      <c r="A233">
        <v>488430</v>
      </c>
      <c r="B233">
        <v>100</v>
      </c>
      <c r="C233">
        <v>7</v>
      </c>
      <c r="D233">
        <v>6.05</v>
      </c>
      <c r="E233">
        <v>3.25</v>
      </c>
      <c r="F233">
        <v>6.05</v>
      </c>
      <c r="G233">
        <v>3.25</v>
      </c>
      <c r="H233">
        <v>9.7450000000000002E-3</v>
      </c>
      <c r="I233">
        <v>0.48771039370078739</v>
      </c>
      <c r="J233">
        <v>0.23122698129921268</v>
      </c>
      <c r="K233">
        <v>0.7189373750000001</v>
      </c>
      <c r="L233">
        <v>2.1092278719397357</v>
      </c>
      <c r="M233">
        <v>0.48771039370078739</v>
      </c>
      <c r="N233">
        <v>0.24228755629921261</v>
      </c>
    </row>
    <row r="234" spans="1:14" x14ac:dyDescent="0.2">
      <c r="B234">
        <v>100</v>
      </c>
      <c r="C234">
        <v>7</v>
      </c>
      <c r="D234">
        <v>6.15</v>
      </c>
      <c r="E234">
        <v>3.35</v>
      </c>
      <c r="F234">
        <v>6.15</v>
      </c>
      <c r="G234">
        <v>3.35</v>
      </c>
      <c r="H234">
        <v>9.7450000000000002E-3</v>
      </c>
      <c r="I234">
        <v>0.48771039370078745</v>
      </c>
      <c r="J234">
        <v>0.25334813129921258</v>
      </c>
      <c r="K234">
        <v>0.74105852500000002</v>
      </c>
      <c r="L234">
        <v>1.925060158129942</v>
      </c>
    </row>
    <row r="235" spans="1:14" x14ac:dyDescent="0.2">
      <c r="A235">
        <v>488252</v>
      </c>
      <c r="B235">
        <v>100</v>
      </c>
      <c r="C235">
        <v>6</v>
      </c>
      <c r="D235">
        <v>3.35</v>
      </c>
      <c r="E235">
        <v>1.65</v>
      </c>
      <c r="F235">
        <v>3.35</v>
      </c>
      <c r="G235">
        <v>1.65</v>
      </c>
      <c r="H235">
        <v>3.5767E-2</v>
      </c>
      <c r="I235">
        <v>1.0868098661417325</v>
      </c>
      <c r="J235">
        <v>0.25284311885826777</v>
      </c>
      <c r="K235">
        <v>1.3396529850000003</v>
      </c>
      <c r="L235">
        <v>4.298356510745891</v>
      </c>
      <c r="M235">
        <v>1.0868098661417323</v>
      </c>
      <c r="N235">
        <v>0.21224757385826773</v>
      </c>
    </row>
    <row r="236" spans="1:14" x14ac:dyDescent="0.2">
      <c r="B236">
        <v>100</v>
      </c>
      <c r="C236">
        <v>6</v>
      </c>
      <c r="D236">
        <v>3.25</v>
      </c>
      <c r="E236">
        <v>1.55</v>
      </c>
      <c r="F236">
        <v>3.25</v>
      </c>
      <c r="G236">
        <v>1.55</v>
      </c>
      <c r="H236">
        <v>3.5767E-2</v>
      </c>
      <c r="I236">
        <v>1.0868098661417323</v>
      </c>
      <c r="J236">
        <v>0.17165202885826769</v>
      </c>
      <c r="K236">
        <v>1.2584618949999999</v>
      </c>
      <c r="L236">
        <v>6.3314711359404106</v>
      </c>
    </row>
    <row r="237" spans="1:14" x14ac:dyDescent="0.2">
      <c r="A237">
        <v>488482</v>
      </c>
      <c r="B237">
        <v>100</v>
      </c>
      <c r="C237">
        <v>8</v>
      </c>
      <c r="D237">
        <v>2</v>
      </c>
      <c r="E237">
        <v>1.5</v>
      </c>
      <c r="F237">
        <v>2</v>
      </c>
      <c r="G237">
        <v>1.5</v>
      </c>
      <c r="H237">
        <v>3.8630000000000001E-3</v>
      </c>
      <c r="I237">
        <v>3.452366141732284E-2</v>
      </c>
      <c r="J237">
        <v>9.7011488582677149E-2</v>
      </c>
      <c r="K237">
        <v>0.13153514999999999</v>
      </c>
      <c r="L237">
        <v>0.35587188612099657</v>
      </c>
      <c r="M237">
        <v>3.9702210629921263E-2</v>
      </c>
      <c r="N237">
        <v>8.5256181870078745E-2</v>
      </c>
    </row>
    <row r="238" spans="1:14" x14ac:dyDescent="0.2">
      <c r="B238">
        <v>100</v>
      </c>
      <c r="C238">
        <v>8</v>
      </c>
      <c r="D238">
        <v>2</v>
      </c>
      <c r="E238">
        <v>1.35</v>
      </c>
      <c r="F238">
        <v>2</v>
      </c>
      <c r="G238">
        <v>1.35</v>
      </c>
      <c r="H238">
        <v>3.8630000000000001E-3</v>
      </c>
      <c r="I238">
        <v>4.4880759842519685E-2</v>
      </c>
      <c r="J238">
        <v>7.3500875157480328E-2</v>
      </c>
      <c r="K238">
        <v>0.11838163500000001</v>
      </c>
      <c r="L238">
        <v>0.61061531235321742</v>
      </c>
    </row>
    <row r="239" spans="1:14" x14ac:dyDescent="0.2">
      <c r="A239">
        <v>488483</v>
      </c>
      <c r="B239">
        <v>100</v>
      </c>
      <c r="C239">
        <v>8</v>
      </c>
      <c r="D239">
        <v>2.6</v>
      </c>
      <c r="E239">
        <v>1.95</v>
      </c>
      <c r="F239">
        <v>2.6</v>
      </c>
      <c r="G239">
        <v>1.95</v>
      </c>
      <c r="H239">
        <v>3.8630000000000001E-3</v>
      </c>
      <c r="I239">
        <v>4.4880759842519692E-2</v>
      </c>
      <c r="J239">
        <v>0.12611493515748029</v>
      </c>
      <c r="K239">
        <v>0.17099569499999998</v>
      </c>
      <c r="L239">
        <v>0.35587188612099657</v>
      </c>
      <c r="M239">
        <v>4.6606942913385824E-2</v>
      </c>
      <c r="N239">
        <v>0.12000424708661418</v>
      </c>
    </row>
    <row r="240" spans="1:14" x14ac:dyDescent="0.2">
      <c r="B240">
        <v>100</v>
      </c>
      <c r="C240">
        <v>8</v>
      </c>
      <c r="D240">
        <v>2.5499999999999998</v>
      </c>
      <c r="E240">
        <v>1.85</v>
      </c>
      <c r="F240">
        <v>2.5499999999999998</v>
      </c>
      <c r="G240">
        <v>1.85</v>
      </c>
      <c r="H240">
        <v>3.8630000000000001E-3</v>
      </c>
      <c r="I240">
        <v>4.8333125984251948E-2</v>
      </c>
      <c r="J240">
        <v>0.11389355901574807</v>
      </c>
      <c r="K240">
        <v>0.16222668500000004</v>
      </c>
      <c r="L240">
        <v>0.42437102152167289</v>
      </c>
    </row>
    <row r="241" spans="1:14" x14ac:dyDescent="0.2">
      <c r="A241">
        <v>488484</v>
      </c>
      <c r="B241">
        <v>100</v>
      </c>
      <c r="C241">
        <v>7</v>
      </c>
      <c r="D241">
        <v>4.6500000000000004</v>
      </c>
      <c r="E241">
        <v>2.5499999999999998</v>
      </c>
      <c r="F241">
        <v>4.6500000000000004</v>
      </c>
      <c r="G241">
        <v>2.5499999999999998</v>
      </c>
      <c r="H241">
        <v>9.7450000000000002E-3</v>
      </c>
      <c r="I241">
        <v>0.3657827952755906</v>
      </c>
      <c r="J241">
        <v>0.19830652972440937</v>
      </c>
      <c r="K241">
        <v>0.56408932499999997</v>
      </c>
      <c r="L241">
        <v>1.8445322793148888</v>
      </c>
      <c r="M241">
        <v>0.3701373523622048</v>
      </c>
      <c r="N241">
        <v>0.20501254763779519</v>
      </c>
    </row>
    <row r="242" spans="1:14" x14ac:dyDescent="0.2">
      <c r="B242">
        <v>100</v>
      </c>
      <c r="C242">
        <v>7</v>
      </c>
      <c r="D242">
        <v>4.8</v>
      </c>
      <c r="E242">
        <v>2.65</v>
      </c>
      <c r="F242">
        <v>4.8</v>
      </c>
      <c r="G242">
        <v>2.65</v>
      </c>
      <c r="H242">
        <v>9.7450000000000002E-3</v>
      </c>
      <c r="I242">
        <v>0.37449190944881894</v>
      </c>
      <c r="J242">
        <v>0.21171856555118104</v>
      </c>
      <c r="K242">
        <v>0.58621047500000001</v>
      </c>
      <c r="L242">
        <v>1.76881941587824</v>
      </c>
    </row>
    <row r="243" spans="1:14" x14ac:dyDescent="0.2">
      <c r="A243">
        <v>488485</v>
      </c>
      <c r="B243">
        <v>100</v>
      </c>
      <c r="C243">
        <v>7</v>
      </c>
      <c r="D243">
        <v>7.75</v>
      </c>
      <c r="E243">
        <v>4</v>
      </c>
      <c r="F243">
        <v>7.75</v>
      </c>
      <c r="G243">
        <v>4</v>
      </c>
      <c r="H243">
        <v>9.7450000000000002E-3</v>
      </c>
      <c r="I243">
        <v>0.6531835629921261</v>
      </c>
      <c r="J243">
        <v>0.23166243700787403</v>
      </c>
      <c r="K243">
        <v>0.88484600000000013</v>
      </c>
      <c r="L243">
        <v>2.8195488721804516</v>
      </c>
      <c r="M243">
        <v>0.6531835629921261</v>
      </c>
      <c r="N243">
        <v>0.22613214950787403</v>
      </c>
    </row>
    <row r="244" spans="1:14" x14ac:dyDescent="0.2">
      <c r="B244">
        <v>100</v>
      </c>
      <c r="C244">
        <v>7</v>
      </c>
      <c r="D244">
        <v>7.7</v>
      </c>
      <c r="E244">
        <v>3.95</v>
      </c>
      <c r="F244">
        <v>7.7</v>
      </c>
      <c r="G244">
        <v>3.95</v>
      </c>
      <c r="H244">
        <v>9.7450000000000002E-3</v>
      </c>
      <c r="I244">
        <v>0.6531835629921261</v>
      </c>
      <c r="J244">
        <v>0.22060186200787402</v>
      </c>
      <c r="K244">
        <v>0.87378542500000012</v>
      </c>
      <c r="L244">
        <v>2.9609159099881568</v>
      </c>
    </row>
    <row r="245" spans="1:14" x14ac:dyDescent="0.2">
      <c r="A245">
        <v>488486</v>
      </c>
      <c r="B245">
        <v>100</v>
      </c>
      <c r="C245">
        <v>6</v>
      </c>
      <c r="D245">
        <v>2.2000000000000002</v>
      </c>
      <c r="E245">
        <v>1.05</v>
      </c>
      <c r="F245">
        <v>2.2000000000000002</v>
      </c>
      <c r="G245">
        <v>1.05</v>
      </c>
      <c r="H245">
        <v>3.5767E-2</v>
      </c>
      <c r="I245">
        <v>0.73519490944881893</v>
      </c>
      <c r="J245">
        <v>0.117311535551181</v>
      </c>
      <c r="K245">
        <v>0.85250644499999995</v>
      </c>
      <c r="L245">
        <v>6.2670299727520495</v>
      </c>
      <c r="M245">
        <v>0.73519490944881893</v>
      </c>
      <c r="N245">
        <v>0.117311535551181</v>
      </c>
    </row>
    <row r="246" spans="1:14" x14ac:dyDescent="0.2">
      <c r="B246">
        <v>100</v>
      </c>
      <c r="C246">
        <v>6</v>
      </c>
      <c r="D246">
        <v>2.2000000000000002</v>
      </c>
      <c r="E246">
        <v>1.05</v>
      </c>
      <c r="F246">
        <v>2.2000000000000002</v>
      </c>
      <c r="G246">
        <v>1.05</v>
      </c>
      <c r="H246">
        <v>3.5767E-2</v>
      </c>
      <c r="I246">
        <v>0.73519490944881893</v>
      </c>
      <c r="J246">
        <v>0.117311535551181</v>
      </c>
      <c r="K246">
        <v>0.85250644499999995</v>
      </c>
      <c r="L246">
        <v>6.2670299727520495</v>
      </c>
    </row>
    <row r="247" spans="1:14" x14ac:dyDescent="0.2">
      <c r="A247">
        <v>488487</v>
      </c>
      <c r="B247">
        <v>100</v>
      </c>
      <c r="C247">
        <v>6</v>
      </c>
      <c r="D247">
        <v>3.05</v>
      </c>
      <c r="E247">
        <v>1.5</v>
      </c>
      <c r="F247">
        <v>3.05</v>
      </c>
      <c r="G247">
        <v>1.5</v>
      </c>
      <c r="H247">
        <v>3.5767E-2</v>
      </c>
      <c r="I247">
        <v>0.99091487795275579</v>
      </c>
      <c r="J247">
        <v>0.22695147204724406</v>
      </c>
      <c r="K247">
        <v>1.2178663499999998</v>
      </c>
      <c r="L247">
        <v>4.3661971830985919</v>
      </c>
      <c r="M247">
        <v>1.0228798740157481</v>
      </c>
      <c r="N247">
        <v>0.21528424848425193</v>
      </c>
    </row>
    <row r="248" spans="1:14" x14ac:dyDescent="0.2">
      <c r="B248">
        <v>100</v>
      </c>
      <c r="C248">
        <v>6</v>
      </c>
      <c r="D248">
        <v>3.2</v>
      </c>
      <c r="E248">
        <v>1.55</v>
      </c>
      <c r="F248">
        <v>3.2</v>
      </c>
      <c r="G248">
        <v>1.55</v>
      </c>
      <c r="H248">
        <v>3.5767E-2</v>
      </c>
      <c r="I248">
        <v>1.0548448700787403</v>
      </c>
      <c r="J248">
        <v>0.20361702492125977</v>
      </c>
      <c r="K248">
        <v>1.2584618949999999</v>
      </c>
      <c r="L248">
        <v>5.1805337519623258</v>
      </c>
    </row>
    <row r="249" spans="1:14" x14ac:dyDescent="0.2">
      <c r="A249">
        <v>488488</v>
      </c>
      <c r="B249">
        <v>100</v>
      </c>
      <c r="C249">
        <v>6</v>
      </c>
      <c r="D249">
        <v>3.2</v>
      </c>
      <c r="E249">
        <v>1.6</v>
      </c>
      <c r="F249">
        <v>3.2</v>
      </c>
      <c r="G249">
        <v>1.6</v>
      </c>
      <c r="H249">
        <v>3.5767E-2</v>
      </c>
      <c r="I249">
        <v>1.0228798740157481</v>
      </c>
      <c r="J249">
        <v>0.27617756598425208</v>
      </c>
      <c r="K249">
        <v>1.2990574400000001</v>
      </c>
      <c r="L249">
        <v>3.7037037037037024</v>
      </c>
      <c r="M249">
        <v>1.0388623720472441</v>
      </c>
      <c r="N249">
        <v>0.219599522952756</v>
      </c>
    </row>
    <row r="250" spans="1:14" x14ac:dyDescent="0.2">
      <c r="B250">
        <v>100</v>
      </c>
      <c r="C250">
        <v>6</v>
      </c>
      <c r="D250">
        <v>3.15</v>
      </c>
      <c r="E250">
        <v>1.5</v>
      </c>
      <c r="F250">
        <v>3.15</v>
      </c>
      <c r="G250">
        <v>1.5</v>
      </c>
      <c r="H250">
        <v>3.5767E-2</v>
      </c>
      <c r="I250">
        <v>1.0548448700787403</v>
      </c>
      <c r="J250">
        <v>0.16302147992125993</v>
      </c>
      <c r="K250">
        <v>1.2178663500000002</v>
      </c>
      <c r="L250">
        <v>6.4705882352941151</v>
      </c>
    </row>
    <row r="251" spans="1:14" x14ac:dyDescent="0.2">
      <c r="A251">
        <v>488489</v>
      </c>
      <c r="B251">
        <v>100</v>
      </c>
      <c r="C251">
        <v>6</v>
      </c>
      <c r="D251">
        <v>3</v>
      </c>
      <c r="E251">
        <v>1.45</v>
      </c>
      <c r="F251">
        <v>3</v>
      </c>
      <c r="G251">
        <v>1.45</v>
      </c>
      <c r="H251">
        <v>3.5767E-2</v>
      </c>
      <c r="I251">
        <v>0.99091487795275601</v>
      </c>
      <c r="J251">
        <v>0.18635592704724421</v>
      </c>
      <c r="K251">
        <v>1.1772708050000003</v>
      </c>
      <c r="L251">
        <v>5.3173241852487108</v>
      </c>
      <c r="M251">
        <v>0.97493237992125992</v>
      </c>
      <c r="N251">
        <v>0.18204065257874014</v>
      </c>
    </row>
    <row r="252" spans="1:14" x14ac:dyDescent="0.2">
      <c r="B252">
        <v>100</v>
      </c>
      <c r="C252">
        <v>6</v>
      </c>
      <c r="D252">
        <v>2.9</v>
      </c>
      <c r="E252">
        <v>1.4</v>
      </c>
      <c r="F252">
        <v>2.9</v>
      </c>
      <c r="G252">
        <v>1.4</v>
      </c>
      <c r="H252">
        <v>3.5767E-2</v>
      </c>
      <c r="I252">
        <v>0.95894988188976371</v>
      </c>
      <c r="J252">
        <v>0.17772537811023603</v>
      </c>
      <c r="K252">
        <v>1.1366752599999996</v>
      </c>
      <c r="L252">
        <v>5.3956834532374156</v>
      </c>
    </row>
    <row r="253" spans="1:14" x14ac:dyDescent="0.2">
      <c r="A253">
        <v>488490</v>
      </c>
      <c r="B253">
        <v>100</v>
      </c>
      <c r="C253">
        <v>6</v>
      </c>
      <c r="D253">
        <v>3.25</v>
      </c>
      <c r="E253">
        <v>1.55</v>
      </c>
      <c r="F253">
        <v>3.25</v>
      </c>
      <c r="G253">
        <v>1.55</v>
      </c>
      <c r="H253">
        <v>3.5767E-2</v>
      </c>
      <c r="I253">
        <v>1.0868098661417323</v>
      </c>
      <c r="J253">
        <v>0.17165202885826769</v>
      </c>
      <c r="K253">
        <v>1.2584618949999999</v>
      </c>
      <c r="L253">
        <v>6.3314711359404106</v>
      </c>
      <c r="M253">
        <v>1.0388623720472441</v>
      </c>
      <c r="N253">
        <v>0.17900397795275597</v>
      </c>
    </row>
    <row r="254" spans="1:14" x14ac:dyDescent="0.2">
      <c r="B254">
        <v>100</v>
      </c>
      <c r="C254">
        <v>6</v>
      </c>
      <c r="D254">
        <v>3</v>
      </c>
      <c r="E254">
        <v>1.45</v>
      </c>
      <c r="F254">
        <v>3</v>
      </c>
      <c r="G254">
        <v>1.45</v>
      </c>
      <c r="H254">
        <v>3.5767E-2</v>
      </c>
      <c r="I254">
        <v>0.99091487795275601</v>
      </c>
      <c r="J254">
        <v>0.18635592704724421</v>
      </c>
      <c r="K254">
        <v>1.1772708050000003</v>
      </c>
      <c r="L254">
        <v>5.3173241852487108</v>
      </c>
    </row>
    <row r="255" spans="1:14" x14ac:dyDescent="0.2">
      <c r="A255">
        <v>488494</v>
      </c>
      <c r="B255">
        <v>100</v>
      </c>
      <c r="C255">
        <v>8</v>
      </c>
      <c r="D255">
        <v>2.15</v>
      </c>
      <c r="E255">
        <v>1.55</v>
      </c>
      <c r="F255">
        <v>2.15</v>
      </c>
      <c r="G255">
        <v>1.55</v>
      </c>
      <c r="H255">
        <v>3.8630000000000001E-3</v>
      </c>
      <c r="I255">
        <v>4.1428393700787387E-2</v>
      </c>
      <c r="J255">
        <v>9.4491261299212592E-2</v>
      </c>
      <c r="K255">
        <v>0.13591965499999997</v>
      </c>
      <c r="L255">
        <v>0.43843624406284243</v>
      </c>
      <c r="M255">
        <v>4.1428393700787387E-2</v>
      </c>
      <c r="N255">
        <v>9.4491261299212592E-2</v>
      </c>
    </row>
    <row r="256" spans="1:14" x14ac:dyDescent="0.2">
      <c r="B256">
        <v>100</v>
      </c>
      <c r="C256">
        <v>8</v>
      </c>
      <c r="D256">
        <v>2.15</v>
      </c>
      <c r="E256">
        <v>1.55</v>
      </c>
      <c r="F256">
        <v>2.15</v>
      </c>
      <c r="G256">
        <v>1.55</v>
      </c>
      <c r="H256">
        <v>3.8630000000000001E-3</v>
      </c>
      <c r="I256">
        <v>4.1428393700787387E-2</v>
      </c>
      <c r="J256">
        <v>9.4491261299212592E-2</v>
      </c>
      <c r="K256">
        <v>0.13591965499999997</v>
      </c>
      <c r="L256">
        <v>0.43843624406284243</v>
      </c>
    </row>
    <row r="257" spans="1:14" x14ac:dyDescent="0.2">
      <c r="A257">
        <v>488495</v>
      </c>
      <c r="B257">
        <v>100</v>
      </c>
      <c r="C257">
        <v>8</v>
      </c>
      <c r="D257">
        <v>1.9</v>
      </c>
      <c r="E257">
        <v>1.45</v>
      </c>
      <c r="F257">
        <v>1.9</v>
      </c>
      <c r="G257">
        <v>1.45</v>
      </c>
      <c r="H257">
        <v>3.8630000000000001E-3</v>
      </c>
      <c r="I257">
        <v>3.1071295275590546E-2</v>
      </c>
      <c r="J257">
        <v>9.6079349724409471E-2</v>
      </c>
      <c r="K257">
        <v>0.12715064500000001</v>
      </c>
      <c r="L257">
        <v>0.32339202299676595</v>
      </c>
      <c r="M257">
        <v>3.1071295275590546E-2</v>
      </c>
      <c r="N257">
        <v>0.10046385472440947</v>
      </c>
    </row>
    <row r="258" spans="1:14" x14ac:dyDescent="0.2">
      <c r="B258">
        <v>100</v>
      </c>
      <c r="C258">
        <v>8</v>
      </c>
      <c r="D258">
        <v>2</v>
      </c>
      <c r="E258">
        <v>1.55</v>
      </c>
      <c r="F258">
        <v>2</v>
      </c>
      <c r="G258">
        <v>1.55</v>
      </c>
      <c r="H258">
        <v>3.8630000000000001E-3</v>
      </c>
      <c r="I258">
        <v>3.1071295275590546E-2</v>
      </c>
      <c r="J258">
        <v>0.10484835972440947</v>
      </c>
      <c r="K258">
        <v>0.135919655</v>
      </c>
      <c r="L258">
        <v>0.29634507737899235</v>
      </c>
    </row>
    <row r="259" spans="1:14" x14ac:dyDescent="0.2">
      <c r="A259">
        <v>488496</v>
      </c>
      <c r="B259">
        <v>100</v>
      </c>
      <c r="C259">
        <v>8</v>
      </c>
      <c r="D259">
        <v>4</v>
      </c>
      <c r="E259">
        <v>2.65</v>
      </c>
      <c r="F259">
        <v>4</v>
      </c>
      <c r="G259">
        <v>2.65</v>
      </c>
      <c r="H259">
        <v>3.8630000000000001E-3</v>
      </c>
      <c r="I259">
        <v>9.3213885826771675E-2</v>
      </c>
      <c r="J259">
        <v>0.13916487917322831</v>
      </c>
      <c r="K259">
        <v>0.23237876499999999</v>
      </c>
      <c r="L259">
        <v>0.66980898040188575</v>
      </c>
      <c r="M259">
        <v>8.9761519685039384E-2</v>
      </c>
      <c r="N259">
        <v>0.13604048781496064</v>
      </c>
    </row>
    <row r="260" spans="1:14" x14ac:dyDescent="0.2">
      <c r="B260">
        <v>100</v>
      </c>
      <c r="C260">
        <v>8</v>
      </c>
      <c r="D260">
        <v>3.75</v>
      </c>
      <c r="E260">
        <v>2.5</v>
      </c>
      <c r="F260">
        <v>3.75</v>
      </c>
      <c r="G260">
        <v>2.5</v>
      </c>
      <c r="H260">
        <v>3.8630000000000001E-3</v>
      </c>
      <c r="I260">
        <v>8.6309153543307093E-2</v>
      </c>
      <c r="J260">
        <v>0.13291609645669297</v>
      </c>
      <c r="K260">
        <v>0.21922525000000007</v>
      </c>
      <c r="L260">
        <v>0.64935064935064912</v>
      </c>
    </row>
    <row r="261" spans="1:14" x14ac:dyDescent="0.2">
      <c r="A261">
        <v>488497</v>
      </c>
      <c r="B261">
        <v>100</v>
      </c>
      <c r="C261">
        <v>8</v>
      </c>
      <c r="D261">
        <v>5.55</v>
      </c>
      <c r="E261">
        <v>3.6</v>
      </c>
      <c r="F261">
        <v>5.55</v>
      </c>
      <c r="G261">
        <v>3.6</v>
      </c>
      <c r="H261">
        <v>3.8630000000000001E-3</v>
      </c>
      <c r="I261">
        <v>0.13464227952755903</v>
      </c>
      <c r="J261">
        <v>0.181042080472441</v>
      </c>
      <c r="K261">
        <v>0.31568436</v>
      </c>
      <c r="L261">
        <v>0.7437070938215099</v>
      </c>
      <c r="M261">
        <v>0.15363029330708661</v>
      </c>
      <c r="N261">
        <v>0.16863082419291348</v>
      </c>
    </row>
    <row r="262" spans="1:14" x14ac:dyDescent="0.2">
      <c r="B262">
        <v>100</v>
      </c>
      <c r="C262">
        <v>8</v>
      </c>
      <c r="D262">
        <v>6.25</v>
      </c>
      <c r="E262">
        <v>3.75</v>
      </c>
      <c r="F262">
        <v>6.25</v>
      </c>
      <c r="G262">
        <v>3.75</v>
      </c>
      <c r="H262">
        <v>3.8630000000000001E-3</v>
      </c>
      <c r="I262">
        <v>0.17261830708661419</v>
      </c>
      <c r="J262">
        <v>0.15621956791338593</v>
      </c>
      <c r="K262">
        <v>0.32883787500000011</v>
      </c>
      <c r="L262">
        <v>1.1049723756906071</v>
      </c>
    </row>
    <row r="263" spans="1:14" x14ac:dyDescent="0.2">
      <c r="A263">
        <v>488498</v>
      </c>
      <c r="B263">
        <v>100</v>
      </c>
      <c r="C263">
        <v>7</v>
      </c>
      <c r="D263">
        <v>3.85</v>
      </c>
      <c r="E263">
        <v>2.4</v>
      </c>
      <c r="F263">
        <v>3.85</v>
      </c>
      <c r="G263">
        <v>2.4</v>
      </c>
      <c r="H263">
        <v>9.7450000000000002E-3</v>
      </c>
      <c r="I263">
        <v>0.25256431102362209</v>
      </c>
      <c r="J263">
        <v>0.27834328897637794</v>
      </c>
      <c r="K263">
        <v>0.53090760000000004</v>
      </c>
      <c r="L263">
        <v>0.90738423028785997</v>
      </c>
      <c r="M263">
        <v>0.25256431102362209</v>
      </c>
      <c r="N263">
        <v>0.26728271397637793</v>
      </c>
    </row>
    <row r="264" spans="1:14" x14ac:dyDescent="0.2">
      <c r="B264">
        <v>100</v>
      </c>
      <c r="C264">
        <v>7</v>
      </c>
      <c r="D264">
        <v>3.75</v>
      </c>
      <c r="E264">
        <v>2.2999999999999998</v>
      </c>
      <c r="F264">
        <v>3.75</v>
      </c>
      <c r="G264">
        <v>2.2999999999999998</v>
      </c>
      <c r="H264">
        <v>9.7450000000000002E-3</v>
      </c>
      <c r="I264">
        <v>0.25256431102362209</v>
      </c>
      <c r="J264">
        <v>0.25622213897637791</v>
      </c>
      <c r="K264">
        <v>0.50878645</v>
      </c>
      <c r="L264">
        <v>0.98572399728076177</v>
      </c>
    </row>
    <row r="265" spans="1:14" x14ac:dyDescent="0.2">
      <c r="A265">
        <v>488499</v>
      </c>
      <c r="B265">
        <v>100</v>
      </c>
      <c r="C265">
        <v>7</v>
      </c>
      <c r="D265">
        <v>5.4</v>
      </c>
      <c r="E265">
        <v>3.1</v>
      </c>
      <c r="F265">
        <v>5.4</v>
      </c>
      <c r="G265">
        <v>3.1</v>
      </c>
      <c r="H265">
        <v>9.7450000000000002E-3</v>
      </c>
      <c r="I265">
        <v>0.40061925196850401</v>
      </c>
      <c r="J265">
        <v>0.2851363980314961</v>
      </c>
      <c r="K265">
        <v>0.68575565000000016</v>
      </c>
      <c r="L265">
        <v>1.4050091631032378</v>
      </c>
      <c r="M265">
        <v>0.39191013779527561</v>
      </c>
      <c r="N265">
        <v>0.26619407470472445</v>
      </c>
    </row>
    <row r="266" spans="1:14" x14ac:dyDescent="0.2">
      <c r="B266">
        <v>100</v>
      </c>
      <c r="C266">
        <v>7</v>
      </c>
      <c r="D266">
        <v>5.05</v>
      </c>
      <c r="E266">
        <v>2.85</v>
      </c>
      <c r="F266">
        <v>5.05</v>
      </c>
      <c r="G266">
        <v>2.85</v>
      </c>
      <c r="H266">
        <v>9.7450000000000002E-3</v>
      </c>
      <c r="I266">
        <v>0.38320102362204722</v>
      </c>
      <c r="J266">
        <v>0.24725175137795286</v>
      </c>
      <c r="K266">
        <v>0.63045277500000008</v>
      </c>
      <c r="L266">
        <v>1.5498414934836202</v>
      </c>
    </row>
    <row r="267" spans="1:14" x14ac:dyDescent="0.2">
      <c r="A267">
        <v>488500</v>
      </c>
      <c r="B267">
        <v>100</v>
      </c>
      <c r="C267">
        <v>6</v>
      </c>
      <c r="D267">
        <v>2.75</v>
      </c>
      <c r="E267">
        <v>1.4</v>
      </c>
      <c r="F267">
        <v>2.75</v>
      </c>
      <c r="G267">
        <v>1.4</v>
      </c>
      <c r="H267">
        <v>3.5767E-2</v>
      </c>
      <c r="I267">
        <v>0.86305489370078747</v>
      </c>
      <c r="J267">
        <v>0.27362036629921266</v>
      </c>
      <c r="K267">
        <v>1.1366752600000001</v>
      </c>
      <c r="L267">
        <v>3.1542056074766349</v>
      </c>
      <c r="M267">
        <v>0.86305489370078747</v>
      </c>
      <c r="N267">
        <v>0.27362036629921266</v>
      </c>
    </row>
    <row r="268" spans="1:14" x14ac:dyDescent="0.2">
      <c r="B268">
        <v>100</v>
      </c>
      <c r="C268">
        <v>6</v>
      </c>
      <c r="D268">
        <v>2.75</v>
      </c>
      <c r="E268">
        <v>1.4</v>
      </c>
      <c r="F268">
        <v>2.75</v>
      </c>
      <c r="G268">
        <v>1.4</v>
      </c>
      <c r="H268">
        <v>3.5767E-2</v>
      </c>
      <c r="I268">
        <v>0.86305489370078747</v>
      </c>
      <c r="J268">
        <v>0.27362036629921266</v>
      </c>
      <c r="K268">
        <v>1.1366752600000001</v>
      </c>
      <c r="L268">
        <v>3.1542056074766349</v>
      </c>
    </row>
    <row r="269" spans="1:14" x14ac:dyDescent="0.2">
      <c r="A269">
        <v>488501</v>
      </c>
      <c r="B269">
        <v>100</v>
      </c>
      <c r="C269">
        <v>6</v>
      </c>
      <c r="D269">
        <v>3</v>
      </c>
      <c r="E269">
        <v>1.45</v>
      </c>
      <c r="F269">
        <v>3</v>
      </c>
      <c r="G269">
        <v>1.45</v>
      </c>
      <c r="H269">
        <v>3.5767E-2</v>
      </c>
      <c r="I269">
        <v>0.99091487795275601</v>
      </c>
      <c r="J269">
        <v>0.18635592704724421</v>
      </c>
      <c r="K269">
        <v>1.1772708050000003</v>
      </c>
      <c r="L269">
        <v>5.3173241852487108</v>
      </c>
      <c r="M269">
        <v>0.97493237992125992</v>
      </c>
      <c r="N269">
        <v>0.20233842507874022</v>
      </c>
    </row>
    <row r="270" spans="1:14" x14ac:dyDescent="0.2">
      <c r="B270">
        <v>100</v>
      </c>
      <c r="C270">
        <v>6</v>
      </c>
      <c r="D270">
        <v>2.95</v>
      </c>
      <c r="E270">
        <v>1.45</v>
      </c>
      <c r="F270">
        <v>2.95</v>
      </c>
      <c r="G270">
        <v>1.45</v>
      </c>
      <c r="H270">
        <v>3.5767E-2</v>
      </c>
      <c r="I270">
        <v>0.95894988188976393</v>
      </c>
      <c r="J270">
        <v>0.21832092311023626</v>
      </c>
      <c r="K270">
        <v>1.1772708050000003</v>
      </c>
      <c r="L270">
        <v>4.3923865300146412</v>
      </c>
    </row>
    <row r="271" spans="1:14" x14ac:dyDescent="0.2">
      <c r="A271">
        <v>488502</v>
      </c>
      <c r="B271">
        <v>100</v>
      </c>
      <c r="C271">
        <v>6</v>
      </c>
      <c r="D271">
        <v>2.85</v>
      </c>
      <c r="E271">
        <v>1.45</v>
      </c>
      <c r="F271">
        <v>2.85</v>
      </c>
      <c r="G271">
        <v>1.45</v>
      </c>
      <c r="H271">
        <v>3.5767E-2</v>
      </c>
      <c r="I271">
        <v>0.89501988976377977</v>
      </c>
      <c r="J271">
        <v>0.28225091523622037</v>
      </c>
      <c r="K271">
        <v>1.177270805</v>
      </c>
      <c r="L271">
        <v>3.1710079275198209</v>
      </c>
      <c r="M271">
        <v>0.92698488582677174</v>
      </c>
      <c r="N271">
        <v>0.2299881466732282</v>
      </c>
    </row>
    <row r="272" spans="1:14" x14ac:dyDescent="0.2">
      <c r="B272">
        <v>100</v>
      </c>
      <c r="C272">
        <v>6</v>
      </c>
      <c r="D272">
        <v>2.9</v>
      </c>
      <c r="E272">
        <v>1.4</v>
      </c>
      <c r="F272">
        <v>2.9</v>
      </c>
      <c r="G272">
        <v>1.4</v>
      </c>
      <c r="H272">
        <v>3.5767E-2</v>
      </c>
      <c r="I272">
        <v>0.95894988188976371</v>
      </c>
      <c r="J272">
        <v>0.17772537811023603</v>
      </c>
      <c r="K272">
        <v>1.1366752599999996</v>
      </c>
      <c r="L272">
        <v>5.3956834532374156</v>
      </c>
    </row>
    <row r="273" spans="1:14" x14ac:dyDescent="0.2">
      <c r="A273">
        <v>488506</v>
      </c>
      <c r="B273">
        <v>100</v>
      </c>
      <c r="C273">
        <v>8</v>
      </c>
      <c r="D273">
        <v>1.1499999999999999</v>
      </c>
      <c r="E273">
        <v>0.75</v>
      </c>
      <c r="F273">
        <v>1.1499999999999999</v>
      </c>
      <c r="G273">
        <v>0.75</v>
      </c>
      <c r="H273">
        <v>3.8630000000000001E-3</v>
      </c>
      <c r="I273">
        <v>2.7618929133858265E-2</v>
      </c>
      <c r="J273">
        <v>3.814864586614173E-2</v>
      </c>
      <c r="K273">
        <v>6.5767574999999995E-2</v>
      </c>
      <c r="L273">
        <v>0.72398190045248867</v>
      </c>
      <c r="M273">
        <v>2.7618929133858265E-2</v>
      </c>
      <c r="N273">
        <v>3.3764140866141726E-2</v>
      </c>
    </row>
    <row r="274" spans="1:14" x14ac:dyDescent="0.2">
      <c r="B274">
        <v>100</v>
      </c>
      <c r="C274">
        <v>8</v>
      </c>
      <c r="D274">
        <v>1.05</v>
      </c>
      <c r="E274">
        <v>0.65</v>
      </c>
      <c r="F274">
        <v>1.05</v>
      </c>
      <c r="G274">
        <v>0.65</v>
      </c>
      <c r="H274">
        <v>3.8630000000000001E-3</v>
      </c>
      <c r="I274">
        <v>2.7618929133858269E-2</v>
      </c>
      <c r="J274">
        <v>2.9379635866141725E-2</v>
      </c>
      <c r="K274">
        <v>5.6998564999999994E-2</v>
      </c>
      <c r="L274">
        <v>0.94007050528789682</v>
      </c>
    </row>
    <row r="275" spans="1:14" x14ac:dyDescent="0.2">
      <c r="A275">
        <v>488507</v>
      </c>
      <c r="B275">
        <v>100</v>
      </c>
      <c r="C275">
        <v>8</v>
      </c>
      <c r="D275">
        <v>0.85</v>
      </c>
      <c r="E275">
        <v>0.65</v>
      </c>
      <c r="F275">
        <v>0.85</v>
      </c>
      <c r="G275">
        <v>0.65</v>
      </c>
      <c r="H275">
        <v>3.8630000000000001E-3</v>
      </c>
      <c r="I275">
        <v>1.3809464566929133E-2</v>
      </c>
      <c r="J275">
        <v>4.3189100433070865E-2</v>
      </c>
      <c r="K275">
        <v>5.6998565000000001E-2</v>
      </c>
      <c r="L275">
        <v>0.31974420463629094</v>
      </c>
      <c r="M275">
        <v>1.8988013779527562E-2</v>
      </c>
      <c r="N275">
        <v>4.0202803720472441E-2</v>
      </c>
    </row>
    <row r="276" spans="1:14" x14ac:dyDescent="0.2">
      <c r="B276">
        <v>100</v>
      </c>
      <c r="C276">
        <v>8</v>
      </c>
      <c r="D276">
        <v>1.05</v>
      </c>
      <c r="E276">
        <v>0.7</v>
      </c>
      <c r="F276">
        <v>1.05</v>
      </c>
      <c r="G276">
        <v>0.7</v>
      </c>
      <c r="H276">
        <v>3.8630000000000001E-3</v>
      </c>
      <c r="I276">
        <v>2.4166562992125992E-2</v>
      </c>
      <c r="J276">
        <v>3.721650700787401E-2</v>
      </c>
      <c r="K276">
        <v>6.1383069999999998E-2</v>
      </c>
      <c r="L276">
        <v>0.64935064935064968</v>
      </c>
    </row>
    <row r="277" spans="1:14" x14ac:dyDescent="0.2">
      <c r="A277">
        <v>488508</v>
      </c>
      <c r="B277">
        <v>100</v>
      </c>
      <c r="C277">
        <v>8</v>
      </c>
      <c r="D277">
        <v>1.25</v>
      </c>
      <c r="E277">
        <v>0.85</v>
      </c>
      <c r="F277">
        <v>1.25</v>
      </c>
      <c r="G277">
        <v>0.85</v>
      </c>
      <c r="H277">
        <v>3.8630000000000001E-3</v>
      </c>
      <c r="I277">
        <v>2.7618929133858269E-2</v>
      </c>
      <c r="J277">
        <v>4.6917655866141744E-2</v>
      </c>
      <c r="K277">
        <v>7.4536585000000016E-2</v>
      </c>
      <c r="L277">
        <v>0.58866813833701237</v>
      </c>
      <c r="M277">
        <v>2.9345112204724411E-2</v>
      </c>
      <c r="N277">
        <v>4.5191472795275606E-2</v>
      </c>
    </row>
    <row r="278" spans="1:14" x14ac:dyDescent="0.2">
      <c r="B278">
        <v>100</v>
      </c>
      <c r="C278">
        <v>8</v>
      </c>
      <c r="D278">
        <v>1.3</v>
      </c>
      <c r="E278">
        <v>0.85</v>
      </c>
      <c r="F278">
        <v>1.3</v>
      </c>
      <c r="G278">
        <v>0.85</v>
      </c>
      <c r="H278">
        <v>3.8630000000000001E-3</v>
      </c>
      <c r="I278">
        <v>3.1071295275590556E-2</v>
      </c>
      <c r="J278">
        <v>4.346528972440946E-2</v>
      </c>
      <c r="K278">
        <v>7.4536585000000016E-2</v>
      </c>
      <c r="L278">
        <v>0.71485305798252574</v>
      </c>
    </row>
    <row r="279" spans="1:14" x14ac:dyDescent="0.2">
      <c r="A279">
        <v>488509</v>
      </c>
      <c r="B279">
        <v>100</v>
      </c>
      <c r="C279">
        <v>8</v>
      </c>
      <c r="D279">
        <v>1.75</v>
      </c>
      <c r="E279">
        <v>1.05</v>
      </c>
      <c r="F279">
        <v>1.75</v>
      </c>
      <c r="G279">
        <v>1.05</v>
      </c>
      <c r="H279">
        <v>3.8630000000000001E-3</v>
      </c>
      <c r="I279">
        <v>4.8333125984251969E-2</v>
      </c>
      <c r="J279">
        <v>4.3741479015748048E-2</v>
      </c>
      <c r="K279">
        <v>9.2074605000000018E-2</v>
      </c>
      <c r="L279">
        <v>1.1049723756906074</v>
      </c>
      <c r="M279">
        <v>3.9702210629921263E-2</v>
      </c>
      <c r="N279">
        <v>4.5795636870078753E-2</v>
      </c>
    </row>
    <row r="280" spans="1:14" x14ac:dyDescent="0.2">
      <c r="B280">
        <v>100</v>
      </c>
      <c r="C280">
        <v>8</v>
      </c>
      <c r="D280">
        <v>1.35</v>
      </c>
      <c r="E280">
        <v>0.9</v>
      </c>
      <c r="F280">
        <v>1.35</v>
      </c>
      <c r="G280">
        <v>0.9</v>
      </c>
      <c r="H280">
        <v>3.8630000000000001E-3</v>
      </c>
      <c r="I280">
        <v>3.1071295275590556E-2</v>
      </c>
      <c r="J280">
        <v>4.7849794724409457E-2</v>
      </c>
      <c r="K280">
        <v>7.8921090000000013E-2</v>
      </c>
      <c r="L280">
        <v>0.64935064935064934</v>
      </c>
    </row>
    <row r="281" spans="1:14" x14ac:dyDescent="0.2">
      <c r="A281">
        <v>488510</v>
      </c>
      <c r="B281">
        <v>100</v>
      </c>
      <c r="C281">
        <v>8</v>
      </c>
      <c r="D281">
        <v>1.9</v>
      </c>
      <c r="E281">
        <v>1.1499999999999999</v>
      </c>
      <c r="F281">
        <v>1.9</v>
      </c>
      <c r="G281">
        <v>1.1499999999999999</v>
      </c>
      <c r="H281">
        <v>3.8630000000000001E-3</v>
      </c>
      <c r="I281">
        <v>5.1785492125984253E-2</v>
      </c>
      <c r="J281">
        <v>4.9058122874015737E-2</v>
      </c>
      <c r="K281">
        <v>0.100843615</v>
      </c>
      <c r="L281">
        <v>1.0555946516537653</v>
      </c>
      <c r="M281">
        <v>5.6964041338582669E-2</v>
      </c>
      <c r="N281">
        <v>5.4840836161417314E-2</v>
      </c>
    </row>
    <row r="282" spans="1:14" x14ac:dyDescent="0.2">
      <c r="B282">
        <v>100</v>
      </c>
      <c r="C282">
        <v>8</v>
      </c>
      <c r="D282">
        <v>2.2999999999999998</v>
      </c>
      <c r="E282">
        <v>1.4</v>
      </c>
      <c r="F282">
        <v>2.2999999999999998</v>
      </c>
      <c r="G282">
        <v>1.4</v>
      </c>
      <c r="H282">
        <v>3.8630000000000001E-3</v>
      </c>
      <c r="I282">
        <v>6.2142590551181091E-2</v>
      </c>
      <c r="J282">
        <v>6.0623549448818898E-2</v>
      </c>
      <c r="K282">
        <v>0.12276614</v>
      </c>
      <c r="L282">
        <v>1.0250569476082003</v>
      </c>
    </row>
    <row r="283" spans="1:14" x14ac:dyDescent="0.2">
      <c r="A283">
        <v>488511</v>
      </c>
      <c r="B283">
        <v>100</v>
      </c>
      <c r="C283">
        <v>6</v>
      </c>
      <c r="D283">
        <v>2.75</v>
      </c>
      <c r="E283">
        <v>1.3</v>
      </c>
      <c r="F283">
        <v>2.75</v>
      </c>
      <c r="G283">
        <v>1.3</v>
      </c>
      <c r="H283">
        <v>3.5767E-2</v>
      </c>
      <c r="I283">
        <v>0.92698488582677174</v>
      </c>
      <c r="J283">
        <v>0.12849928417322842</v>
      </c>
      <c r="K283">
        <v>1.0554841700000002</v>
      </c>
      <c r="L283">
        <v>7.2139303482587032</v>
      </c>
      <c r="M283">
        <v>0.92698488582677174</v>
      </c>
      <c r="N283">
        <v>0.12849928417322842</v>
      </c>
    </row>
    <row r="284" spans="1:14" x14ac:dyDescent="0.2">
      <c r="B284">
        <v>100</v>
      </c>
      <c r="C284">
        <v>6</v>
      </c>
      <c r="D284">
        <v>2.75</v>
      </c>
      <c r="E284">
        <v>1.3</v>
      </c>
      <c r="F284">
        <v>2.75</v>
      </c>
      <c r="G284">
        <v>1.3</v>
      </c>
      <c r="H284">
        <v>3.5767E-2</v>
      </c>
      <c r="I284">
        <v>0.92698488582677174</v>
      </c>
      <c r="J284">
        <v>0.12849928417322842</v>
      </c>
      <c r="K284">
        <v>1.0554841700000002</v>
      </c>
      <c r="L284">
        <v>7.2139303482587032</v>
      </c>
    </row>
    <row r="285" spans="1:14" x14ac:dyDescent="0.2">
      <c r="A285">
        <v>488512</v>
      </c>
      <c r="B285">
        <v>100</v>
      </c>
      <c r="C285">
        <v>6</v>
      </c>
      <c r="D285">
        <v>4.75</v>
      </c>
      <c r="E285">
        <v>2.2999999999999998</v>
      </c>
      <c r="F285">
        <v>4.75</v>
      </c>
      <c r="G285">
        <v>2.2999999999999998</v>
      </c>
      <c r="H285">
        <v>3.5767E-2</v>
      </c>
      <c r="I285">
        <v>1.5662848070866144</v>
      </c>
      <c r="J285">
        <v>0.30111026291338561</v>
      </c>
      <c r="K285">
        <v>1.8673950700000002</v>
      </c>
      <c r="L285">
        <v>5.2016985138004292</v>
      </c>
      <c r="M285">
        <v>1.5822673051181102</v>
      </c>
      <c r="N285">
        <v>0.30542553738188982</v>
      </c>
    </row>
    <row r="286" spans="1:14" x14ac:dyDescent="0.2">
      <c r="B286">
        <v>100</v>
      </c>
      <c r="C286">
        <v>6</v>
      </c>
      <c r="D286">
        <v>4.8499999999999996</v>
      </c>
      <c r="E286">
        <v>2.35</v>
      </c>
      <c r="F286">
        <v>4.8499999999999996</v>
      </c>
      <c r="G286">
        <v>2.35</v>
      </c>
      <c r="H286">
        <v>3.5767E-2</v>
      </c>
      <c r="I286">
        <v>1.5982498031496062</v>
      </c>
      <c r="J286">
        <v>0.30974081185039409</v>
      </c>
      <c r="K286">
        <v>1.9079906150000003</v>
      </c>
      <c r="L286">
        <v>5.1599587203302306</v>
      </c>
    </row>
    <row r="287" spans="1:14" x14ac:dyDescent="0.2">
      <c r="A287">
        <v>488513</v>
      </c>
      <c r="B287">
        <v>100</v>
      </c>
      <c r="C287">
        <v>6</v>
      </c>
      <c r="D287">
        <v>4.1500000000000004</v>
      </c>
      <c r="E287">
        <v>2</v>
      </c>
      <c r="F287">
        <v>4.1500000000000004</v>
      </c>
      <c r="G287">
        <v>2</v>
      </c>
      <c r="H287">
        <v>3.5767E-2</v>
      </c>
      <c r="I287">
        <v>1.374494830708662</v>
      </c>
      <c r="J287">
        <v>0.24932696929133852</v>
      </c>
      <c r="K287">
        <v>1.6238218000000004</v>
      </c>
      <c r="L287">
        <v>5.5128205128205163</v>
      </c>
      <c r="M287">
        <v>1.3425298346456698</v>
      </c>
      <c r="N287">
        <v>0.2406964203543307</v>
      </c>
    </row>
    <row r="288" spans="1:14" x14ac:dyDescent="0.2">
      <c r="B288">
        <v>100</v>
      </c>
      <c r="C288">
        <v>6</v>
      </c>
      <c r="D288">
        <v>3.95</v>
      </c>
      <c r="E288">
        <v>1.9</v>
      </c>
      <c r="F288">
        <v>3.95</v>
      </c>
      <c r="G288">
        <v>1.9</v>
      </c>
      <c r="H288">
        <v>3.5767E-2</v>
      </c>
      <c r="I288">
        <v>1.3105648385826774</v>
      </c>
      <c r="J288">
        <v>0.23206587141732288</v>
      </c>
      <c r="K288">
        <v>1.5426307100000003</v>
      </c>
      <c r="L288">
        <v>5.6473829201101928</v>
      </c>
    </row>
    <row r="289" spans="1:14" x14ac:dyDescent="0.2">
      <c r="A289">
        <v>488514</v>
      </c>
      <c r="B289">
        <v>100</v>
      </c>
      <c r="C289">
        <v>6</v>
      </c>
      <c r="D289">
        <v>4.3499999999999996</v>
      </c>
      <c r="E289">
        <v>2.0499999999999998</v>
      </c>
      <c r="F289">
        <v>4.3499999999999996</v>
      </c>
      <c r="G289">
        <v>2.0499999999999998</v>
      </c>
      <c r="H289">
        <v>3.5767E-2</v>
      </c>
      <c r="I289">
        <v>1.4703898188976379</v>
      </c>
      <c r="J289">
        <v>0.19402752610236249</v>
      </c>
      <c r="K289">
        <v>1.6644173450000004</v>
      </c>
      <c r="L289">
        <v>7.5782537067545199</v>
      </c>
      <c r="M289">
        <v>1.3585123326771655</v>
      </c>
      <c r="N289">
        <v>0.20441614982283493</v>
      </c>
    </row>
    <row r="290" spans="1:14" x14ac:dyDescent="0.2">
      <c r="B290">
        <v>100</v>
      </c>
      <c r="C290">
        <v>6</v>
      </c>
      <c r="D290">
        <v>3.75</v>
      </c>
      <c r="E290">
        <v>1.8</v>
      </c>
      <c r="F290">
        <v>3.75</v>
      </c>
      <c r="G290">
        <v>1.8</v>
      </c>
      <c r="H290">
        <v>3.5767E-2</v>
      </c>
      <c r="I290">
        <v>1.246634846456693</v>
      </c>
      <c r="J290">
        <v>0.21480477354330738</v>
      </c>
      <c r="K290">
        <v>1.4614396200000004</v>
      </c>
      <c r="L290">
        <v>5.8035714285714208</v>
      </c>
    </row>
    <row r="291" spans="1:14" x14ac:dyDescent="0.2">
      <c r="A291">
        <v>488518</v>
      </c>
      <c r="B291">
        <v>100</v>
      </c>
      <c r="C291">
        <v>8</v>
      </c>
      <c r="D291">
        <v>2.65</v>
      </c>
      <c r="E291">
        <v>1.55</v>
      </c>
      <c r="F291">
        <v>2.65</v>
      </c>
      <c r="G291">
        <v>1.55</v>
      </c>
      <c r="H291">
        <v>3.8630000000000001E-3</v>
      </c>
      <c r="I291">
        <v>7.5952055118110234E-2</v>
      </c>
      <c r="J291">
        <v>5.9967599881889766E-2</v>
      </c>
      <c r="K291">
        <v>0.135919655</v>
      </c>
      <c r="L291">
        <v>1.2665515256188831</v>
      </c>
      <c r="M291">
        <v>7.4225872047244096E-2</v>
      </c>
      <c r="N291">
        <v>6.6078287952755915E-2</v>
      </c>
    </row>
    <row r="292" spans="1:14" x14ac:dyDescent="0.2">
      <c r="B292">
        <v>100</v>
      </c>
      <c r="C292">
        <v>8</v>
      </c>
      <c r="D292">
        <v>2.7</v>
      </c>
      <c r="E292">
        <v>1.65</v>
      </c>
      <c r="F292">
        <v>2.7</v>
      </c>
      <c r="G292">
        <v>1.65</v>
      </c>
      <c r="H292">
        <v>3.8630000000000001E-3</v>
      </c>
      <c r="I292">
        <v>7.2499688976377971E-2</v>
      </c>
      <c r="J292">
        <v>7.2188976023622051E-2</v>
      </c>
      <c r="K292">
        <v>0.14468866500000002</v>
      </c>
      <c r="L292">
        <v>1.004304160688666</v>
      </c>
    </row>
    <row r="293" spans="1:14" x14ac:dyDescent="0.2">
      <c r="A293">
        <v>488519</v>
      </c>
      <c r="B293">
        <v>100</v>
      </c>
      <c r="C293">
        <v>8</v>
      </c>
      <c r="D293">
        <v>1.75</v>
      </c>
      <c r="E293">
        <v>1.05</v>
      </c>
      <c r="F293">
        <v>1.75</v>
      </c>
      <c r="G293">
        <v>1.05</v>
      </c>
      <c r="H293">
        <v>3.8630000000000001E-3</v>
      </c>
      <c r="I293">
        <v>4.8333125984251969E-2</v>
      </c>
      <c r="J293">
        <v>4.3741479015748048E-2</v>
      </c>
      <c r="K293">
        <v>9.2074605000000018E-2</v>
      </c>
      <c r="L293">
        <v>1.1049723756906074</v>
      </c>
      <c r="M293">
        <v>5.523785826771653E-2</v>
      </c>
      <c r="N293">
        <v>3.4644494232283482E-2</v>
      </c>
    </row>
    <row r="294" spans="1:14" x14ac:dyDescent="0.2">
      <c r="B294">
        <v>100</v>
      </c>
      <c r="C294">
        <v>8</v>
      </c>
      <c r="D294">
        <v>1.9</v>
      </c>
      <c r="E294">
        <v>1</v>
      </c>
      <c r="F294">
        <v>1.9</v>
      </c>
      <c r="G294">
        <v>1</v>
      </c>
      <c r="H294">
        <v>3.8630000000000001E-3</v>
      </c>
      <c r="I294">
        <v>6.2142590551181091E-2</v>
      </c>
      <c r="J294">
        <v>2.5547509448818912E-2</v>
      </c>
      <c r="K294">
        <v>8.7690100000000007E-2</v>
      </c>
      <c r="L294">
        <v>2.4324324324324307</v>
      </c>
    </row>
    <row r="295" spans="1:14" x14ac:dyDescent="0.2">
      <c r="A295">
        <v>488520</v>
      </c>
      <c r="B295">
        <v>100</v>
      </c>
      <c r="C295">
        <v>8</v>
      </c>
      <c r="D295">
        <v>5.15</v>
      </c>
      <c r="E295">
        <v>2.75</v>
      </c>
      <c r="F295">
        <v>5.15</v>
      </c>
      <c r="G295">
        <v>2.75</v>
      </c>
      <c r="H295">
        <v>3.8630000000000001E-3</v>
      </c>
      <c r="I295">
        <v>0.16571357480314963</v>
      </c>
      <c r="J295">
        <v>7.5434200196850376E-2</v>
      </c>
      <c r="K295">
        <v>0.24114777500000001</v>
      </c>
      <c r="L295">
        <v>2.1967963386727698</v>
      </c>
      <c r="M295">
        <v>0.16398739173228347</v>
      </c>
      <c r="N295">
        <v>7.716038326771657E-2</v>
      </c>
    </row>
    <row r="296" spans="1:14" x14ac:dyDescent="0.2">
      <c r="B296">
        <v>100</v>
      </c>
      <c r="C296">
        <v>8</v>
      </c>
      <c r="D296">
        <v>5.0999999999999996</v>
      </c>
      <c r="E296">
        <v>2.75</v>
      </c>
      <c r="F296">
        <v>5.0999999999999996</v>
      </c>
      <c r="G296">
        <v>2.75</v>
      </c>
      <c r="H296">
        <v>3.8630000000000001E-3</v>
      </c>
      <c r="I296">
        <v>0.1622612086614173</v>
      </c>
      <c r="J296">
        <v>7.888656633858275E-2</v>
      </c>
      <c r="K296">
        <v>0.24114777500000006</v>
      </c>
      <c r="L296">
        <v>2.0568927789934333</v>
      </c>
    </row>
    <row r="297" spans="1:14" x14ac:dyDescent="0.2">
      <c r="A297">
        <v>488521</v>
      </c>
      <c r="B297">
        <v>100</v>
      </c>
      <c r="C297">
        <v>6</v>
      </c>
      <c r="D297">
        <v>2.35</v>
      </c>
      <c r="E297">
        <v>1.1000000000000001</v>
      </c>
      <c r="F297">
        <v>2.35</v>
      </c>
      <c r="G297">
        <v>1.1000000000000001</v>
      </c>
      <c r="H297">
        <v>3.5767E-2</v>
      </c>
      <c r="I297">
        <v>0.7991249015748032</v>
      </c>
      <c r="J297">
        <v>9.3977088425197072E-2</v>
      </c>
      <c r="K297">
        <v>0.89310199000000023</v>
      </c>
      <c r="L297">
        <v>8.5034013605441974</v>
      </c>
      <c r="M297">
        <v>0.783142403543307</v>
      </c>
      <c r="N297">
        <v>0.15055513145669305</v>
      </c>
    </row>
    <row r="298" spans="1:14" x14ac:dyDescent="0.2">
      <c r="B298">
        <v>100</v>
      </c>
      <c r="C298">
        <v>6</v>
      </c>
      <c r="D298">
        <v>2.4</v>
      </c>
      <c r="E298">
        <v>1.2</v>
      </c>
      <c r="F298">
        <v>2.4</v>
      </c>
      <c r="G298">
        <v>1.2</v>
      </c>
      <c r="H298">
        <v>3.5767E-2</v>
      </c>
      <c r="I298">
        <v>0.7671599055118109</v>
      </c>
      <c r="J298">
        <v>0.20713317448818905</v>
      </c>
      <c r="K298">
        <v>0.97429307999999992</v>
      </c>
      <c r="L298">
        <v>3.7037037037037019</v>
      </c>
    </row>
    <row r="299" spans="1:14" x14ac:dyDescent="0.2">
      <c r="A299">
        <v>488522</v>
      </c>
      <c r="B299">
        <v>100</v>
      </c>
      <c r="C299">
        <v>6</v>
      </c>
      <c r="D299">
        <v>5.05</v>
      </c>
      <c r="E299">
        <v>2.4500000000000002</v>
      </c>
      <c r="F299">
        <v>5.05</v>
      </c>
      <c r="G299">
        <v>2.4500000000000002</v>
      </c>
      <c r="H299">
        <v>3.5767E-2</v>
      </c>
      <c r="I299">
        <v>1.6621797952755903</v>
      </c>
      <c r="J299">
        <v>0.32700190972441007</v>
      </c>
      <c r="K299">
        <v>1.9891817050000005</v>
      </c>
      <c r="L299">
        <v>5.0830889540566861</v>
      </c>
      <c r="M299">
        <v>1.6461972972440944</v>
      </c>
      <c r="N299">
        <v>0.28209109025590573</v>
      </c>
    </row>
    <row r="300" spans="1:14" x14ac:dyDescent="0.2">
      <c r="B300">
        <v>100</v>
      </c>
      <c r="C300">
        <v>6</v>
      </c>
      <c r="D300">
        <v>4.8499999999999996</v>
      </c>
      <c r="E300">
        <v>2.2999999999999998</v>
      </c>
      <c r="F300">
        <v>4.8499999999999996</v>
      </c>
      <c r="G300">
        <v>2.2999999999999998</v>
      </c>
      <c r="H300">
        <v>3.5767E-2</v>
      </c>
      <c r="I300">
        <v>1.6302147992125984</v>
      </c>
      <c r="J300">
        <v>0.23718027078740142</v>
      </c>
      <c r="K300">
        <v>1.8673950699999997</v>
      </c>
      <c r="L300">
        <v>6.8733153638814057</v>
      </c>
    </row>
    <row r="301" spans="1:14" x14ac:dyDescent="0.2">
      <c r="A301">
        <v>488523</v>
      </c>
      <c r="B301">
        <v>100</v>
      </c>
      <c r="C301">
        <v>6</v>
      </c>
      <c r="D301">
        <v>4.6500000000000004</v>
      </c>
      <c r="E301">
        <v>2.25</v>
      </c>
      <c r="F301">
        <v>4.6500000000000004</v>
      </c>
      <c r="G301">
        <v>2.25</v>
      </c>
      <c r="H301">
        <v>3.5767E-2</v>
      </c>
      <c r="I301">
        <v>1.5343198110236222</v>
      </c>
      <c r="J301">
        <v>0.29247971397637751</v>
      </c>
      <c r="K301">
        <v>1.8267995249999998</v>
      </c>
      <c r="L301">
        <v>5.2459016393442708</v>
      </c>
      <c r="M301">
        <v>1.5183373129921258</v>
      </c>
      <c r="N301">
        <v>0.28816443950787418</v>
      </c>
    </row>
    <row r="302" spans="1:14" x14ac:dyDescent="0.2">
      <c r="B302">
        <v>100</v>
      </c>
      <c r="C302">
        <v>6</v>
      </c>
      <c r="D302">
        <v>4.55</v>
      </c>
      <c r="E302">
        <v>2.2000000000000002</v>
      </c>
      <c r="F302">
        <v>4.55</v>
      </c>
      <c r="G302">
        <v>2.2000000000000002</v>
      </c>
      <c r="H302">
        <v>3.5767E-2</v>
      </c>
      <c r="I302">
        <v>1.5023548149606296</v>
      </c>
      <c r="J302">
        <v>0.2838491650393708</v>
      </c>
      <c r="K302">
        <v>1.7862039800000005</v>
      </c>
      <c r="L302">
        <v>5.2927927927927785</v>
      </c>
    </row>
    <row r="303" spans="1:14" x14ac:dyDescent="0.2">
      <c r="A303">
        <v>488524</v>
      </c>
      <c r="B303">
        <v>100</v>
      </c>
      <c r="C303">
        <v>6</v>
      </c>
      <c r="D303">
        <v>4.45</v>
      </c>
      <c r="E303">
        <v>2.1</v>
      </c>
      <c r="F303">
        <v>4.45</v>
      </c>
      <c r="G303">
        <v>2.1</v>
      </c>
      <c r="H303">
        <v>3.5767E-2</v>
      </c>
      <c r="I303">
        <v>1.5023548149606298</v>
      </c>
      <c r="J303">
        <v>0.20265807503936994</v>
      </c>
      <c r="K303">
        <v>1.7050128899999999</v>
      </c>
      <c r="L303">
        <v>7.4132492113564714</v>
      </c>
      <c r="M303">
        <v>1.534319811023622</v>
      </c>
      <c r="N303">
        <v>0.21128862397637793</v>
      </c>
    </row>
    <row r="304" spans="1:14" x14ac:dyDescent="0.2">
      <c r="B304">
        <v>100</v>
      </c>
      <c r="C304">
        <v>6</v>
      </c>
      <c r="D304">
        <v>4.6500000000000004</v>
      </c>
      <c r="E304">
        <v>2.2000000000000002</v>
      </c>
      <c r="F304">
        <v>4.6500000000000004</v>
      </c>
      <c r="G304">
        <v>2.2000000000000002</v>
      </c>
      <c r="H304">
        <v>3.5767E-2</v>
      </c>
      <c r="I304">
        <v>1.5662848070866144</v>
      </c>
      <c r="J304">
        <v>0.21991917291338589</v>
      </c>
      <c r="K304">
        <v>1.7862039800000002</v>
      </c>
      <c r="L304">
        <v>7.1220930232558128</v>
      </c>
    </row>
    <row r="305" spans="1:14" x14ac:dyDescent="0.2">
      <c r="A305">
        <v>488525</v>
      </c>
      <c r="B305">
        <v>100</v>
      </c>
      <c r="C305">
        <v>6</v>
      </c>
      <c r="D305">
        <v>4.45</v>
      </c>
      <c r="E305">
        <v>2.1</v>
      </c>
      <c r="F305">
        <v>4.45</v>
      </c>
      <c r="G305">
        <v>2.1</v>
      </c>
      <c r="H305">
        <v>3.5767E-2</v>
      </c>
      <c r="I305">
        <v>1.5023548149606298</v>
      </c>
      <c r="J305">
        <v>0.20265807503936994</v>
      </c>
      <c r="K305">
        <v>1.7050128899999999</v>
      </c>
      <c r="L305">
        <v>7.4132492113564714</v>
      </c>
      <c r="M305">
        <v>1.4703898188976379</v>
      </c>
      <c r="N305">
        <v>0.19402752610236215</v>
      </c>
    </row>
    <row r="306" spans="1:14" x14ac:dyDescent="0.2">
      <c r="B306">
        <v>100</v>
      </c>
      <c r="C306">
        <v>6</v>
      </c>
      <c r="D306">
        <v>4.25</v>
      </c>
      <c r="E306">
        <v>2</v>
      </c>
      <c r="F306">
        <v>4.25</v>
      </c>
      <c r="G306">
        <v>2</v>
      </c>
      <c r="H306">
        <v>3.5767E-2</v>
      </c>
      <c r="I306">
        <v>1.4384248228346459</v>
      </c>
      <c r="J306">
        <v>0.18539697716535436</v>
      </c>
      <c r="K306">
        <v>1.6238218000000002</v>
      </c>
      <c r="L306">
        <v>7.7586206896551726</v>
      </c>
    </row>
    <row r="307" spans="1:14" x14ac:dyDescent="0.2">
      <c r="A307">
        <v>488527</v>
      </c>
      <c r="B307">
        <v>100</v>
      </c>
      <c r="C307">
        <v>8</v>
      </c>
      <c r="D307">
        <v>2.1</v>
      </c>
      <c r="E307">
        <v>1.2</v>
      </c>
      <c r="F307">
        <v>2.1</v>
      </c>
      <c r="G307">
        <v>1.2</v>
      </c>
      <c r="H307">
        <v>3.8630000000000001E-3</v>
      </c>
      <c r="I307">
        <v>6.2142590551181112E-2</v>
      </c>
      <c r="J307">
        <v>4.3085529448818889E-2</v>
      </c>
      <c r="K307">
        <v>0.10522812000000001</v>
      </c>
      <c r="L307">
        <v>1.4423076923076927</v>
      </c>
      <c r="M307">
        <v>6.904732283464568E-2</v>
      </c>
      <c r="N307">
        <v>4.275755466535433E-2</v>
      </c>
    </row>
    <row r="308" spans="1:14" x14ac:dyDescent="0.2">
      <c r="B308">
        <v>100</v>
      </c>
      <c r="C308">
        <v>8</v>
      </c>
      <c r="D308">
        <v>2.4500000000000002</v>
      </c>
      <c r="E308">
        <v>1.35</v>
      </c>
      <c r="F308">
        <v>2.4500000000000002</v>
      </c>
      <c r="G308">
        <v>1.35</v>
      </c>
      <c r="H308">
        <v>3.8630000000000001E-3</v>
      </c>
      <c r="I308">
        <v>7.5952055118110248E-2</v>
      </c>
      <c r="J308">
        <v>4.2429579881889772E-2</v>
      </c>
      <c r="K308">
        <v>0.11838163500000001</v>
      </c>
      <c r="L308">
        <v>1.790073230268511</v>
      </c>
    </row>
    <row r="309" spans="1:14" x14ac:dyDescent="0.2">
      <c r="A309">
        <v>488528</v>
      </c>
      <c r="B309">
        <v>100</v>
      </c>
      <c r="C309">
        <v>8</v>
      </c>
      <c r="D309">
        <v>2.65</v>
      </c>
      <c r="E309">
        <v>1.55</v>
      </c>
      <c r="F309">
        <v>2.65</v>
      </c>
      <c r="G309">
        <v>1.55</v>
      </c>
      <c r="H309">
        <v>3.8630000000000001E-3</v>
      </c>
      <c r="I309">
        <v>7.5952055118110234E-2</v>
      </c>
      <c r="J309">
        <v>5.9967599881889766E-2</v>
      </c>
      <c r="K309">
        <v>0.135919655</v>
      </c>
      <c r="L309">
        <v>1.2665515256188831</v>
      </c>
      <c r="M309">
        <v>7.0773505905511819E-2</v>
      </c>
      <c r="N309">
        <v>5.4184886594488182E-2</v>
      </c>
    </row>
    <row r="310" spans="1:14" x14ac:dyDescent="0.2">
      <c r="B310">
        <v>100</v>
      </c>
      <c r="C310">
        <v>8</v>
      </c>
      <c r="D310">
        <v>2.25</v>
      </c>
      <c r="E310">
        <v>1.3</v>
      </c>
      <c r="F310">
        <v>2.25</v>
      </c>
      <c r="G310">
        <v>1.3</v>
      </c>
      <c r="H310">
        <v>3.8630000000000001E-3</v>
      </c>
      <c r="I310">
        <v>6.5594956692913389E-2</v>
      </c>
      <c r="J310">
        <v>4.8402173307086606E-2</v>
      </c>
      <c r="K310">
        <v>0.11399713</v>
      </c>
      <c r="L310">
        <v>1.3552068473609133</v>
      </c>
    </row>
    <row r="311" spans="1:14" x14ac:dyDescent="0.2">
      <c r="A311">
        <v>488529</v>
      </c>
      <c r="B311">
        <v>100</v>
      </c>
      <c r="C311">
        <v>6</v>
      </c>
      <c r="D311">
        <v>4.25</v>
      </c>
      <c r="E311">
        <v>2</v>
      </c>
      <c r="F311">
        <v>4.25</v>
      </c>
      <c r="G311">
        <v>2</v>
      </c>
      <c r="H311">
        <v>3.5767E-2</v>
      </c>
      <c r="I311">
        <v>1.4384248228346459</v>
      </c>
      <c r="J311">
        <v>0.18539697716535436</v>
      </c>
      <c r="K311">
        <v>1.6238218000000002</v>
      </c>
      <c r="L311">
        <v>7.7586206896551726</v>
      </c>
      <c r="M311">
        <v>1.5023548149606301</v>
      </c>
      <c r="N311">
        <v>0.16206253003937027</v>
      </c>
    </row>
    <row r="312" spans="1:14" x14ac:dyDescent="0.2">
      <c r="B312">
        <v>100</v>
      </c>
      <c r="C312">
        <v>6</v>
      </c>
      <c r="D312">
        <v>4.55</v>
      </c>
      <c r="E312">
        <v>2.1</v>
      </c>
      <c r="F312">
        <v>4.55</v>
      </c>
      <c r="G312">
        <v>2.1</v>
      </c>
      <c r="H312">
        <v>3.5767E-2</v>
      </c>
      <c r="I312">
        <v>1.5662848070866142</v>
      </c>
      <c r="J312">
        <v>0.13872808291338617</v>
      </c>
      <c r="K312">
        <v>1.7050128900000003</v>
      </c>
      <c r="L312">
        <v>11.290322580645133</v>
      </c>
    </row>
    <row r="313" spans="1:14" x14ac:dyDescent="0.2">
      <c r="A313">
        <v>488530</v>
      </c>
      <c r="B313">
        <v>100</v>
      </c>
      <c r="C313">
        <v>6</v>
      </c>
      <c r="D313">
        <v>5.2</v>
      </c>
      <c r="E313">
        <v>2.4500000000000002</v>
      </c>
      <c r="F313">
        <v>5.2</v>
      </c>
      <c r="G313">
        <v>2.4500000000000002</v>
      </c>
      <c r="H313">
        <v>3.5767E-2</v>
      </c>
      <c r="I313">
        <v>1.7580747834645671</v>
      </c>
      <c r="J313">
        <v>0.23110692153543347</v>
      </c>
      <c r="K313">
        <v>1.9891817050000007</v>
      </c>
      <c r="L313">
        <v>7.6071922544951471</v>
      </c>
      <c r="M313">
        <v>1.7740572814960631</v>
      </c>
      <c r="N313">
        <v>0.2151244235039374</v>
      </c>
    </row>
    <row r="314" spans="1:14" x14ac:dyDescent="0.2">
      <c r="B314">
        <v>100</v>
      </c>
      <c r="C314">
        <v>6</v>
      </c>
      <c r="D314">
        <v>5.25</v>
      </c>
      <c r="E314">
        <v>2.4500000000000002</v>
      </c>
      <c r="F314">
        <v>5.25</v>
      </c>
      <c r="G314">
        <v>2.4500000000000002</v>
      </c>
      <c r="H314">
        <v>3.5767E-2</v>
      </c>
      <c r="I314">
        <v>1.7900397795275591</v>
      </c>
      <c r="J314">
        <v>0.19914192547244133</v>
      </c>
      <c r="K314">
        <v>1.9891817050000005</v>
      </c>
      <c r="L314">
        <v>8.9887640449438031</v>
      </c>
    </row>
    <row r="315" spans="1:14" x14ac:dyDescent="0.2">
      <c r="A315">
        <v>488531</v>
      </c>
      <c r="B315">
        <v>100</v>
      </c>
      <c r="C315">
        <v>6</v>
      </c>
      <c r="D315">
        <v>5.6</v>
      </c>
      <c r="E315">
        <v>2.65</v>
      </c>
      <c r="F315">
        <v>5.6</v>
      </c>
      <c r="G315">
        <v>2.65</v>
      </c>
      <c r="H315">
        <v>3.5767E-2</v>
      </c>
      <c r="I315">
        <v>1.8859347677165355</v>
      </c>
      <c r="J315">
        <v>0.26562911728346461</v>
      </c>
      <c r="K315">
        <v>2.1515638849999998</v>
      </c>
      <c r="L315">
        <v>7.0998796630565577</v>
      </c>
      <c r="M315">
        <v>1.9178997637795274</v>
      </c>
      <c r="N315">
        <v>0.27425966622047238</v>
      </c>
    </row>
    <row r="316" spans="1:14" x14ac:dyDescent="0.2">
      <c r="B316">
        <v>100</v>
      </c>
      <c r="C316">
        <v>6</v>
      </c>
      <c r="D316">
        <v>5.8</v>
      </c>
      <c r="E316">
        <v>2.75</v>
      </c>
      <c r="F316">
        <v>5.8</v>
      </c>
      <c r="G316">
        <v>2.75</v>
      </c>
      <c r="H316">
        <v>3.5767E-2</v>
      </c>
      <c r="I316">
        <v>1.9498647598425196</v>
      </c>
      <c r="J316">
        <v>0.2828902151574802</v>
      </c>
      <c r="K316">
        <v>2.2327549749999998</v>
      </c>
      <c r="L316">
        <v>6.8926553672316411</v>
      </c>
    </row>
    <row r="317" spans="1:14" x14ac:dyDescent="0.2">
      <c r="A317">
        <v>488532</v>
      </c>
      <c r="B317">
        <v>100</v>
      </c>
      <c r="C317">
        <v>6</v>
      </c>
      <c r="D317">
        <v>4.2</v>
      </c>
      <c r="E317">
        <v>2.0499999999999998</v>
      </c>
      <c r="F317">
        <v>4.2</v>
      </c>
      <c r="G317">
        <v>2.0499999999999998</v>
      </c>
      <c r="H317">
        <v>3.5767E-2</v>
      </c>
      <c r="I317">
        <v>1.374494830708662</v>
      </c>
      <c r="J317">
        <v>0.28992251429133836</v>
      </c>
      <c r="K317">
        <v>1.6644173450000004</v>
      </c>
      <c r="L317">
        <v>4.7409040793825854</v>
      </c>
      <c r="M317">
        <v>1.4224423248031499</v>
      </c>
      <c r="N317">
        <v>0.28257056519685009</v>
      </c>
    </row>
    <row r="318" spans="1:14" x14ac:dyDescent="0.2">
      <c r="B318">
        <v>100</v>
      </c>
      <c r="C318">
        <v>6</v>
      </c>
      <c r="D318">
        <v>4.45</v>
      </c>
      <c r="E318">
        <v>2.15</v>
      </c>
      <c r="F318">
        <v>4.45</v>
      </c>
      <c r="G318">
        <v>2.15</v>
      </c>
      <c r="H318">
        <v>3.5767E-2</v>
      </c>
      <c r="I318">
        <v>1.4703898188976379</v>
      </c>
      <c r="J318">
        <v>0.27521861610236187</v>
      </c>
      <c r="K318">
        <v>1.7456084349999998</v>
      </c>
      <c r="L318">
        <v>5.3426248548199835</v>
      </c>
    </row>
    <row r="319" spans="1:14" x14ac:dyDescent="0.2">
      <c r="A319">
        <v>488533</v>
      </c>
      <c r="B319">
        <v>100</v>
      </c>
      <c r="C319">
        <v>6</v>
      </c>
      <c r="D319">
        <v>4.25</v>
      </c>
      <c r="E319">
        <v>2.0499999999999998</v>
      </c>
      <c r="F319">
        <v>4.25</v>
      </c>
      <c r="G319">
        <v>2.0499999999999998</v>
      </c>
      <c r="H319">
        <v>3.5767E-2</v>
      </c>
      <c r="I319">
        <v>1.4064598267716539</v>
      </c>
      <c r="J319">
        <v>0.25795751822834628</v>
      </c>
      <c r="K319">
        <v>1.6644173450000002</v>
      </c>
      <c r="L319">
        <v>5.4522924411400302</v>
      </c>
      <c r="M319">
        <v>1.3744948307086615</v>
      </c>
      <c r="N319">
        <v>0.24932696929133852</v>
      </c>
    </row>
    <row r="320" spans="1:14" x14ac:dyDescent="0.2">
      <c r="B320">
        <v>100</v>
      </c>
      <c r="C320">
        <v>6</v>
      </c>
      <c r="D320">
        <v>4.05</v>
      </c>
      <c r="E320">
        <v>1.95</v>
      </c>
      <c r="F320">
        <v>4.05</v>
      </c>
      <c r="G320">
        <v>1.95</v>
      </c>
      <c r="H320">
        <v>3.5767E-2</v>
      </c>
      <c r="I320">
        <v>1.3425298346456691</v>
      </c>
      <c r="J320">
        <v>0.24069642035433073</v>
      </c>
      <c r="K320">
        <v>1.5832262549999998</v>
      </c>
      <c r="L320">
        <v>5.577689243027887</v>
      </c>
    </row>
    <row r="321" spans="1:14" x14ac:dyDescent="0.2">
      <c r="A321">
        <v>488534</v>
      </c>
      <c r="B321">
        <v>100</v>
      </c>
      <c r="C321">
        <v>6</v>
      </c>
      <c r="D321">
        <v>4.05</v>
      </c>
      <c r="E321">
        <v>1.95</v>
      </c>
      <c r="F321">
        <v>4.05</v>
      </c>
      <c r="G321">
        <v>1.95</v>
      </c>
      <c r="H321">
        <v>3.5767E-2</v>
      </c>
      <c r="I321">
        <v>1.3425298346456691</v>
      </c>
      <c r="J321">
        <v>0.24069642035433073</v>
      </c>
      <c r="K321">
        <v>1.5832262549999998</v>
      </c>
      <c r="L321">
        <v>5.577689243027887</v>
      </c>
      <c r="M321">
        <v>1.3585123326771651</v>
      </c>
      <c r="N321">
        <v>0.22471392232283469</v>
      </c>
    </row>
    <row r="322" spans="1:14" x14ac:dyDescent="0.2">
      <c r="B322">
        <v>100</v>
      </c>
      <c r="C322">
        <v>6</v>
      </c>
      <c r="D322">
        <v>4.0999999999999996</v>
      </c>
      <c r="E322">
        <v>1.95</v>
      </c>
      <c r="F322">
        <v>4.0999999999999996</v>
      </c>
      <c r="G322">
        <v>1.95</v>
      </c>
      <c r="H322">
        <v>3.5767E-2</v>
      </c>
      <c r="I322">
        <v>1.3744948307086611</v>
      </c>
      <c r="J322">
        <v>0.20873142429133865</v>
      </c>
      <c r="K322">
        <v>1.5832262549999998</v>
      </c>
      <c r="L322">
        <v>6.5849923430321553</v>
      </c>
    </row>
    <row r="323" spans="1:14" x14ac:dyDescent="0.2">
      <c r="A323">
        <v>488535</v>
      </c>
      <c r="B323">
        <v>100</v>
      </c>
      <c r="C323">
        <v>6</v>
      </c>
      <c r="D323">
        <v>4.3499999999999996</v>
      </c>
      <c r="E323">
        <v>2.0499999999999998</v>
      </c>
      <c r="F323">
        <v>4.3499999999999996</v>
      </c>
      <c r="G323">
        <v>2.0499999999999998</v>
      </c>
      <c r="H323">
        <v>3.5767E-2</v>
      </c>
      <c r="I323">
        <v>1.4703898188976379</v>
      </c>
      <c r="J323">
        <v>0.19402752610236249</v>
      </c>
      <c r="K323">
        <v>1.6644173450000004</v>
      </c>
      <c r="L323">
        <v>7.5782537067545199</v>
      </c>
      <c r="M323">
        <v>1.4863723169291339</v>
      </c>
      <c r="N323">
        <v>0.21864057307086615</v>
      </c>
    </row>
    <row r="324" spans="1:14" x14ac:dyDescent="0.2">
      <c r="B324">
        <v>100</v>
      </c>
      <c r="C324">
        <v>6</v>
      </c>
      <c r="D324">
        <v>4.5</v>
      </c>
      <c r="E324">
        <v>2.15</v>
      </c>
      <c r="F324">
        <v>4.5</v>
      </c>
      <c r="G324">
        <v>2.15</v>
      </c>
      <c r="H324">
        <v>3.5767E-2</v>
      </c>
      <c r="I324">
        <v>1.5023548149606298</v>
      </c>
      <c r="J324">
        <v>0.24325362003936982</v>
      </c>
      <c r="K324">
        <v>1.7456084349999996</v>
      </c>
      <c r="L324">
        <v>6.1760840998686</v>
      </c>
    </row>
    <row r="325" spans="1:14" x14ac:dyDescent="0.2">
      <c r="A325">
        <v>488538</v>
      </c>
      <c r="B325">
        <v>100</v>
      </c>
      <c r="C325">
        <v>8</v>
      </c>
      <c r="D325">
        <v>2.75</v>
      </c>
      <c r="E325">
        <v>1.65</v>
      </c>
      <c r="F325">
        <v>2.75</v>
      </c>
      <c r="G325">
        <v>1.65</v>
      </c>
      <c r="H325">
        <v>3.8630000000000001E-3</v>
      </c>
      <c r="I325">
        <v>7.5952055118110248E-2</v>
      </c>
      <c r="J325">
        <v>6.8736609881889774E-2</v>
      </c>
      <c r="K325">
        <v>0.14468866500000002</v>
      </c>
      <c r="L325">
        <v>1.1049723756906078</v>
      </c>
      <c r="M325">
        <v>8.6309153543307093E-2</v>
      </c>
      <c r="N325">
        <v>5.3995006456692918E-2</v>
      </c>
    </row>
    <row r="326" spans="1:14" x14ac:dyDescent="0.2">
      <c r="B326">
        <v>100</v>
      </c>
      <c r="C326">
        <v>8</v>
      </c>
      <c r="D326">
        <v>2.95</v>
      </c>
      <c r="E326">
        <v>1.55</v>
      </c>
      <c r="F326">
        <v>2.95</v>
      </c>
      <c r="G326">
        <v>1.55</v>
      </c>
      <c r="H326">
        <v>3.8630000000000001E-3</v>
      </c>
      <c r="I326">
        <v>9.6666251968503952E-2</v>
      </c>
      <c r="J326">
        <v>3.9253403031496069E-2</v>
      </c>
      <c r="K326">
        <v>0.13591965500000003</v>
      </c>
      <c r="L326">
        <v>2.4626209322779244</v>
      </c>
    </row>
    <row r="327" spans="1:14" x14ac:dyDescent="0.2">
      <c r="A327">
        <v>488539</v>
      </c>
      <c r="B327">
        <v>100</v>
      </c>
      <c r="C327">
        <v>8</v>
      </c>
      <c r="D327">
        <v>2.4</v>
      </c>
      <c r="E327">
        <v>1.45</v>
      </c>
      <c r="F327">
        <v>2.4</v>
      </c>
      <c r="G327">
        <v>1.45</v>
      </c>
      <c r="H327">
        <v>3.8630000000000001E-3</v>
      </c>
      <c r="I327">
        <v>6.5594956692913389E-2</v>
      </c>
      <c r="J327">
        <v>6.1555688307086624E-2</v>
      </c>
      <c r="K327">
        <v>0.12715064500000001</v>
      </c>
      <c r="L327">
        <v>1.0656197420078519</v>
      </c>
      <c r="M327">
        <v>9.1487702755905523E-2</v>
      </c>
      <c r="N327">
        <v>6.1969972244094493E-2</v>
      </c>
    </row>
    <row r="328" spans="1:14" x14ac:dyDescent="0.2">
      <c r="B328">
        <v>100</v>
      </c>
      <c r="C328">
        <v>8</v>
      </c>
      <c r="D328">
        <v>3.75</v>
      </c>
      <c r="E328">
        <v>2.0499999999999998</v>
      </c>
      <c r="F328">
        <v>3.75</v>
      </c>
      <c r="G328">
        <v>2.0499999999999998</v>
      </c>
      <c r="H328">
        <v>3.8630000000000001E-3</v>
      </c>
      <c r="I328">
        <v>0.11738044881889766</v>
      </c>
      <c r="J328">
        <v>6.2384256181102361E-2</v>
      </c>
      <c r="K328">
        <v>0.17976470500000002</v>
      </c>
      <c r="L328">
        <v>1.881571665744328</v>
      </c>
    </row>
    <row r="329" spans="1:14" x14ac:dyDescent="0.2">
      <c r="A329">
        <v>488540</v>
      </c>
      <c r="B329">
        <v>100</v>
      </c>
      <c r="C329">
        <v>8</v>
      </c>
      <c r="D329">
        <v>3.95</v>
      </c>
      <c r="E329">
        <v>2.35</v>
      </c>
      <c r="F329">
        <v>3.95</v>
      </c>
      <c r="G329">
        <v>2.35</v>
      </c>
      <c r="H329">
        <v>3.8630000000000001E-3</v>
      </c>
      <c r="I329">
        <v>0.11047571653543307</v>
      </c>
      <c r="J329">
        <v>9.5596018464566945E-2</v>
      </c>
      <c r="K329">
        <v>0.20607173500000003</v>
      </c>
      <c r="L329">
        <v>1.1556518598772119</v>
      </c>
      <c r="M329">
        <v>0.12255899803149609</v>
      </c>
      <c r="N329">
        <v>9.8858504468503944E-2</v>
      </c>
    </row>
    <row r="330" spans="1:14" x14ac:dyDescent="0.2">
      <c r="B330">
        <v>100</v>
      </c>
      <c r="C330">
        <v>8</v>
      </c>
      <c r="D330">
        <v>4.6500000000000004</v>
      </c>
      <c r="E330">
        <v>2.7</v>
      </c>
      <c r="F330">
        <v>4.6500000000000004</v>
      </c>
      <c r="G330">
        <v>2.7</v>
      </c>
      <c r="H330">
        <v>3.8630000000000001E-3</v>
      </c>
      <c r="I330">
        <v>0.13464227952755908</v>
      </c>
      <c r="J330">
        <v>0.10212099047244093</v>
      </c>
      <c r="K330">
        <v>0.23676327000000003</v>
      </c>
      <c r="L330">
        <v>1.318458417849899</v>
      </c>
    </row>
    <row r="331" spans="1:14" x14ac:dyDescent="0.2">
      <c r="A331">
        <v>488541</v>
      </c>
      <c r="B331">
        <v>100</v>
      </c>
      <c r="C331">
        <v>6</v>
      </c>
      <c r="D331">
        <v>6.1</v>
      </c>
      <c r="E331">
        <v>2.8</v>
      </c>
      <c r="F331">
        <v>6.1</v>
      </c>
      <c r="G331">
        <v>2.8</v>
      </c>
      <c r="H331">
        <v>3.5767E-2</v>
      </c>
      <c r="I331">
        <v>2.1096897401574806</v>
      </c>
      <c r="J331">
        <v>0.1636607798425197</v>
      </c>
      <c r="K331">
        <v>2.2733505200000002</v>
      </c>
      <c r="L331">
        <v>12.890625</v>
      </c>
      <c r="M331">
        <v>2.0937072421259844</v>
      </c>
      <c r="N331">
        <v>0.24053659537401623</v>
      </c>
    </row>
    <row r="332" spans="1:14" x14ac:dyDescent="0.2">
      <c r="B332">
        <v>100</v>
      </c>
      <c r="C332">
        <v>6</v>
      </c>
      <c r="D332">
        <v>6.2</v>
      </c>
      <c r="E332">
        <v>2.95</v>
      </c>
      <c r="F332">
        <v>6.2</v>
      </c>
      <c r="G332">
        <v>2.95</v>
      </c>
      <c r="H332">
        <v>3.5767E-2</v>
      </c>
      <c r="I332">
        <v>2.0777247440944882</v>
      </c>
      <c r="J332">
        <v>0.31741241090551275</v>
      </c>
      <c r="K332">
        <v>2.3951371550000009</v>
      </c>
      <c r="L332">
        <v>6.5458207452164965</v>
      </c>
    </row>
    <row r="333" spans="1:14" x14ac:dyDescent="0.2">
      <c r="A333">
        <v>488542</v>
      </c>
      <c r="B333">
        <v>100</v>
      </c>
      <c r="C333">
        <v>6</v>
      </c>
      <c r="D333">
        <v>3.95</v>
      </c>
      <c r="E333">
        <v>1.85</v>
      </c>
      <c r="F333">
        <v>3.95</v>
      </c>
      <c r="G333">
        <v>1.85</v>
      </c>
      <c r="H333">
        <v>3.5767E-2</v>
      </c>
      <c r="I333">
        <v>1.3425298346456693</v>
      </c>
      <c r="J333">
        <v>0.15950533035433101</v>
      </c>
      <c r="K333">
        <v>1.5020351650000003</v>
      </c>
      <c r="L333">
        <v>8.4168336673346538</v>
      </c>
      <c r="M333">
        <v>1.4224423248031497</v>
      </c>
      <c r="N333">
        <v>0.16078393019685036</v>
      </c>
    </row>
    <row r="334" spans="1:14" x14ac:dyDescent="0.2">
      <c r="B334">
        <v>100</v>
      </c>
      <c r="C334">
        <v>6</v>
      </c>
      <c r="D334">
        <v>4.4000000000000004</v>
      </c>
      <c r="E334">
        <v>2.0499999999999998</v>
      </c>
      <c r="F334">
        <v>4.4000000000000004</v>
      </c>
      <c r="G334">
        <v>2.0499999999999998</v>
      </c>
      <c r="H334">
        <v>3.5767E-2</v>
      </c>
      <c r="I334">
        <v>1.5023548149606301</v>
      </c>
      <c r="J334">
        <v>0.16206253003936971</v>
      </c>
      <c r="K334">
        <v>1.6644173449999997</v>
      </c>
      <c r="L334">
        <v>9.2702169625246764</v>
      </c>
    </row>
    <row r="335" spans="1:14" x14ac:dyDescent="0.2">
      <c r="A335">
        <v>488543</v>
      </c>
      <c r="B335">
        <v>100</v>
      </c>
      <c r="C335">
        <v>6</v>
      </c>
      <c r="D335">
        <v>5.65</v>
      </c>
      <c r="E335">
        <v>2.8</v>
      </c>
      <c r="F335">
        <v>5.65</v>
      </c>
      <c r="G335">
        <v>2.8</v>
      </c>
      <c r="H335">
        <v>3.5767E-2</v>
      </c>
      <c r="I335">
        <v>1.8220047755905517</v>
      </c>
      <c r="J335">
        <v>0.4513457444094483</v>
      </c>
      <c r="K335">
        <v>2.2733505200000002</v>
      </c>
      <c r="L335">
        <v>4.0368271954674277</v>
      </c>
      <c r="M335">
        <v>1.8859347677165359</v>
      </c>
      <c r="N335">
        <v>0.42801129728346438</v>
      </c>
    </row>
    <row r="336" spans="1:14" x14ac:dyDescent="0.2">
      <c r="B336">
        <v>100</v>
      </c>
      <c r="C336">
        <v>6</v>
      </c>
      <c r="D336">
        <v>5.95</v>
      </c>
      <c r="E336">
        <v>2.9</v>
      </c>
      <c r="F336">
        <v>5.95</v>
      </c>
      <c r="G336">
        <v>2.9</v>
      </c>
      <c r="H336">
        <v>3.5767E-2</v>
      </c>
      <c r="I336">
        <v>1.9498647598425201</v>
      </c>
      <c r="J336">
        <v>0.40467685015748045</v>
      </c>
      <c r="K336">
        <v>2.3545416100000005</v>
      </c>
      <c r="L336">
        <v>4.8183254344391777</v>
      </c>
    </row>
    <row r="337" spans="1:14" x14ac:dyDescent="0.2">
      <c r="A337">
        <v>488544</v>
      </c>
      <c r="B337">
        <v>100</v>
      </c>
      <c r="C337">
        <v>6</v>
      </c>
      <c r="D337">
        <v>6</v>
      </c>
      <c r="E337">
        <v>2.85</v>
      </c>
      <c r="F337">
        <v>6</v>
      </c>
      <c r="G337">
        <v>2.85</v>
      </c>
      <c r="H337">
        <v>3.5767E-2</v>
      </c>
      <c r="I337">
        <v>2.0137947519685038</v>
      </c>
      <c r="J337">
        <v>0.30015131303149645</v>
      </c>
      <c r="K337">
        <v>2.3139460650000001</v>
      </c>
      <c r="L337">
        <v>6.7092651757188406</v>
      </c>
      <c r="M337">
        <v>1.9818297559055118</v>
      </c>
      <c r="N337">
        <v>0.4742007165944887</v>
      </c>
    </row>
    <row r="338" spans="1:14" x14ac:dyDescent="0.2">
      <c r="B338">
        <v>100</v>
      </c>
      <c r="C338">
        <v>6</v>
      </c>
      <c r="D338">
        <v>6.25</v>
      </c>
      <c r="E338">
        <v>3.2</v>
      </c>
      <c r="F338">
        <v>6.25</v>
      </c>
      <c r="G338">
        <v>3.2</v>
      </c>
      <c r="H338">
        <v>3.5767E-2</v>
      </c>
      <c r="I338">
        <v>1.9498647598425196</v>
      </c>
      <c r="J338">
        <v>0.64825012015748096</v>
      </c>
      <c r="K338">
        <v>2.5981148800000007</v>
      </c>
      <c r="L338">
        <v>3.0078895463510817</v>
      </c>
    </row>
    <row r="339" spans="1:14" x14ac:dyDescent="0.2">
      <c r="A339">
        <v>488545</v>
      </c>
      <c r="B339">
        <v>100</v>
      </c>
      <c r="C339">
        <v>6</v>
      </c>
      <c r="D339">
        <v>4</v>
      </c>
      <c r="E339">
        <v>1.85</v>
      </c>
      <c r="F339">
        <v>4</v>
      </c>
      <c r="G339">
        <v>1.85</v>
      </c>
      <c r="H339">
        <v>3.5767E-2</v>
      </c>
      <c r="I339">
        <v>1.3744948307086617</v>
      </c>
      <c r="J339">
        <v>0.12754033429133893</v>
      </c>
      <c r="K339">
        <v>1.5020351650000006</v>
      </c>
      <c r="L339">
        <v>10.776942355889698</v>
      </c>
      <c r="M339">
        <v>1.3904773287401577</v>
      </c>
      <c r="N339">
        <v>0.13185560875984281</v>
      </c>
    </row>
    <row r="340" spans="1:14" x14ac:dyDescent="0.2">
      <c r="B340">
        <v>100</v>
      </c>
      <c r="C340">
        <v>6</v>
      </c>
      <c r="D340">
        <v>4.0999999999999996</v>
      </c>
      <c r="E340">
        <v>1.9</v>
      </c>
      <c r="F340">
        <v>4.0999999999999996</v>
      </c>
      <c r="G340">
        <v>1.9</v>
      </c>
      <c r="H340">
        <v>3.5767E-2</v>
      </c>
      <c r="I340">
        <v>1.4064598267716537</v>
      </c>
      <c r="J340">
        <v>0.13617088322834672</v>
      </c>
      <c r="K340">
        <v>1.5426307100000005</v>
      </c>
      <c r="L340">
        <v>10.328638497652562</v>
      </c>
    </row>
    <row r="341" spans="1:14" x14ac:dyDescent="0.2">
      <c r="A341">
        <v>488546</v>
      </c>
      <c r="B341">
        <v>100</v>
      </c>
      <c r="C341">
        <v>6</v>
      </c>
      <c r="D341">
        <v>3.95</v>
      </c>
      <c r="E341">
        <v>1.8</v>
      </c>
      <c r="F341">
        <v>3.95</v>
      </c>
      <c r="G341">
        <v>1.8</v>
      </c>
      <c r="H341">
        <v>3.5767E-2</v>
      </c>
      <c r="I341">
        <v>1.374494830708662</v>
      </c>
      <c r="J341">
        <v>8.6944789291338698E-2</v>
      </c>
      <c r="K341">
        <v>1.4614396200000006</v>
      </c>
      <c r="L341">
        <v>15.80882352941175</v>
      </c>
      <c r="M341">
        <v>1.3585123326771655</v>
      </c>
      <c r="N341">
        <v>0.10292728732283474</v>
      </c>
    </row>
    <row r="342" spans="1:14" x14ac:dyDescent="0.2">
      <c r="B342">
        <v>100</v>
      </c>
      <c r="C342">
        <v>6</v>
      </c>
      <c r="D342">
        <v>3.9</v>
      </c>
      <c r="E342">
        <v>1.8</v>
      </c>
      <c r="F342">
        <v>3.9</v>
      </c>
      <c r="G342">
        <v>1.8</v>
      </c>
      <c r="H342">
        <v>3.5767E-2</v>
      </c>
      <c r="I342">
        <v>1.3425298346456691</v>
      </c>
      <c r="J342">
        <v>0.11890978535433078</v>
      </c>
      <c r="K342">
        <v>1.4614396199999999</v>
      </c>
      <c r="L342">
        <v>11.290322580645153</v>
      </c>
    </row>
    <row r="343" spans="1:14" x14ac:dyDescent="0.2">
      <c r="A343">
        <v>488253</v>
      </c>
      <c r="B343">
        <v>100</v>
      </c>
      <c r="C343">
        <v>6</v>
      </c>
      <c r="D343">
        <v>3.55</v>
      </c>
      <c r="E343">
        <v>1.65</v>
      </c>
      <c r="F343">
        <v>3.55</v>
      </c>
      <c r="G343">
        <v>1.65</v>
      </c>
      <c r="H343">
        <v>3.5767E-2</v>
      </c>
      <c r="I343">
        <v>1.2146698503937008</v>
      </c>
      <c r="J343">
        <v>0.12498313460629949</v>
      </c>
      <c r="K343">
        <v>1.3396529850000003</v>
      </c>
      <c r="L343">
        <v>9.7186700767263208</v>
      </c>
      <c r="M343">
        <v>1.1986873523622048</v>
      </c>
      <c r="N343">
        <v>0.10037008763779549</v>
      </c>
    </row>
    <row r="344" spans="1:14" x14ac:dyDescent="0.2">
      <c r="B344">
        <v>100</v>
      </c>
      <c r="C344">
        <v>6</v>
      </c>
      <c r="D344">
        <v>3.4</v>
      </c>
      <c r="E344">
        <v>1.55</v>
      </c>
      <c r="F344">
        <v>3.4</v>
      </c>
      <c r="G344">
        <v>1.55</v>
      </c>
      <c r="H344">
        <v>3.5767E-2</v>
      </c>
      <c r="I344">
        <v>1.1827048543307086</v>
      </c>
      <c r="J344">
        <v>7.5757040669291495E-2</v>
      </c>
      <c r="K344">
        <v>1.2584618950000002</v>
      </c>
      <c r="L344">
        <v>15.611814345991528</v>
      </c>
    </row>
    <row r="345" spans="1:14" x14ac:dyDescent="0.2">
      <c r="A345">
        <v>488549</v>
      </c>
      <c r="B345">
        <v>100</v>
      </c>
      <c r="C345">
        <v>8</v>
      </c>
      <c r="D345">
        <v>1.6</v>
      </c>
      <c r="E345">
        <v>1</v>
      </c>
      <c r="F345">
        <v>1.6</v>
      </c>
      <c r="G345">
        <v>1</v>
      </c>
      <c r="H345">
        <v>3.8630000000000001E-3</v>
      </c>
      <c r="I345">
        <v>4.1428393700787408E-2</v>
      </c>
      <c r="J345">
        <v>4.6261706299212599E-2</v>
      </c>
      <c r="K345">
        <v>8.7690100000000007E-2</v>
      </c>
      <c r="L345">
        <v>0.89552238805970164</v>
      </c>
      <c r="M345">
        <v>5.3511675196850406E-2</v>
      </c>
      <c r="N345">
        <v>5.1716444803149603E-2</v>
      </c>
    </row>
    <row r="346" spans="1:14" x14ac:dyDescent="0.2">
      <c r="B346">
        <v>100</v>
      </c>
      <c r="C346">
        <v>8</v>
      </c>
      <c r="D346">
        <v>2.35</v>
      </c>
      <c r="E346">
        <v>1.4</v>
      </c>
      <c r="F346">
        <v>2.35</v>
      </c>
      <c r="G346">
        <v>1.4</v>
      </c>
      <c r="H346">
        <v>3.8630000000000001E-3</v>
      </c>
      <c r="I346">
        <v>6.5594956692913403E-2</v>
      </c>
      <c r="J346">
        <v>5.7171183307086607E-2</v>
      </c>
      <c r="K346">
        <v>0.12276614000000001</v>
      </c>
      <c r="L346">
        <v>1.1473429951690826</v>
      </c>
    </row>
    <row r="347" spans="1:14" x14ac:dyDescent="0.2">
      <c r="A347">
        <v>488550</v>
      </c>
      <c r="B347">
        <v>100</v>
      </c>
      <c r="C347">
        <v>8</v>
      </c>
      <c r="D347">
        <v>2.1</v>
      </c>
      <c r="E347">
        <v>1.35</v>
      </c>
      <c r="F347">
        <v>2.1</v>
      </c>
      <c r="G347">
        <v>1.35</v>
      </c>
      <c r="H347">
        <v>3.8630000000000001E-3</v>
      </c>
      <c r="I347">
        <v>5.1785492125984253E-2</v>
      </c>
      <c r="J347">
        <v>6.659614287401576E-2</v>
      </c>
      <c r="K347">
        <v>0.11838163500000001</v>
      </c>
      <c r="L347">
        <v>0.77760497667185058</v>
      </c>
      <c r="M347">
        <v>5.3511675196850406E-2</v>
      </c>
      <c r="N347">
        <v>6.7062212303149599E-2</v>
      </c>
    </row>
    <row r="348" spans="1:14" x14ac:dyDescent="0.2">
      <c r="B348">
        <v>100</v>
      </c>
      <c r="C348">
        <v>8</v>
      </c>
      <c r="D348">
        <v>2.2000000000000002</v>
      </c>
      <c r="E348">
        <v>1.4</v>
      </c>
      <c r="F348">
        <v>2.2000000000000002</v>
      </c>
      <c r="G348">
        <v>1.4</v>
      </c>
      <c r="H348">
        <v>3.8630000000000001E-3</v>
      </c>
      <c r="I348">
        <v>5.5237858267716551E-2</v>
      </c>
      <c r="J348">
        <v>6.7528281732283438E-2</v>
      </c>
      <c r="K348">
        <v>0.12276614</v>
      </c>
      <c r="L348">
        <v>0.81799591002045047</v>
      </c>
    </row>
    <row r="349" spans="1:14" x14ac:dyDescent="0.2">
      <c r="A349">
        <v>488551</v>
      </c>
      <c r="B349">
        <v>100</v>
      </c>
      <c r="C349">
        <v>8</v>
      </c>
      <c r="D349">
        <v>1.85</v>
      </c>
      <c r="E349">
        <v>1.35</v>
      </c>
      <c r="F349">
        <v>1.85</v>
      </c>
      <c r="G349">
        <v>1.35</v>
      </c>
      <c r="H349">
        <v>3.8630000000000001E-3</v>
      </c>
      <c r="I349">
        <v>3.452366141732284E-2</v>
      </c>
      <c r="J349">
        <v>8.3857973582677173E-2</v>
      </c>
      <c r="K349">
        <v>0.11838163500000001</v>
      </c>
      <c r="L349">
        <v>0.41169205434335121</v>
      </c>
      <c r="M349">
        <v>3.2797478346456695E-2</v>
      </c>
      <c r="N349">
        <v>8.3391904153543306E-2</v>
      </c>
    </row>
    <row r="350" spans="1:14" x14ac:dyDescent="0.2">
      <c r="B350">
        <v>100</v>
      </c>
      <c r="C350">
        <v>8</v>
      </c>
      <c r="D350">
        <v>1.75</v>
      </c>
      <c r="E350">
        <v>1.3</v>
      </c>
      <c r="F350">
        <v>1.75</v>
      </c>
      <c r="G350">
        <v>1.3</v>
      </c>
      <c r="H350">
        <v>3.8630000000000001E-3</v>
      </c>
      <c r="I350">
        <v>3.1071295275590546E-2</v>
      </c>
      <c r="J350">
        <v>8.2925834724409453E-2</v>
      </c>
      <c r="K350">
        <v>0.11399713</v>
      </c>
      <c r="L350">
        <v>0.37468776019983341</v>
      </c>
    </row>
    <row r="351" spans="1:14" x14ac:dyDescent="0.2">
      <c r="A351">
        <v>488552</v>
      </c>
      <c r="B351">
        <v>100</v>
      </c>
      <c r="C351">
        <v>8</v>
      </c>
      <c r="D351">
        <v>2.2999999999999998</v>
      </c>
      <c r="E351">
        <v>1.6</v>
      </c>
      <c r="F351">
        <v>2.2999999999999998</v>
      </c>
      <c r="G351">
        <v>1.6</v>
      </c>
      <c r="H351">
        <v>3.8630000000000001E-3</v>
      </c>
      <c r="I351">
        <v>4.8333125984251948E-2</v>
      </c>
      <c r="J351">
        <v>9.1971034015748063E-2</v>
      </c>
      <c r="K351">
        <v>0.14030416000000001</v>
      </c>
      <c r="L351">
        <v>0.52552552552552512</v>
      </c>
      <c r="M351">
        <v>5.3511675196850378E-2</v>
      </c>
      <c r="N351">
        <v>9.1176989803149644E-2</v>
      </c>
    </row>
    <row r="352" spans="1:14" x14ac:dyDescent="0.2">
      <c r="B352">
        <v>100</v>
      </c>
      <c r="C352">
        <v>8</v>
      </c>
      <c r="D352">
        <v>2.5499999999999998</v>
      </c>
      <c r="E352">
        <v>1.7</v>
      </c>
      <c r="F352">
        <v>2.5499999999999998</v>
      </c>
      <c r="G352">
        <v>1.7</v>
      </c>
      <c r="H352">
        <v>3.8630000000000001E-3</v>
      </c>
      <c r="I352">
        <v>5.8690224409448807E-2</v>
      </c>
      <c r="J352">
        <v>9.0382945590551225E-2</v>
      </c>
      <c r="K352">
        <v>0.14907317000000003</v>
      </c>
      <c r="L352">
        <v>0.6493506493506489</v>
      </c>
    </row>
    <row r="353" spans="1:14" x14ac:dyDescent="0.2">
      <c r="A353">
        <v>488553</v>
      </c>
      <c r="B353">
        <v>100</v>
      </c>
      <c r="C353">
        <v>8</v>
      </c>
      <c r="D353">
        <v>4.8499999999999996</v>
      </c>
      <c r="E353">
        <v>2.85</v>
      </c>
      <c r="F353">
        <v>4.8499999999999996</v>
      </c>
      <c r="G353">
        <v>2.85</v>
      </c>
      <c r="H353">
        <v>3.8630000000000001E-3</v>
      </c>
      <c r="I353">
        <v>0.1380946456692913</v>
      </c>
      <c r="J353">
        <v>0.11182213933070873</v>
      </c>
      <c r="K353">
        <v>0.24991678500000003</v>
      </c>
      <c r="L353">
        <v>1.2349490583513421</v>
      </c>
      <c r="M353">
        <v>0.13118991338582675</v>
      </c>
      <c r="N353">
        <v>0.10557335661417327</v>
      </c>
    </row>
    <row r="354" spans="1:14" x14ac:dyDescent="0.2">
      <c r="B354">
        <v>100</v>
      </c>
      <c r="C354">
        <v>8</v>
      </c>
      <c r="D354">
        <v>4.3499999999999996</v>
      </c>
      <c r="E354">
        <v>2.5499999999999998</v>
      </c>
      <c r="F354">
        <v>4.3499999999999996</v>
      </c>
      <c r="G354">
        <v>2.5499999999999998</v>
      </c>
      <c r="H354">
        <v>3.8630000000000001E-3</v>
      </c>
      <c r="I354">
        <v>0.12428518110236218</v>
      </c>
      <c r="J354">
        <v>9.9324573897637838E-2</v>
      </c>
      <c r="K354">
        <v>0.22360975500000002</v>
      </c>
      <c r="L354">
        <v>1.2513034410844621</v>
      </c>
    </row>
    <row r="355" spans="1:14" x14ac:dyDescent="0.2">
      <c r="A355">
        <v>488554</v>
      </c>
      <c r="B355">
        <v>100</v>
      </c>
      <c r="C355">
        <v>6</v>
      </c>
      <c r="D355">
        <v>7</v>
      </c>
      <c r="E355">
        <v>3.25</v>
      </c>
      <c r="F355">
        <v>7</v>
      </c>
      <c r="G355">
        <v>3.25</v>
      </c>
      <c r="H355">
        <v>3.5767E-2</v>
      </c>
      <c r="I355">
        <v>2.3973747047244096</v>
      </c>
      <c r="J355">
        <v>0.24133572027559122</v>
      </c>
      <c r="K355">
        <v>2.6387104250000006</v>
      </c>
      <c r="L355">
        <v>9.9337748344370596</v>
      </c>
      <c r="M355">
        <v>2.4133572027559058</v>
      </c>
      <c r="N355">
        <v>0.22535322224409518</v>
      </c>
    </row>
    <row r="356" spans="1:14" x14ac:dyDescent="0.2">
      <c r="B356">
        <v>100</v>
      </c>
      <c r="C356">
        <v>6</v>
      </c>
      <c r="D356">
        <v>7.05</v>
      </c>
      <c r="E356">
        <v>3.25</v>
      </c>
      <c r="F356">
        <v>7.05</v>
      </c>
      <c r="G356">
        <v>3.25</v>
      </c>
      <c r="H356">
        <v>3.5767E-2</v>
      </c>
      <c r="I356">
        <v>2.4293397007874016</v>
      </c>
      <c r="J356">
        <v>0.20937072421259914</v>
      </c>
      <c r="K356">
        <v>2.6387104250000006</v>
      </c>
      <c r="L356">
        <v>11.603053435114465</v>
      </c>
    </row>
    <row r="357" spans="1:14" x14ac:dyDescent="0.2">
      <c r="A357">
        <v>488555</v>
      </c>
      <c r="B357">
        <v>100</v>
      </c>
      <c r="C357">
        <v>6</v>
      </c>
      <c r="D357">
        <v>5.3</v>
      </c>
      <c r="E357">
        <v>2.5</v>
      </c>
      <c r="F357">
        <v>5.3</v>
      </c>
      <c r="G357">
        <v>2.5</v>
      </c>
      <c r="H357">
        <v>3.5767E-2</v>
      </c>
      <c r="I357">
        <v>1.7900397795275591</v>
      </c>
      <c r="J357">
        <v>0.23973747047244121</v>
      </c>
      <c r="K357">
        <v>2.0297772500000004</v>
      </c>
      <c r="L357">
        <v>7.4666666666666588</v>
      </c>
      <c r="M357">
        <v>1.7740572814960629</v>
      </c>
      <c r="N357">
        <v>0.29631551350393714</v>
      </c>
    </row>
    <row r="358" spans="1:14" x14ac:dyDescent="0.2">
      <c r="B358">
        <v>100</v>
      </c>
      <c r="C358">
        <v>6</v>
      </c>
      <c r="D358">
        <v>5.35</v>
      </c>
      <c r="E358">
        <v>2.6</v>
      </c>
      <c r="F358">
        <v>5.35</v>
      </c>
      <c r="G358">
        <v>2.6</v>
      </c>
      <c r="H358">
        <v>3.5767E-2</v>
      </c>
      <c r="I358">
        <v>1.7580747834645669</v>
      </c>
      <c r="J358">
        <v>0.35289355653543303</v>
      </c>
      <c r="K358">
        <v>2.1109683399999999</v>
      </c>
      <c r="L358">
        <v>4.9818840579710146</v>
      </c>
    </row>
    <row r="359" spans="1:14" x14ac:dyDescent="0.2">
      <c r="A359">
        <v>488556</v>
      </c>
      <c r="B359">
        <v>100</v>
      </c>
      <c r="C359">
        <v>6</v>
      </c>
      <c r="D359">
        <v>3.15</v>
      </c>
      <c r="E359">
        <v>1.5</v>
      </c>
      <c r="F359">
        <v>3.15</v>
      </c>
      <c r="G359">
        <v>1.5</v>
      </c>
      <c r="H359">
        <v>3.5767E-2</v>
      </c>
      <c r="I359">
        <v>1.0548448700787403</v>
      </c>
      <c r="J359">
        <v>0.16302147992125993</v>
      </c>
      <c r="K359">
        <v>1.2178663500000002</v>
      </c>
      <c r="L359">
        <v>6.4705882352941151</v>
      </c>
      <c r="M359">
        <v>1.0708273681102363</v>
      </c>
      <c r="N359">
        <v>0.16733675438976381</v>
      </c>
    </row>
    <row r="360" spans="1:14" x14ac:dyDescent="0.2">
      <c r="B360">
        <v>100</v>
      </c>
      <c r="C360">
        <v>6</v>
      </c>
      <c r="D360">
        <v>3.25</v>
      </c>
      <c r="E360">
        <v>1.55</v>
      </c>
      <c r="F360">
        <v>3.25</v>
      </c>
      <c r="G360">
        <v>1.55</v>
      </c>
      <c r="H360">
        <v>3.5767E-2</v>
      </c>
      <c r="I360">
        <v>1.0868098661417323</v>
      </c>
      <c r="J360">
        <v>0.17165202885826769</v>
      </c>
      <c r="K360">
        <v>1.2584618949999999</v>
      </c>
      <c r="L360">
        <v>6.3314711359404106</v>
      </c>
    </row>
    <row r="361" spans="1:14" x14ac:dyDescent="0.2">
      <c r="A361">
        <v>488557</v>
      </c>
      <c r="B361">
        <v>100</v>
      </c>
      <c r="C361">
        <v>6</v>
      </c>
      <c r="D361">
        <v>2.75</v>
      </c>
      <c r="E361">
        <v>1.3</v>
      </c>
      <c r="F361">
        <v>2.75</v>
      </c>
      <c r="G361">
        <v>1.3</v>
      </c>
      <c r="H361">
        <v>3.5767E-2</v>
      </c>
      <c r="I361">
        <v>0.92698488582677174</v>
      </c>
      <c r="J361">
        <v>0.12849928417322842</v>
      </c>
      <c r="K361">
        <v>1.0554841700000002</v>
      </c>
      <c r="L361">
        <v>7.2139303482587032</v>
      </c>
      <c r="M361">
        <v>0.95894988188976371</v>
      </c>
      <c r="N361">
        <v>0.11683206061023628</v>
      </c>
    </row>
    <row r="362" spans="1:14" x14ac:dyDescent="0.2">
      <c r="B362">
        <v>100</v>
      </c>
      <c r="C362">
        <v>6</v>
      </c>
      <c r="D362">
        <v>2.9</v>
      </c>
      <c r="E362">
        <v>1.35</v>
      </c>
      <c r="F362">
        <v>2.9</v>
      </c>
      <c r="G362">
        <v>1.35</v>
      </c>
      <c r="H362">
        <v>3.5767E-2</v>
      </c>
      <c r="I362">
        <v>0.99091487795275579</v>
      </c>
      <c r="J362">
        <v>0.10516483704724414</v>
      </c>
      <c r="K362">
        <v>1.0960797149999999</v>
      </c>
      <c r="L362">
        <v>9.4224924012158002</v>
      </c>
    </row>
    <row r="363" spans="1:14" x14ac:dyDescent="0.2">
      <c r="A363">
        <v>488559</v>
      </c>
      <c r="B363">
        <v>100</v>
      </c>
      <c r="C363">
        <v>8</v>
      </c>
      <c r="D363">
        <v>4.25</v>
      </c>
      <c r="E363">
        <v>2.6</v>
      </c>
      <c r="F363">
        <v>4.25</v>
      </c>
      <c r="G363">
        <v>2.6</v>
      </c>
      <c r="H363">
        <v>3.8630000000000001E-3</v>
      </c>
      <c r="I363">
        <v>0.11392808267716535</v>
      </c>
      <c r="J363">
        <v>0.11406617732283462</v>
      </c>
      <c r="K363">
        <v>0.22799425999999998</v>
      </c>
      <c r="L363">
        <v>0.99878934624697358</v>
      </c>
      <c r="M363">
        <v>8.8035336614173218E-2</v>
      </c>
      <c r="N363">
        <v>9.8306125885826781E-2</v>
      </c>
    </row>
    <row r="364" spans="1:14" x14ac:dyDescent="0.2">
      <c r="B364">
        <v>100</v>
      </c>
      <c r="C364">
        <v>8</v>
      </c>
      <c r="D364">
        <v>2.5499999999999998</v>
      </c>
      <c r="E364">
        <v>1.65</v>
      </c>
      <c r="F364">
        <v>2.5499999999999998</v>
      </c>
      <c r="G364">
        <v>1.65</v>
      </c>
      <c r="H364">
        <v>3.8630000000000001E-3</v>
      </c>
      <c r="I364">
        <v>6.2142590551181091E-2</v>
      </c>
      <c r="J364">
        <v>8.2546074448818937E-2</v>
      </c>
      <c r="K364">
        <v>0.14468866500000002</v>
      </c>
      <c r="L364">
        <v>0.75282308657465447</v>
      </c>
    </row>
    <row r="365" spans="1:14" x14ac:dyDescent="0.2">
      <c r="A365">
        <v>488560</v>
      </c>
      <c r="B365">
        <v>100</v>
      </c>
      <c r="C365">
        <v>8</v>
      </c>
      <c r="D365">
        <v>3</v>
      </c>
      <c r="E365">
        <v>1.85</v>
      </c>
      <c r="F365">
        <v>3</v>
      </c>
      <c r="G365">
        <v>1.85</v>
      </c>
      <c r="H365">
        <v>3.8630000000000001E-3</v>
      </c>
      <c r="I365">
        <v>7.9404421259842511E-2</v>
      </c>
      <c r="J365">
        <v>8.2822263740157512E-2</v>
      </c>
      <c r="K365">
        <v>0.16222668500000004</v>
      </c>
      <c r="L365">
        <v>0.95873280533555605</v>
      </c>
      <c r="M365">
        <v>8.2856787401574802E-2</v>
      </c>
      <c r="N365">
        <v>9.2523412598425211E-2</v>
      </c>
    </row>
    <row r="366" spans="1:14" x14ac:dyDescent="0.2">
      <c r="B366">
        <v>100</v>
      </c>
      <c r="C366">
        <v>8</v>
      </c>
      <c r="D366">
        <v>3.4</v>
      </c>
      <c r="E366">
        <v>2.15</v>
      </c>
      <c r="F366">
        <v>3.4</v>
      </c>
      <c r="G366">
        <v>2.15</v>
      </c>
      <c r="H366">
        <v>3.8630000000000001E-3</v>
      </c>
      <c r="I366">
        <v>8.6309153543307093E-2</v>
      </c>
      <c r="J366">
        <v>0.10222456145669291</v>
      </c>
      <c r="K366">
        <v>0.18853371499999999</v>
      </c>
      <c r="L366">
        <v>0.84430935494765291</v>
      </c>
    </row>
    <row r="367" spans="1:14" x14ac:dyDescent="0.2">
      <c r="A367">
        <v>488561</v>
      </c>
      <c r="B367">
        <v>100</v>
      </c>
      <c r="C367">
        <v>8</v>
      </c>
      <c r="D367">
        <v>3.35</v>
      </c>
      <c r="E367">
        <v>2.25</v>
      </c>
      <c r="F367">
        <v>3.35</v>
      </c>
      <c r="G367">
        <v>2.25</v>
      </c>
      <c r="H367">
        <v>3.8630000000000001E-3</v>
      </c>
      <c r="I367">
        <v>7.5952055118110248E-2</v>
      </c>
      <c r="J367">
        <v>0.12135066988188975</v>
      </c>
      <c r="K367">
        <v>0.19730272500000001</v>
      </c>
      <c r="L367">
        <v>0.62588904694167868</v>
      </c>
      <c r="M367">
        <v>6.3868773622047237E-2</v>
      </c>
      <c r="N367">
        <v>0.11370367887795277</v>
      </c>
    </row>
    <row r="368" spans="1:14" x14ac:dyDescent="0.2">
      <c r="B368">
        <v>100</v>
      </c>
      <c r="C368">
        <v>8</v>
      </c>
      <c r="D368">
        <v>2.5499999999999998</v>
      </c>
      <c r="E368">
        <v>1.8</v>
      </c>
      <c r="F368">
        <v>2.5499999999999998</v>
      </c>
      <c r="G368">
        <v>1.8</v>
      </c>
      <c r="H368">
        <v>3.8630000000000001E-3</v>
      </c>
      <c r="I368">
        <v>5.1785492125984239E-2</v>
      </c>
      <c r="J368">
        <v>0.10605668787401579</v>
      </c>
      <c r="K368">
        <v>0.15784218000000003</v>
      </c>
      <c r="L368">
        <v>0.48828124999999972</v>
      </c>
    </row>
    <row r="369" spans="1:14" x14ac:dyDescent="0.2">
      <c r="A369">
        <v>488562</v>
      </c>
      <c r="B369">
        <v>100</v>
      </c>
      <c r="C369">
        <v>8</v>
      </c>
      <c r="D369">
        <v>4.4000000000000004</v>
      </c>
      <c r="E369">
        <v>2.65</v>
      </c>
      <c r="F369">
        <v>4.4000000000000004</v>
      </c>
      <c r="G369">
        <v>2.65</v>
      </c>
      <c r="H369">
        <v>3.8630000000000001E-3</v>
      </c>
      <c r="I369">
        <v>0.12083281496062996</v>
      </c>
      <c r="J369">
        <v>0.11154595003937003</v>
      </c>
      <c r="K369">
        <v>0.23237876499999999</v>
      </c>
      <c r="L369">
        <v>1.0832559579077694</v>
      </c>
      <c r="M369">
        <v>0.13464227952755908</v>
      </c>
      <c r="N369">
        <v>0.10869774797244092</v>
      </c>
    </row>
    <row r="370" spans="1:14" x14ac:dyDescent="0.2">
      <c r="B370">
        <v>100</v>
      </c>
      <c r="C370">
        <v>8</v>
      </c>
      <c r="D370">
        <v>5.05</v>
      </c>
      <c r="E370">
        <v>2.9</v>
      </c>
      <c r="F370">
        <v>5.05</v>
      </c>
      <c r="G370">
        <v>2.9</v>
      </c>
      <c r="H370">
        <v>3.8630000000000001E-3</v>
      </c>
      <c r="I370">
        <v>0.14845174409448819</v>
      </c>
      <c r="J370">
        <v>0.10584954590551182</v>
      </c>
      <c r="K370">
        <v>0.25430129000000001</v>
      </c>
      <c r="L370">
        <v>1.4024787997390735</v>
      </c>
    </row>
    <row r="371" spans="1:14" x14ac:dyDescent="0.2">
      <c r="A371">
        <v>488563</v>
      </c>
      <c r="B371">
        <v>100</v>
      </c>
      <c r="C371">
        <v>6</v>
      </c>
      <c r="D371">
        <v>5.7</v>
      </c>
      <c r="E371">
        <v>2.85</v>
      </c>
      <c r="F371">
        <v>5.7</v>
      </c>
      <c r="G371">
        <v>2.85</v>
      </c>
      <c r="H371">
        <v>3.5767E-2</v>
      </c>
      <c r="I371">
        <v>1.8220047755905515</v>
      </c>
      <c r="J371">
        <v>0.49194128940944887</v>
      </c>
      <c r="K371">
        <v>2.3139460650000006</v>
      </c>
      <c r="L371">
        <v>3.7037037037037042</v>
      </c>
      <c r="M371">
        <v>1.8220047755905513</v>
      </c>
      <c r="N371">
        <v>0.4310479719094491</v>
      </c>
    </row>
    <row r="372" spans="1:14" x14ac:dyDescent="0.2">
      <c r="B372">
        <v>100</v>
      </c>
      <c r="C372">
        <v>6</v>
      </c>
      <c r="D372">
        <v>5.55</v>
      </c>
      <c r="E372">
        <v>2.7</v>
      </c>
      <c r="F372">
        <v>5.55</v>
      </c>
      <c r="G372">
        <v>2.7</v>
      </c>
      <c r="H372">
        <v>3.5767E-2</v>
      </c>
      <c r="I372">
        <v>1.8220047755905511</v>
      </c>
      <c r="J372">
        <v>0.37015465440944939</v>
      </c>
      <c r="K372">
        <v>2.1921594300000002</v>
      </c>
      <c r="L372">
        <v>4.9222797927461057</v>
      </c>
    </row>
    <row r="373" spans="1:14" x14ac:dyDescent="0.2">
      <c r="A373">
        <v>488564</v>
      </c>
      <c r="B373">
        <v>100</v>
      </c>
      <c r="C373">
        <v>6</v>
      </c>
      <c r="D373">
        <v>3.15</v>
      </c>
      <c r="E373">
        <v>1.5</v>
      </c>
      <c r="F373">
        <v>3.15</v>
      </c>
      <c r="G373">
        <v>1.5</v>
      </c>
      <c r="H373">
        <v>3.5767E-2</v>
      </c>
      <c r="I373">
        <v>1.0548448700787403</v>
      </c>
      <c r="J373">
        <v>0.16302147992125993</v>
      </c>
      <c r="K373">
        <v>1.2178663500000002</v>
      </c>
      <c r="L373">
        <v>6.4705882352941151</v>
      </c>
      <c r="M373">
        <v>1.0868098661417323</v>
      </c>
      <c r="N373">
        <v>0.19194980135826781</v>
      </c>
    </row>
    <row r="374" spans="1:14" x14ac:dyDescent="0.2">
      <c r="B374">
        <v>100</v>
      </c>
      <c r="C374">
        <v>6</v>
      </c>
      <c r="D374">
        <v>3.4</v>
      </c>
      <c r="E374">
        <v>1.65</v>
      </c>
      <c r="F374">
        <v>3.4</v>
      </c>
      <c r="G374">
        <v>1.65</v>
      </c>
      <c r="H374">
        <v>3.5767E-2</v>
      </c>
      <c r="I374">
        <v>1.1187748622047244</v>
      </c>
      <c r="J374">
        <v>0.22087812279527569</v>
      </c>
      <c r="K374">
        <v>1.3396529850000001</v>
      </c>
      <c r="L374">
        <v>5.065123010130244</v>
      </c>
    </row>
    <row r="375" spans="1:14" x14ac:dyDescent="0.2">
      <c r="A375">
        <v>488565</v>
      </c>
      <c r="B375">
        <v>100</v>
      </c>
      <c r="C375">
        <v>6</v>
      </c>
      <c r="D375">
        <v>2.2000000000000002</v>
      </c>
      <c r="E375">
        <v>1.05</v>
      </c>
      <c r="F375">
        <v>2.2000000000000002</v>
      </c>
      <c r="G375">
        <v>1.05</v>
      </c>
      <c r="H375">
        <v>3.5767E-2</v>
      </c>
      <c r="I375">
        <v>0.73519490944881893</v>
      </c>
      <c r="J375">
        <v>0.117311535551181</v>
      </c>
      <c r="K375">
        <v>0.85250644499999995</v>
      </c>
      <c r="L375">
        <v>6.2670299727520495</v>
      </c>
      <c r="M375">
        <v>0.73519490944881893</v>
      </c>
      <c r="N375">
        <v>0.117311535551181</v>
      </c>
    </row>
    <row r="376" spans="1:14" x14ac:dyDescent="0.2">
      <c r="B376">
        <v>100</v>
      </c>
      <c r="C376">
        <v>6</v>
      </c>
      <c r="D376">
        <v>2.2000000000000002</v>
      </c>
      <c r="E376">
        <v>1.05</v>
      </c>
      <c r="F376">
        <v>2.2000000000000002</v>
      </c>
      <c r="G376">
        <v>1.05</v>
      </c>
      <c r="H376">
        <v>3.5767E-2</v>
      </c>
      <c r="I376">
        <v>0.73519490944881893</v>
      </c>
      <c r="J376">
        <v>0.117311535551181</v>
      </c>
      <c r="K376">
        <v>0.85250644499999995</v>
      </c>
      <c r="L376">
        <v>6.2670299727520495</v>
      </c>
    </row>
    <row r="377" spans="1:14" x14ac:dyDescent="0.2">
      <c r="A377">
        <v>488566</v>
      </c>
      <c r="B377">
        <v>100</v>
      </c>
      <c r="C377">
        <v>7</v>
      </c>
      <c r="D377">
        <v>5.8</v>
      </c>
      <c r="E377">
        <v>2.8</v>
      </c>
      <c r="F377">
        <v>5.8</v>
      </c>
      <c r="G377">
        <v>2.8</v>
      </c>
      <c r="H377">
        <v>9.7450000000000002E-3</v>
      </c>
      <c r="I377">
        <v>0.52254685039370086</v>
      </c>
      <c r="J377">
        <v>9.6845349606299133E-2</v>
      </c>
      <c r="K377">
        <v>0.61939219999999995</v>
      </c>
      <c r="L377">
        <v>5.3956834532374156</v>
      </c>
      <c r="M377">
        <v>0.52254685039370086</v>
      </c>
      <c r="N377">
        <v>9.6845349606299133E-2</v>
      </c>
    </row>
    <row r="378" spans="1:14" x14ac:dyDescent="0.2">
      <c r="B378">
        <v>100</v>
      </c>
      <c r="C378">
        <v>7</v>
      </c>
      <c r="D378">
        <v>5.8</v>
      </c>
      <c r="E378">
        <v>2.8</v>
      </c>
      <c r="F378">
        <v>5.8</v>
      </c>
      <c r="G378">
        <v>2.8</v>
      </c>
      <c r="H378">
        <v>9.7450000000000002E-3</v>
      </c>
      <c r="I378">
        <v>0.52254685039370086</v>
      </c>
      <c r="J378">
        <v>9.6845349606299133E-2</v>
      </c>
      <c r="K378">
        <v>0.61939219999999995</v>
      </c>
      <c r="L378">
        <v>5.3956834532374156</v>
      </c>
    </row>
    <row r="379" spans="1:14" x14ac:dyDescent="0.2">
      <c r="A379">
        <v>488567</v>
      </c>
      <c r="B379">
        <v>100</v>
      </c>
      <c r="C379">
        <v>7</v>
      </c>
      <c r="D379">
        <v>3.25</v>
      </c>
      <c r="E379">
        <v>1.6</v>
      </c>
      <c r="F379">
        <v>3.25</v>
      </c>
      <c r="G379">
        <v>1.6</v>
      </c>
      <c r="H379">
        <v>9.7450000000000002E-3</v>
      </c>
      <c r="I379">
        <v>0.28740076771653539</v>
      </c>
      <c r="J379">
        <v>6.6537632283464598E-2</v>
      </c>
      <c r="K379">
        <v>0.35393839999999999</v>
      </c>
      <c r="L379">
        <v>4.3193717277486883</v>
      </c>
      <c r="M379">
        <v>0.29610988188976378</v>
      </c>
      <c r="N379">
        <v>7.4419380610236258E-2</v>
      </c>
    </row>
    <row r="380" spans="1:14" x14ac:dyDescent="0.2">
      <c r="B380">
        <v>100</v>
      </c>
      <c r="C380">
        <v>7</v>
      </c>
      <c r="D380">
        <v>3.5</v>
      </c>
      <c r="E380">
        <v>1.75</v>
      </c>
      <c r="F380">
        <v>3.5</v>
      </c>
      <c r="G380">
        <v>1.75</v>
      </c>
      <c r="H380">
        <v>9.7450000000000002E-3</v>
      </c>
      <c r="I380">
        <v>0.30481899606299218</v>
      </c>
      <c r="J380">
        <v>8.2301128937007917E-2</v>
      </c>
      <c r="K380">
        <v>0.38712012500000009</v>
      </c>
      <c r="L380">
        <v>3.7037037037037024</v>
      </c>
    </row>
    <row r="381" spans="1:14" x14ac:dyDescent="0.2">
      <c r="A381">
        <v>488569</v>
      </c>
      <c r="B381">
        <v>100</v>
      </c>
      <c r="C381">
        <v>8</v>
      </c>
      <c r="D381">
        <v>1.7</v>
      </c>
      <c r="E381">
        <v>1.1499999999999999</v>
      </c>
      <c r="F381">
        <v>1.7</v>
      </c>
      <c r="G381">
        <v>1.1499999999999999</v>
      </c>
      <c r="H381">
        <v>3.8630000000000001E-3</v>
      </c>
      <c r="I381">
        <v>3.7976027559055124E-2</v>
      </c>
      <c r="J381">
        <v>6.2867587440944867E-2</v>
      </c>
      <c r="K381">
        <v>0.100843615</v>
      </c>
      <c r="L381">
        <v>0.60406370126304254</v>
      </c>
      <c r="M381">
        <v>3.9702210629921256E-2</v>
      </c>
      <c r="N381">
        <v>5.6756899370078731E-2</v>
      </c>
    </row>
    <row r="382" spans="1:14" x14ac:dyDescent="0.2">
      <c r="B382">
        <v>100</v>
      </c>
      <c r="C382">
        <v>8</v>
      </c>
      <c r="D382">
        <v>1.65</v>
      </c>
      <c r="E382">
        <v>1.05</v>
      </c>
      <c r="F382">
        <v>1.65</v>
      </c>
      <c r="G382">
        <v>1.05</v>
      </c>
      <c r="H382">
        <v>3.8630000000000001E-3</v>
      </c>
      <c r="I382">
        <v>4.1428393700787387E-2</v>
      </c>
      <c r="J382">
        <v>5.0646211299212603E-2</v>
      </c>
      <c r="K382">
        <v>9.207460499999999E-2</v>
      </c>
      <c r="L382">
        <v>0.81799591002044958</v>
      </c>
    </row>
    <row r="383" spans="1:14" x14ac:dyDescent="0.2">
      <c r="A383">
        <v>488570</v>
      </c>
      <c r="B383">
        <v>100</v>
      </c>
      <c r="C383">
        <v>8</v>
      </c>
      <c r="D383">
        <v>2</v>
      </c>
      <c r="E383">
        <v>1.4</v>
      </c>
      <c r="F383">
        <v>2</v>
      </c>
      <c r="G383">
        <v>1.4</v>
      </c>
      <c r="H383">
        <v>3.8630000000000001E-3</v>
      </c>
      <c r="I383">
        <v>4.1428393700787408E-2</v>
      </c>
      <c r="J383">
        <v>8.1337746299212588E-2</v>
      </c>
      <c r="K383">
        <v>0.12276614</v>
      </c>
      <c r="L383">
        <v>0.50933786078098486</v>
      </c>
      <c r="M383">
        <v>5.178549212598426E-2</v>
      </c>
      <c r="N383">
        <v>8.4134162874015761E-2</v>
      </c>
    </row>
    <row r="384" spans="1:14" x14ac:dyDescent="0.2">
      <c r="B384">
        <v>100</v>
      </c>
      <c r="C384">
        <v>8</v>
      </c>
      <c r="D384">
        <v>2.6</v>
      </c>
      <c r="E384">
        <v>1.7</v>
      </c>
      <c r="F384">
        <v>2.6</v>
      </c>
      <c r="G384">
        <v>1.7</v>
      </c>
      <c r="H384">
        <v>3.8630000000000001E-3</v>
      </c>
      <c r="I384">
        <v>6.2142590551181112E-2</v>
      </c>
      <c r="J384">
        <v>8.693057944881892E-2</v>
      </c>
      <c r="K384">
        <v>0.14907317000000003</v>
      </c>
      <c r="L384">
        <v>0.71485305798252574</v>
      </c>
    </row>
    <row r="385" spans="1:14" x14ac:dyDescent="0.2">
      <c r="A385">
        <v>488571</v>
      </c>
      <c r="B385">
        <v>100</v>
      </c>
      <c r="C385">
        <v>8</v>
      </c>
      <c r="D385">
        <v>3.75</v>
      </c>
      <c r="E385">
        <v>2.25</v>
      </c>
      <c r="F385">
        <v>3.75</v>
      </c>
      <c r="G385">
        <v>2.25</v>
      </c>
      <c r="H385">
        <v>3.8630000000000001E-3</v>
      </c>
      <c r="I385">
        <v>0.10357098425196851</v>
      </c>
      <c r="J385">
        <v>9.3731740748031492E-2</v>
      </c>
      <c r="K385">
        <v>0.19730272500000001</v>
      </c>
      <c r="L385">
        <v>1.1049723756906078</v>
      </c>
      <c r="M385">
        <v>9.3213885826771661E-2</v>
      </c>
      <c r="N385">
        <v>9.970433417322834E-2</v>
      </c>
    </row>
    <row r="386" spans="1:14" x14ac:dyDescent="0.2">
      <c r="B386">
        <v>100</v>
      </c>
      <c r="C386">
        <v>8</v>
      </c>
      <c r="D386">
        <v>3.35</v>
      </c>
      <c r="E386">
        <v>2.15</v>
      </c>
      <c r="F386">
        <v>3.35</v>
      </c>
      <c r="G386">
        <v>2.15</v>
      </c>
      <c r="H386">
        <v>3.8630000000000001E-3</v>
      </c>
      <c r="I386">
        <v>8.2856787401574816E-2</v>
      </c>
      <c r="J386">
        <v>0.10567692759842519</v>
      </c>
      <c r="K386">
        <v>0.18853371499999999</v>
      </c>
      <c r="L386">
        <v>0.78405749754982046</v>
      </c>
    </row>
    <row r="387" spans="1:14" x14ac:dyDescent="0.2">
      <c r="A387">
        <v>488572</v>
      </c>
      <c r="B387">
        <v>100</v>
      </c>
      <c r="C387">
        <v>8</v>
      </c>
      <c r="D387">
        <v>4.25</v>
      </c>
      <c r="E387">
        <v>2.5499999999999998</v>
      </c>
      <c r="F387">
        <v>4.25</v>
      </c>
      <c r="G387">
        <v>2.5499999999999998</v>
      </c>
      <c r="H387">
        <v>3.8630000000000001E-3</v>
      </c>
      <c r="I387">
        <v>0.11738044881889766</v>
      </c>
      <c r="J387">
        <v>0.10622930618110235</v>
      </c>
      <c r="K387">
        <v>0.22360975500000002</v>
      </c>
      <c r="L387">
        <v>1.104972375690608</v>
      </c>
      <c r="M387">
        <v>0.11565426574803149</v>
      </c>
      <c r="N387">
        <v>0.11453224675196852</v>
      </c>
    </row>
    <row r="388" spans="1:14" x14ac:dyDescent="0.2">
      <c r="B388">
        <v>100</v>
      </c>
      <c r="C388">
        <v>8</v>
      </c>
      <c r="D388">
        <v>4.3499999999999996</v>
      </c>
      <c r="E388">
        <v>2.7</v>
      </c>
      <c r="F388">
        <v>4.3499999999999996</v>
      </c>
      <c r="G388">
        <v>2.7</v>
      </c>
      <c r="H388">
        <v>3.8630000000000001E-3</v>
      </c>
      <c r="I388">
        <v>0.11392808267716532</v>
      </c>
      <c r="J388">
        <v>0.1228351873228347</v>
      </c>
      <c r="K388">
        <v>0.23676327000000003</v>
      </c>
      <c r="L388">
        <v>0.9274873524451932</v>
      </c>
    </row>
    <row r="389" spans="1:14" x14ac:dyDescent="0.2">
      <c r="A389">
        <v>488573</v>
      </c>
      <c r="B389">
        <v>100</v>
      </c>
      <c r="C389">
        <v>8</v>
      </c>
      <c r="D389">
        <v>5.25</v>
      </c>
      <c r="E389">
        <v>3.2</v>
      </c>
      <c r="F389">
        <v>5.25</v>
      </c>
      <c r="G389">
        <v>3.2</v>
      </c>
      <c r="H389">
        <v>3.8630000000000001E-3</v>
      </c>
      <c r="I389">
        <v>0.14154701181102361</v>
      </c>
      <c r="J389">
        <v>0.13906130818897641</v>
      </c>
      <c r="K389">
        <v>0.28060832000000002</v>
      </c>
      <c r="L389">
        <v>1.0178748758689173</v>
      </c>
      <c r="M389">
        <v>0.12255899803149604</v>
      </c>
      <c r="N389">
        <v>0.142703554468504</v>
      </c>
    </row>
    <row r="390" spans="1:14" x14ac:dyDescent="0.2">
      <c r="B390">
        <v>100</v>
      </c>
      <c r="C390">
        <v>8</v>
      </c>
      <c r="D390">
        <v>4.3499999999999996</v>
      </c>
      <c r="E390">
        <v>2.85</v>
      </c>
      <c r="F390">
        <v>4.3499999999999996</v>
      </c>
      <c r="G390">
        <v>2.85</v>
      </c>
      <c r="H390">
        <v>3.8630000000000001E-3</v>
      </c>
      <c r="I390">
        <v>0.10357098425196848</v>
      </c>
      <c r="J390">
        <v>0.14634580074803158</v>
      </c>
      <c r="K390">
        <v>0.24991678500000006</v>
      </c>
      <c r="L390">
        <v>0.70771408351026133</v>
      </c>
    </row>
    <row r="391" spans="1:14" x14ac:dyDescent="0.2">
      <c r="A391">
        <v>488574</v>
      </c>
      <c r="B391">
        <v>100</v>
      </c>
      <c r="C391">
        <v>8</v>
      </c>
      <c r="D391">
        <v>7</v>
      </c>
      <c r="E391">
        <v>4.2</v>
      </c>
      <c r="F391">
        <v>7</v>
      </c>
      <c r="G391">
        <v>4.2</v>
      </c>
      <c r="H391">
        <v>3.8630000000000001E-3</v>
      </c>
      <c r="I391">
        <v>0.19333250393700788</v>
      </c>
      <c r="J391">
        <v>0.17496591606299219</v>
      </c>
      <c r="K391">
        <v>0.36829842000000007</v>
      </c>
      <c r="L391">
        <v>1.1049723756906074</v>
      </c>
      <c r="M391">
        <v>0.19678487007874018</v>
      </c>
      <c r="N391">
        <v>0.17370580242125988</v>
      </c>
    </row>
    <row r="392" spans="1:14" x14ac:dyDescent="0.2">
      <c r="B392">
        <v>100</v>
      </c>
      <c r="C392">
        <v>8</v>
      </c>
      <c r="D392">
        <v>7.15</v>
      </c>
      <c r="E392">
        <v>4.25</v>
      </c>
      <c r="F392">
        <v>7.15</v>
      </c>
      <c r="G392">
        <v>4.25</v>
      </c>
      <c r="H392">
        <v>3.8630000000000001E-3</v>
      </c>
      <c r="I392">
        <v>0.20023723622047246</v>
      </c>
      <c r="J392">
        <v>0.17244568877952754</v>
      </c>
      <c r="K392">
        <v>0.372682925</v>
      </c>
      <c r="L392">
        <v>1.1611611611611614</v>
      </c>
    </row>
    <row r="393" spans="1:14" x14ac:dyDescent="0.2">
      <c r="A393">
        <v>488575</v>
      </c>
      <c r="B393">
        <v>100</v>
      </c>
      <c r="C393">
        <v>6</v>
      </c>
      <c r="D393">
        <v>6.75</v>
      </c>
      <c r="E393">
        <v>3.3</v>
      </c>
      <c r="F393">
        <v>6.75</v>
      </c>
      <c r="G393">
        <v>3.3</v>
      </c>
      <c r="H393">
        <v>3.5767E-2</v>
      </c>
      <c r="I393">
        <v>2.2055847283464569</v>
      </c>
      <c r="J393">
        <v>0.47372124165354351</v>
      </c>
      <c r="K393">
        <v>2.6793059700000006</v>
      </c>
      <c r="L393">
        <v>4.655870445344128</v>
      </c>
      <c r="M393">
        <v>2.2215672263779531</v>
      </c>
      <c r="N393">
        <v>0.47803651612204778</v>
      </c>
    </row>
    <row r="394" spans="1:14" x14ac:dyDescent="0.2">
      <c r="B394">
        <v>100</v>
      </c>
      <c r="C394">
        <v>6</v>
      </c>
      <c r="D394">
        <v>6.85</v>
      </c>
      <c r="E394">
        <v>3.35</v>
      </c>
      <c r="F394">
        <v>6.85</v>
      </c>
      <c r="G394">
        <v>3.35</v>
      </c>
      <c r="H394">
        <v>3.5767E-2</v>
      </c>
      <c r="I394">
        <v>2.2375497244094489</v>
      </c>
      <c r="J394">
        <v>0.482351790590552</v>
      </c>
      <c r="K394">
        <v>2.719901515000001</v>
      </c>
      <c r="L394">
        <v>4.6388336646785877</v>
      </c>
    </row>
    <row r="395" spans="1:14" x14ac:dyDescent="0.2">
      <c r="A395">
        <v>488576</v>
      </c>
      <c r="B395">
        <v>100</v>
      </c>
      <c r="C395">
        <v>6</v>
      </c>
      <c r="D395">
        <v>6.45</v>
      </c>
      <c r="E395">
        <v>3.15</v>
      </c>
      <c r="F395">
        <v>6.45</v>
      </c>
      <c r="G395">
        <v>3.15</v>
      </c>
      <c r="H395">
        <v>3.5767E-2</v>
      </c>
      <c r="I395">
        <v>2.1096897401574806</v>
      </c>
      <c r="J395">
        <v>0.44782959484251933</v>
      </c>
      <c r="K395">
        <v>2.5575193349999998</v>
      </c>
      <c r="L395">
        <v>4.7109207708779488</v>
      </c>
      <c r="M395">
        <v>2.1096897401574806</v>
      </c>
      <c r="N395">
        <v>0.46812736734251964</v>
      </c>
    </row>
    <row r="396" spans="1:14" x14ac:dyDescent="0.2">
      <c r="B396">
        <v>100</v>
      </c>
      <c r="C396">
        <v>6</v>
      </c>
      <c r="D396">
        <v>6.5</v>
      </c>
      <c r="E396">
        <v>3.2</v>
      </c>
      <c r="F396">
        <v>6.5</v>
      </c>
      <c r="G396">
        <v>3.2</v>
      </c>
      <c r="H396">
        <v>3.5767E-2</v>
      </c>
      <c r="I396">
        <v>2.1096897401574806</v>
      </c>
      <c r="J396">
        <v>0.48842513984251995</v>
      </c>
      <c r="K396">
        <v>2.5981148800000007</v>
      </c>
      <c r="L396">
        <v>4.3193717277486892</v>
      </c>
    </row>
    <row r="397" spans="1:14" x14ac:dyDescent="0.2">
      <c r="A397">
        <v>488577</v>
      </c>
      <c r="B397">
        <v>100</v>
      </c>
      <c r="C397">
        <v>6</v>
      </c>
      <c r="D397">
        <v>5.35</v>
      </c>
      <c r="E397">
        <v>2.5499999999999998</v>
      </c>
      <c r="F397">
        <v>5.35</v>
      </c>
      <c r="G397">
        <v>2.5499999999999998</v>
      </c>
      <c r="H397">
        <v>3.5767E-2</v>
      </c>
      <c r="I397">
        <v>1.7900397795275591</v>
      </c>
      <c r="J397">
        <v>0.28033301547244105</v>
      </c>
      <c r="K397">
        <v>2.0703727949999999</v>
      </c>
      <c r="L397">
        <v>6.3854047890535899</v>
      </c>
      <c r="M397">
        <v>1.7261097874015747</v>
      </c>
      <c r="N397">
        <v>0.28336969009842528</v>
      </c>
    </row>
    <row r="398" spans="1:14" x14ac:dyDescent="0.2">
      <c r="B398">
        <v>100</v>
      </c>
      <c r="C398">
        <v>6</v>
      </c>
      <c r="D398">
        <v>5</v>
      </c>
      <c r="E398">
        <v>2.4</v>
      </c>
      <c r="F398">
        <v>5</v>
      </c>
      <c r="G398">
        <v>2.4</v>
      </c>
      <c r="H398">
        <v>3.5767E-2</v>
      </c>
      <c r="I398">
        <v>1.6621797952755906</v>
      </c>
      <c r="J398">
        <v>0.28640636472440945</v>
      </c>
      <c r="K398">
        <v>1.9485861600000001</v>
      </c>
      <c r="L398">
        <v>5.8035714285714288</v>
      </c>
    </row>
    <row r="399" spans="1:14" x14ac:dyDescent="0.2">
      <c r="A399">
        <v>488578</v>
      </c>
      <c r="B399">
        <v>100</v>
      </c>
      <c r="C399">
        <v>8</v>
      </c>
      <c r="D399">
        <v>1.2</v>
      </c>
      <c r="E399">
        <v>0.85</v>
      </c>
      <c r="F399">
        <v>1.2</v>
      </c>
      <c r="G399">
        <v>0.85</v>
      </c>
      <c r="H399">
        <v>3.8630000000000001E-3</v>
      </c>
      <c r="I399">
        <v>2.4166562992125985E-2</v>
      </c>
      <c r="J399">
        <v>5.0370022007874028E-2</v>
      </c>
      <c r="K399">
        <v>7.4536585000000016E-2</v>
      </c>
      <c r="L399">
        <v>0.47978067169294025</v>
      </c>
      <c r="M399">
        <v>2.2440379921259839E-2</v>
      </c>
      <c r="N399">
        <v>5.4288457578740165E-2</v>
      </c>
    </row>
    <row r="400" spans="1:14" x14ac:dyDescent="0.2">
      <c r="B400">
        <v>100</v>
      </c>
      <c r="C400">
        <v>8</v>
      </c>
      <c r="D400">
        <v>1.2</v>
      </c>
      <c r="E400">
        <v>0.9</v>
      </c>
      <c r="F400">
        <v>1.2</v>
      </c>
      <c r="G400">
        <v>0.9</v>
      </c>
      <c r="H400">
        <v>3.8630000000000001E-3</v>
      </c>
      <c r="I400">
        <v>2.0714196850393694E-2</v>
      </c>
      <c r="J400">
        <v>5.8206893149606309E-2</v>
      </c>
      <c r="K400">
        <v>7.8921089999999999E-2</v>
      </c>
      <c r="L400">
        <v>0.35587188612099624</v>
      </c>
    </row>
    <row r="401" spans="1:14" x14ac:dyDescent="0.2">
      <c r="A401">
        <v>488579</v>
      </c>
      <c r="B401">
        <v>100</v>
      </c>
      <c r="C401">
        <v>8</v>
      </c>
      <c r="D401">
        <v>1.85</v>
      </c>
      <c r="E401">
        <v>1.3</v>
      </c>
      <c r="F401">
        <v>1.85</v>
      </c>
      <c r="G401">
        <v>1.3</v>
      </c>
      <c r="H401">
        <v>3.8630000000000001E-3</v>
      </c>
      <c r="I401">
        <v>3.7976027559055124E-2</v>
      </c>
      <c r="J401">
        <v>7.6021102440944885E-2</v>
      </c>
      <c r="K401">
        <v>0.11399713</v>
      </c>
      <c r="L401">
        <v>0.49954586739327889</v>
      </c>
      <c r="M401">
        <v>3.6249844488188979E-2</v>
      </c>
      <c r="N401">
        <v>7.3362780511811027E-2</v>
      </c>
    </row>
    <row r="402" spans="1:14" x14ac:dyDescent="0.2">
      <c r="B402">
        <v>100</v>
      </c>
      <c r="C402">
        <v>8</v>
      </c>
      <c r="D402">
        <v>1.7</v>
      </c>
      <c r="E402">
        <v>1.2</v>
      </c>
      <c r="F402">
        <v>1.7</v>
      </c>
      <c r="G402">
        <v>1.2</v>
      </c>
      <c r="H402">
        <v>3.8630000000000001E-3</v>
      </c>
      <c r="I402">
        <v>3.452366141732284E-2</v>
      </c>
      <c r="J402">
        <v>7.0704458582677168E-2</v>
      </c>
      <c r="K402">
        <v>0.10522812000000001</v>
      </c>
      <c r="L402">
        <v>0.48828125000000006</v>
      </c>
    </row>
    <row r="403" spans="1:14" x14ac:dyDescent="0.2">
      <c r="A403">
        <v>488580</v>
      </c>
      <c r="B403">
        <v>100</v>
      </c>
      <c r="C403">
        <v>8</v>
      </c>
      <c r="D403">
        <v>2.35</v>
      </c>
      <c r="E403">
        <v>1.5</v>
      </c>
      <c r="F403">
        <v>2.35</v>
      </c>
      <c r="G403">
        <v>1.5</v>
      </c>
      <c r="H403">
        <v>3.8630000000000001E-3</v>
      </c>
      <c r="I403">
        <v>5.8690224409448828E-2</v>
      </c>
      <c r="J403">
        <v>7.2844925590551168E-2</v>
      </c>
      <c r="K403">
        <v>0.13153514999999999</v>
      </c>
      <c r="L403">
        <v>0.80568720379146941</v>
      </c>
      <c r="M403">
        <v>5.3511675196850399E-2</v>
      </c>
      <c r="N403">
        <v>6.7062212303149599E-2</v>
      </c>
    </row>
    <row r="404" spans="1:14" x14ac:dyDescent="0.2">
      <c r="B404">
        <v>100</v>
      </c>
      <c r="C404">
        <v>8</v>
      </c>
      <c r="D404">
        <v>1.95</v>
      </c>
      <c r="E404">
        <v>1.25</v>
      </c>
      <c r="F404">
        <v>1.95</v>
      </c>
      <c r="G404">
        <v>1.25</v>
      </c>
      <c r="H404">
        <v>3.8630000000000001E-3</v>
      </c>
      <c r="I404">
        <v>4.8333125984251969E-2</v>
      </c>
      <c r="J404">
        <v>6.1279499015748043E-2</v>
      </c>
      <c r="K404">
        <v>0.10961262500000002</v>
      </c>
      <c r="L404">
        <v>0.78873239436619702</v>
      </c>
    </row>
    <row r="405" spans="1:14" x14ac:dyDescent="0.2">
      <c r="A405">
        <v>488581</v>
      </c>
      <c r="B405">
        <v>100</v>
      </c>
      <c r="C405">
        <v>8</v>
      </c>
      <c r="D405">
        <v>2.2999999999999998</v>
      </c>
      <c r="E405">
        <v>1.45</v>
      </c>
      <c r="F405">
        <v>2.2999999999999998</v>
      </c>
      <c r="G405">
        <v>1.45</v>
      </c>
      <c r="H405">
        <v>3.8630000000000001E-3</v>
      </c>
      <c r="I405">
        <v>5.8690224409448807E-2</v>
      </c>
      <c r="J405">
        <v>6.8460420590551199E-2</v>
      </c>
      <c r="K405">
        <v>0.12715064500000001</v>
      </c>
      <c r="L405">
        <v>0.85728693898134101</v>
      </c>
      <c r="M405">
        <v>6.2142590551181091E-2</v>
      </c>
      <c r="N405">
        <v>7.1584811948818938E-2</v>
      </c>
    </row>
    <row r="406" spans="1:14" x14ac:dyDescent="0.2">
      <c r="B406">
        <v>100</v>
      </c>
      <c r="C406">
        <v>8</v>
      </c>
      <c r="D406">
        <v>2.5499999999999998</v>
      </c>
      <c r="E406">
        <v>1.6</v>
      </c>
      <c r="F406">
        <v>2.5499999999999998</v>
      </c>
      <c r="G406">
        <v>1.6</v>
      </c>
      <c r="H406">
        <v>3.8630000000000001E-3</v>
      </c>
      <c r="I406">
        <v>6.5594956692913375E-2</v>
      </c>
      <c r="J406">
        <v>7.4709203307086677E-2</v>
      </c>
      <c r="K406">
        <v>0.14030416000000007</v>
      </c>
      <c r="L406">
        <v>0.8780036968576701</v>
      </c>
    </row>
    <row r="407" spans="1:14" x14ac:dyDescent="0.2">
      <c r="A407">
        <v>488582</v>
      </c>
      <c r="B407">
        <v>100</v>
      </c>
      <c r="C407">
        <v>8</v>
      </c>
      <c r="D407">
        <v>3</v>
      </c>
      <c r="E407">
        <v>1.9</v>
      </c>
      <c r="F407">
        <v>3</v>
      </c>
      <c r="G407">
        <v>1.9</v>
      </c>
      <c r="H407">
        <v>3.8630000000000001E-3</v>
      </c>
      <c r="I407">
        <v>7.5952055118110248E-2</v>
      </c>
      <c r="J407">
        <v>9.0659134881889772E-2</v>
      </c>
      <c r="K407">
        <v>0.16661119000000002</v>
      </c>
      <c r="L407">
        <v>0.8377760853008378</v>
      </c>
      <c r="M407">
        <v>7.9404421259842539E-2</v>
      </c>
      <c r="N407">
        <v>9.816803124015748E-2</v>
      </c>
    </row>
    <row r="408" spans="1:14" x14ac:dyDescent="0.2">
      <c r="B408">
        <v>100</v>
      </c>
      <c r="C408">
        <v>8</v>
      </c>
      <c r="D408">
        <v>3.35</v>
      </c>
      <c r="E408">
        <v>2.15</v>
      </c>
      <c r="F408">
        <v>3.35</v>
      </c>
      <c r="G408">
        <v>2.15</v>
      </c>
      <c r="H408">
        <v>3.8630000000000001E-3</v>
      </c>
      <c r="I408">
        <v>8.2856787401574816E-2</v>
      </c>
      <c r="J408">
        <v>0.10567692759842519</v>
      </c>
      <c r="K408">
        <v>0.18853371499999999</v>
      </c>
      <c r="L408">
        <v>0.78405749754982046</v>
      </c>
    </row>
    <row r="409" spans="1:14" x14ac:dyDescent="0.2">
      <c r="A409">
        <v>488583</v>
      </c>
      <c r="B409">
        <v>100</v>
      </c>
      <c r="C409">
        <v>8</v>
      </c>
      <c r="D409">
        <v>5.8</v>
      </c>
      <c r="E409">
        <v>3.35</v>
      </c>
      <c r="F409">
        <v>5.8</v>
      </c>
      <c r="G409">
        <v>3.35</v>
      </c>
      <c r="H409">
        <v>3.8630000000000001E-3</v>
      </c>
      <c r="I409">
        <v>0.16916594094488191</v>
      </c>
      <c r="J409">
        <v>0.12459589405511816</v>
      </c>
      <c r="K409">
        <v>0.29376183500000008</v>
      </c>
      <c r="L409">
        <v>1.3577168190634521</v>
      </c>
      <c r="M409">
        <v>0.1777968562992126</v>
      </c>
      <c r="N409">
        <v>0.12911849370078746</v>
      </c>
    </row>
    <row r="410" spans="1:14" x14ac:dyDescent="0.2">
      <c r="B410">
        <v>100</v>
      </c>
      <c r="C410">
        <v>8</v>
      </c>
      <c r="D410">
        <v>6.35</v>
      </c>
      <c r="E410">
        <v>3.65</v>
      </c>
      <c r="F410">
        <v>6.35</v>
      </c>
      <c r="G410">
        <v>3.65</v>
      </c>
      <c r="H410">
        <v>3.8630000000000001E-3</v>
      </c>
      <c r="I410">
        <v>0.18642777165354332</v>
      </c>
      <c r="J410">
        <v>0.13364109334645677</v>
      </c>
      <c r="K410">
        <v>0.32006886500000009</v>
      </c>
      <c r="L410">
        <v>1.3949883750968735</v>
      </c>
    </row>
    <row r="411" spans="1:14" x14ac:dyDescent="0.2">
      <c r="A411">
        <v>488584</v>
      </c>
      <c r="B411">
        <v>100</v>
      </c>
      <c r="C411">
        <v>6</v>
      </c>
      <c r="D411">
        <v>4.75</v>
      </c>
      <c r="E411">
        <v>2.4</v>
      </c>
      <c r="F411">
        <v>4.75</v>
      </c>
      <c r="G411">
        <v>2.4</v>
      </c>
      <c r="H411">
        <v>3.5767E-2</v>
      </c>
      <c r="I411">
        <v>1.5023548149606298</v>
      </c>
      <c r="J411">
        <v>0.44623134503937018</v>
      </c>
      <c r="K411">
        <v>1.9485861600000001</v>
      </c>
      <c r="L411">
        <v>3.3667621776504291</v>
      </c>
      <c r="M411">
        <v>1.4544073208661419</v>
      </c>
      <c r="N411">
        <v>0.47388106663385854</v>
      </c>
    </row>
    <row r="412" spans="1:14" x14ac:dyDescent="0.2">
      <c r="B412">
        <v>100</v>
      </c>
      <c r="C412">
        <v>6</v>
      </c>
      <c r="D412">
        <v>4.55</v>
      </c>
      <c r="E412">
        <v>2.35</v>
      </c>
      <c r="F412">
        <v>4.55</v>
      </c>
      <c r="G412">
        <v>2.35</v>
      </c>
      <c r="H412">
        <v>3.5767E-2</v>
      </c>
      <c r="I412">
        <v>1.4064598267716537</v>
      </c>
      <c r="J412">
        <v>0.50153078822834685</v>
      </c>
      <c r="K412">
        <v>1.9079906150000006</v>
      </c>
      <c r="L412">
        <v>2.8043339706819612</v>
      </c>
    </row>
    <row r="413" spans="1:14" x14ac:dyDescent="0.2">
      <c r="A413">
        <v>488585</v>
      </c>
      <c r="B413">
        <v>100</v>
      </c>
      <c r="C413">
        <v>5</v>
      </c>
      <c r="D413">
        <v>2.75</v>
      </c>
      <c r="E413">
        <v>1.35</v>
      </c>
      <c r="F413">
        <v>2.75</v>
      </c>
      <c r="G413">
        <v>1.35</v>
      </c>
      <c r="H413">
        <v>0.123026</v>
      </c>
      <c r="I413">
        <v>3.0785561259842513</v>
      </c>
      <c r="J413">
        <v>0.69157564401574878</v>
      </c>
      <c r="K413">
        <v>3.7701317699999999</v>
      </c>
      <c r="L413">
        <v>4.4515103338632693</v>
      </c>
      <c r="M413">
        <v>2.9686076929133853</v>
      </c>
      <c r="N413">
        <v>0.73170682208661431</v>
      </c>
    </row>
    <row r="414" spans="1:14" x14ac:dyDescent="0.2">
      <c r="B414">
        <v>100</v>
      </c>
      <c r="C414">
        <v>5</v>
      </c>
      <c r="D414">
        <v>2.6</v>
      </c>
      <c r="E414">
        <v>1.3</v>
      </c>
      <c r="F414">
        <v>2.6</v>
      </c>
      <c r="G414">
        <v>1.3</v>
      </c>
      <c r="H414">
        <v>0.123026</v>
      </c>
      <c r="I414">
        <v>2.8586592598425193</v>
      </c>
      <c r="J414">
        <v>0.77183800015747994</v>
      </c>
      <c r="K414">
        <v>3.6304972599999994</v>
      </c>
      <c r="L414">
        <v>3.7037037037037051</v>
      </c>
    </row>
    <row r="415" spans="1:14" x14ac:dyDescent="0.2">
      <c r="A415">
        <v>488586</v>
      </c>
      <c r="B415">
        <v>100</v>
      </c>
      <c r="C415">
        <v>5</v>
      </c>
      <c r="D415">
        <v>2.35</v>
      </c>
      <c r="E415">
        <v>1.3</v>
      </c>
      <c r="F415">
        <v>2.35</v>
      </c>
      <c r="G415">
        <v>1.3</v>
      </c>
      <c r="H415">
        <v>0.123026</v>
      </c>
      <c r="I415">
        <v>2.3089170944881885</v>
      </c>
      <c r="J415">
        <v>1.3215801655118107</v>
      </c>
      <c r="K415">
        <v>3.6304972599999994</v>
      </c>
      <c r="L415">
        <v>1.7470881863560732</v>
      </c>
      <c r="M415">
        <v>2.0974259311023618</v>
      </c>
      <c r="N415">
        <v>0.87479573139763778</v>
      </c>
    </row>
    <row r="416" spans="1:14" x14ac:dyDescent="0.2">
      <c r="B416">
        <v>100</v>
      </c>
      <c r="C416">
        <v>6</v>
      </c>
      <c r="D416">
        <v>5.8</v>
      </c>
      <c r="E416">
        <v>2.85</v>
      </c>
      <c r="F416">
        <v>5.8</v>
      </c>
      <c r="G416">
        <v>2.85</v>
      </c>
      <c r="H416">
        <v>3.5767E-2</v>
      </c>
      <c r="I416">
        <v>1.8859347677165355</v>
      </c>
      <c r="J416">
        <v>0.42801129728346476</v>
      </c>
      <c r="K416">
        <v>2.3139460650000001</v>
      </c>
      <c r="L416">
        <v>4.4062733383121717</v>
      </c>
    </row>
    <row r="417" spans="1:14" x14ac:dyDescent="0.2">
      <c r="A417">
        <v>488587</v>
      </c>
      <c r="B417">
        <v>100</v>
      </c>
      <c r="C417">
        <v>8</v>
      </c>
      <c r="D417">
        <v>2.6</v>
      </c>
      <c r="E417">
        <v>1.65</v>
      </c>
      <c r="F417">
        <v>2.6</v>
      </c>
      <c r="G417">
        <v>1.65</v>
      </c>
      <c r="H417">
        <v>3.8630000000000001E-3</v>
      </c>
      <c r="I417">
        <v>6.5594956692913403E-2</v>
      </c>
      <c r="J417">
        <v>7.9093708307086605E-2</v>
      </c>
      <c r="K417">
        <v>0.14468866499999999</v>
      </c>
      <c r="L417">
        <v>0.82933216935835907</v>
      </c>
      <c r="M417">
        <v>7.2499688976377957E-2</v>
      </c>
      <c r="N417">
        <v>8.0957986023622058E-2</v>
      </c>
    </row>
    <row r="418" spans="1:14" x14ac:dyDescent="0.2">
      <c r="B418">
        <v>100</v>
      </c>
      <c r="C418">
        <v>8</v>
      </c>
      <c r="D418">
        <v>3</v>
      </c>
      <c r="E418">
        <v>1.85</v>
      </c>
      <c r="F418">
        <v>3</v>
      </c>
      <c r="G418">
        <v>1.85</v>
      </c>
      <c r="H418">
        <v>3.8630000000000001E-3</v>
      </c>
      <c r="I418">
        <v>7.9404421259842511E-2</v>
      </c>
      <c r="J418">
        <v>8.2822263740157512E-2</v>
      </c>
      <c r="K418">
        <v>0.16222668500000004</v>
      </c>
      <c r="L418">
        <v>0.95873280533555605</v>
      </c>
    </row>
    <row r="419" spans="1:14" x14ac:dyDescent="0.2">
      <c r="A419">
        <v>488588</v>
      </c>
      <c r="B419">
        <v>100</v>
      </c>
      <c r="C419">
        <v>8</v>
      </c>
      <c r="D419">
        <v>1.65</v>
      </c>
      <c r="E419">
        <v>1.1499999999999999</v>
      </c>
      <c r="F419">
        <v>1.65</v>
      </c>
      <c r="G419">
        <v>1.1499999999999999</v>
      </c>
      <c r="H419">
        <v>3.8630000000000001E-3</v>
      </c>
      <c r="I419">
        <v>3.452366141732284E-2</v>
      </c>
      <c r="J419">
        <v>6.6319953582677144E-2</v>
      </c>
      <c r="K419">
        <v>0.10084361499999998</v>
      </c>
      <c r="L419">
        <v>0.52056220718375867</v>
      </c>
      <c r="M419">
        <v>3.452366141732284E-2</v>
      </c>
      <c r="N419">
        <v>6.8512206082677163E-2</v>
      </c>
    </row>
    <row r="420" spans="1:14" x14ac:dyDescent="0.2">
      <c r="B420">
        <v>100</v>
      </c>
      <c r="C420">
        <v>8</v>
      </c>
      <c r="D420">
        <v>1.7</v>
      </c>
      <c r="E420">
        <v>1.2</v>
      </c>
      <c r="F420">
        <v>1.7</v>
      </c>
      <c r="G420">
        <v>1.2</v>
      </c>
      <c r="H420">
        <v>3.8630000000000001E-3</v>
      </c>
      <c r="I420">
        <v>3.452366141732284E-2</v>
      </c>
      <c r="J420">
        <v>7.0704458582677168E-2</v>
      </c>
      <c r="K420">
        <v>0.10522812000000001</v>
      </c>
      <c r="L420">
        <v>0.48828125000000006</v>
      </c>
    </row>
    <row r="421" spans="1:14" x14ac:dyDescent="0.2">
      <c r="A421">
        <v>488589</v>
      </c>
      <c r="B421">
        <v>100</v>
      </c>
      <c r="C421">
        <v>8</v>
      </c>
      <c r="D421">
        <v>2.5499999999999998</v>
      </c>
      <c r="E421">
        <v>1.6</v>
      </c>
      <c r="F421">
        <v>2.5499999999999998</v>
      </c>
      <c r="G421">
        <v>1.6</v>
      </c>
      <c r="H421">
        <v>3.8630000000000001E-3</v>
      </c>
      <c r="I421">
        <v>6.5594956692913375E-2</v>
      </c>
      <c r="J421">
        <v>7.4709203307086677E-2</v>
      </c>
      <c r="K421">
        <v>0.14030416000000007</v>
      </c>
      <c r="L421">
        <v>0.8780036968576701</v>
      </c>
      <c r="M421">
        <v>6.5594956692913375E-2</v>
      </c>
      <c r="N421">
        <v>7.2516950807086644E-2</v>
      </c>
    </row>
    <row r="422" spans="1:14" x14ac:dyDescent="0.2">
      <c r="B422">
        <v>100</v>
      </c>
      <c r="C422">
        <v>8</v>
      </c>
      <c r="D422">
        <v>2.5</v>
      </c>
      <c r="E422">
        <v>1.55</v>
      </c>
      <c r="F422">
        <v>2.5</v>
      </c>
      <c r="G422">
        <v>1.55</v>
      </c>
      <c r="H422">
        <v>3.8630000000000001E-3</v>
      </c>
      <c r="I422">
        <v>6.5594956692913389E-2</v>
      </c>
      <c r="J422">
        <v>7.0324698307086611E-2</v>
      </c>
      <c r="K422">
        <v>0.135919655</v>
      </c>
      <c r="L422">
        <v>0.93274423171330401</v>
      </c>
    </row>
    <row r="423" spans="1:14" x14ac:dyDescent="0.2">
      <c r="A423">
        <v>488590</v>
      </c>
      <c r="B423">
        <v>100</v>
      </c>
      <c r="C423">
        <v>8</v>
      </c>
      <c r="D423">
        <v>3.95</v>
      </c>
      <c r="E423">
        <v>2.35</v>
      </c>
      <c r="F423">
        <v>3.95</v>
      </c>
      <c r="G423">
        <v>2.35</v>
      </c>
      <c r="H423">
        <v>3.8630000000000001E-3</v>
      </c>
      <c r="I423">
        <v>0.11047571653543307</v>
      </c>
      <c r="J423">
        <v>9.5596018464566945E-2</v>
      </c>
      <c r="K423">
        <v>0.20607173500000003</v>
      </c>
      <c r="L423">
        <v>1.1556518598772119</v>
      </c>
      <c r="M423">
        <v>8.2856787401574802E-2</v>
      </c>
      <c r="N423">
        <v>8.8138907598425215E-2</v>
      </c>
    </row>
    <row r="424" spans="1:14" x14ac:dyDescent="0.2">
      <c r="B424">
        <v>100</v>
      </c>
      <c r="C424">
        <v>8</v>
      </c>
      <c r="D424">
        <v>2.35</v>
      </c>
      <c r="E424">
        <v>1.55</v>
      </c>
      <c r="F424">
        <v>2.35</v>
      </c>
      <c r="G424">
        <v>1.55</v>
      </c>
      <c r="H424">
        <v>3.8630000000000001E-3</v>
      </c>
      <c r="I424">
        <v>5.5237858267716537E-2</v>
      </c>
      <c r="J424">
        <v>8.068179673228347E-2</v>
      </c>
      <c r="K424">
        <v>0.135919655</v>
      </c>
      <c r="L424">
        <v>0.68463842533162167</v>
      </c>
    </row>
    <row r="425" spans="1:14" x14ac:dyDescent="0.2">
      <c r="A425">
        <v>488591</v>
      </c>
      <c r="B425">
        <v>100</v>
      </c>
      <c r="C425">
        <v>8</v>
      </c>
      <c r="D425">
        <v>5.6</v>
      </c>
      <c r="E425">
        <v>3.05</v>
      </c>
      <c r="F425">
        <v>5.6</v>
      </c>
      <c r="G425">
        <v>3.05</v>
      </c>
      <c r="H425">
        <v>3.8630000000000001E-3</v>
      </c>
      <c r="I425">
        <v>0.17607067322834646</v>
      </c>
      <c r="J425">
        <v>9.1384131771653526E-2</v>
      </c>
      <c r="K425">
        <v>0.26745480499999996</v>
      </c>
      <c r="L425">
        <v>1.9267094824329434</v>
      </c>
      <c r="M425">
        <v>0.16743975787401574</v>
      </c>
      <c r="N425">
        <v>9.7822794625984227E-2</v>
      </c>
    </row>
    <row r="426" spans="1:14" x14ac:dyDescent="0.2">
      <c r="B426">
        <v>100</v>
      </c>
      <c r="C426">
        <v>8</v>
      </c>
      <c r="D426">
        <v>5.3</v>
      </c>
      <c r="E426">
        <v>3</v>
      </c>
      <c r="F426">
        <v>5.3</v>
      </c>
      <c r="G426">
        <v>3</v>
      </c>
      <c r="H426">
        <v>3.8630000000000001E-3</v>
      </c>
      <c r="I426">
        <v>0.15880884251968502</v>
      </c>
      <c r="J426">
        <v>0.10426145748031494</v>
      </c>
      <c r="K426">
        <v>0.26307029999999998</v>
      </c>
      <c r="L426">
        <v>1.5231788079470199</v>
      </c>
    </row>
    <row r="427" spans="1:14" x14ac:dyDescent="0.2">
      <c r="A427">
        <v>488592</v>
      </c>
      <c r="B427">
        <v>100</v>
      </c>
      <c r="C427">
        <v>8</v>
      </c>
      <c r="D427">
        <v>3.55</v>
      </c>
      <c r="E427">
        <v>2.2000000000000002</v>
      </c>
      <c r="F427">
        <v>3.55</v>
      </c>
      <c r="G427">
        <v>2.2000000000000002</v>
      </c>
      <c r="H427">
        <v>3.8630000000000001E-3</v>
      </c>
      <c r="I427">
        <v>9.3213885826771647E-2</v>
      </c>
      <c r="J427">
        <v>9.9704334173228409E-2</v>
      </c>
      <c r="K427">
        <v>0.19291822000000006</v>
      </c>
      <c r="L427">
        <v>0.93490304709141214</v>
      </c>
      <c r="M427">
        <v>9.1487702755905509E-2</v>
      </c>
      <c r="N427">
        <v>0.10143051724409455</v>
      </c>
    </row>
    <row r="428" spans="1:14" x14ac:dyDescent="0.2">
      <c r="B428">
        <v>100</v>
      </c>
      <c r="C428">
        <v>8</v>
      </c>
      <c r="D428">
        <v>3.5</v>
      </c>
      <c r="E428">
        <v>2.2000000000000002</v>
      </c>
      <c r="F428">
        <v>3.5</v>
      </c>
      <c r="G428">
        <v>2.2000000000000002</v>
      </c>
      <c r="H428">
        <v>3.8630000000000001E-3</v>
      </c>
      <c r="I428">
        <v>8.976151968503937E-2</v>
      </c>
      <c r="J428">
        <v>0.10315670031496069</v>
      </c>
      <c r="K428">
        <v>0.19291822000000006</v>
      </c>
      <c r="L428">
        <v>0.87014725568942386</v>
      </c>
    </row>
    <row r="429" spans="1:14" x14ac:dyDescent="0.2">
      <c r="A429">
        <v>488593</v>
      </c>
      <c r="B429">
        <v>100</v>
      </c>
      <c r="C429">
        <v>7</v>
      </c>
      <c r="D429">
        <v>6.6</v>
      </c>
      <c r="E429">
        <v>3.4</v>
      </c>
      <c r="F429">
        <v>6.6</v>
      </c>
      <c r="G429">
        <v>3.4</v>
      </c>
      <c r="H429">
        <v>9.7450000000000002E-3</v>
      </c>
      <c r="I429">
        <v>0.5573833070866141</v>
      </c>
      <c r="J429">
        <v>0.19473579291338594</v>
      </c>
      <c r="K429">
        <v>0.75211910000000004</v>
      </c>
      <c r="L429">
        <v>2.8622540250447206</v>
      </c>
      <c r="M429">
        <v>0.58786520669291331</v>
      </c>
      <c r="N429">
        <v>0.23061734330708675</v>
      </c>
    </row>
    <row r="430" spans="1:14" x14ac:dyDescent="0.2">
      <c r="B430">
        <v>100</v>
      </c>
      <c r="C430">
        <v>7</v>
      </c>
      <c r="D430">
        <v>7.55</v>
      </c>
      <c r="E430">
        <v>4</v>
      </c>
      <c r="F430">
        <v>7.55</v>
      </c>
      <c r="G430">
        <v>4</v>
      </c>
      <c r="H430">
        <v>9.7450000000000002E-3</v>
      </c>
      <c r="I430">
        <v>0.61834710629921263</v>
      </c>
      <c r="J430">
        <v>0.26649889370078755</v>
      </c>
      <c r="K430">
        <v>0.88484600000000024</v>
      </c>
      <c r="L430">
        <v>2.3202614379084956</v>
      </c>
    </row>
    <row r="431" spans="1:14" x14ac:dyDescent="0.2">
      <c r="A431">
        <v>488594</v>
      </c>
      <c r="B431">
        <v>100</v>
      </c>
      <c r="C431">
        <v>6</v>
      </c>
      <c r="D431">
        <v>2.8</v>
      </c>
      <c r="E431">
        <v>1.4</v>
      </c>
      <c r="F431">
        <v>2.8</v>
      </c>
      <c r="G431">
        <v>1.4</v>
      </c>
      <c r="H431">
        <v>3.5767E-2</v>
      </c>
      <c r="I431">
        <v>0.89501988976377955</v>
      </c>
      <c r="J431">
        <v>0.24165537023622055</v>
      </c>
      <c r="K431">
        <v>1.1366752600000001</v>
      </c>
      <c r="L431">
        <v>3.7037037037037024</v>
      </c>
      <c r="M431">
        <v>0.94296738385826773</v>
      </c>
      <c r="N431">
        <v>0.17341010364173234</v>
      </c>
    </row>
    <row r="432" spans="1:14" x14ac:dyDescent="0.2">
      <c r="B432">
        <v>100</v>
      </c>
      <c r="C432">
        <v>6</v>
      </c>
      <c r="D432">
        <v>2.9</v>
      </c>
      <c r="E432">
        <v>1.35</v>
      </c>
      <c r="F432">
        <v>2.9</v>
      </c>
      <c r="G432">
        <v>1.35</v>
      </c>
      <c r="H432">
        <v>3.5767E-2</v>
      </c>
      <c r="I432">
        <v>0.99091487795275579</v>
      </c>
      <c r="J432">
        <v>0.10516483704724414</v>
      </c>
      <c r="K432">
        <v>1.0960797149999999</v>
      </c>
      <c r="L432">
        <v>9.4224924012158002</v>
      </c>
    </row>
    <row r="433" spans="1:14" x14ac:dyDescent="0.2">
      <c r="A433">
        <v>488595</v>
      </c>
      <c r="B433">
        <v>100</v>
      </c>
      <c r="C433">
        <v>7</v>
      </c>
      <c r="D433">
        <v>7</v>
      </c>
      <c r="E433">
        <v>3.55</v>
      </c>
      <c r="F433">
        <v>7</v>
      </c>
      <c r="G433">
        <v>3.55</v>
      </c>
      <c r="H433">
        <v>9.7450000000000002E-3</v>
      </c>
      <c r="I433">
        <v>0.60092887795275596</v>
      </c>
      <c r="J433">
        <v>0.18437194704724416</v>
      </c>
      <c r="K433">
        <v>0.78530082500000009</v>
      </c>
      <c r="L433">
        <v>3.2593292394898432</v>
      </c>
      <c r="M433">
        <v>0.57480153543307089</v>
      </c>
      <c r="N433">
        <v>0.16625698956692919</v>
      </c>
    </row>
    <row r="434" spans="1:14" x14ac:dyDescent="0.2">
      <c r="B434">
        <v>100</v>
      </c>
      <c r="C434">
        <v>7</v>
      </c>
      <c r="D434">
        <v>6.3</v>
      </c>
      <c r="E434">
        <v>3.15</v>
      </c>
      <c r="F434">
        <v>6.3</v>
      </c>
      <c r="G434">
        <v>3.15</v>
      </c>
      <c r="H434">
        <v>9.7450000000000002E-3</v>
      </c>
      <c r="I434">
        <v>0.54867419291338582</v>
      </c>
      <c r="J434">
        <v>0.14814203208661425</v>
      </c>
      <c r="K434">
        <v>0.69681622500000007</v>
      </c>
      <c r="L434">
        <v>3.7037037037037015</v>
      </c>
    </row>
    <row r="435" spans="1:14" x14ac:dyDescent="0.2">
      <c r="A435">
        <v>488597</v>
      </c>
      <c r="B435">
        <v>100</v>
      </c>
      <c r="C435">
        <v>8</v>
      </c>
      <c r="D435">
        <v>1.5</v>
      </c>
      <c r="E435">
        <v>1.1000000000000001</v>
      </c>
      <c r="F435">
        <v>1.5</v>
      </c>
      <c r="G435">
        <v>1.1000000000000001</v>
      </c>
      <c r="H435">
        <v>3.8630000000000001E-3</v>
      </c>
      <c r="I435">
        <v>2.7618929133858265E-2</v>
      </c>
      <c r="J435">
        <v>6.8840180866141756E-2</v>
      </c>
      <c r="K435">
        <v>9.6459110000000015E-2</v>
      </c>
      <c r="L435">
        <v>0.40120361083249734</v>
      </c>
      <c r="M435">
        <v>2.9345112204724404E-2</v>
      </c>
      <c r="N435">
        <v>7.3690755295275606E-2</v>
      </c>
    </row>
    <row r="436" spans="1:14" x14ac:dyDescent="0.2">
      <c r="B436">
        <v>100</v>
      </c>
      <c r="C436">
        <v>8</v>
      </c>
      <c r="D436">
        <v>1.7</v>
      </c>
      <c r="E436">
        <v>1.25</v>
      </c>
      <c r="F436">
        <v>1.7</v>
      </c>
      <c r="G436">
        <v>1.25</v>
      </c>
      <c r="H436">
        <v>3.8630000000000001E-3</v>
      </c>
      <c r="I436">
        <v>3.1071295275590546E-2</v>
      </c>
      <c r="J436">
        <v>7.854132972440947E-2</v>
      </c>
      <c r="K436">
        <v>0.10961262500000002</v>
      </c>
      <c r="L436">
        <v>0.39560439560439542</v>
      </c>
    </row>
    <row r="437" spans="1:14" x14ac:dyDescent="0.2">
      <c r="A437">
        <v>488598</v>
      </c>
      <c r="B437">
        <v>100</v>
      </c>
      <c r="C437">
        <v>8</v>
      </c>
      <c r="D437">
        <v>2.5499999999999998</v>
      </c>
      <c r="E437">
        <v>1.9</v>
      </c>
      <c r="F437">
        <v>2.5499999999999998</v>
      </c>
      <c r="G437">
        <v>1.9</v>
      </c>
      <c r="H437">
        <v>3.8630000000000001E-3</v>
      </c>
      <c r="I437">
        <v>4.4880759842519685E-2</v>
      </c>
      <c r="J437">
        <v>0.12173043015748033</v>
      </c>
      <c r="K437">
        <v>0.16661119000000002</v>
      </c>
      <c r="L437">
        <v>0.36868973340896194</v>
      </c>
      <c r="M437">
        <v>4.4880759842519685E-2</v>
      </c>
      <c r="N437">
        <v>0.12611493515748035</v>
      </c>
    </row>
    <row r="438" spans="1:14" x14ac:dyDescent="0.2">
      <c r="B438">
        <v>100</v>
      </c>
      <c r="C438">
        <v>8</v>
      </c>
      <c r="D438">
        <v>2.65</v>
      </c>
      <c r="E438">
        <v>2</v>
      </c>
      <c r="F438">
        <v>2.65</v>
      </c>
      <c r="G438">
        <v>2</v>
      </c>
      <c r="H438">
        <v>3.8630000000000001E-3</v>
      </c>
      <c r="I438">
        <v>4.4880759842519685E-2</v>
      </c>
      <c r="J438">
        <v>0.13049944015748033</v>
      </c>
      <c r="K438">
        <v>0.17538020000000001</v>
      </c>
      <c r="L438">
        <v>0.3439153439153439</v>
      </c>
    </row>
    <row r="439" spans="1:14" x14ac:dyDescent="0.2">
      <c r="A439">
        <v>488599</v>
      </c>
      <c r="B439">
        <v>100</v>
      </c>
      <c r="C439">
        <v>8</v>
      </c>
      <c r="D439">
        <v>3.95</v>
      </c>
      <c r="E439">
        <v>2.85</v>
      </c>
      <c r="F439">
        <v>3.95</v>
      </c>
      <c r="G439">
        <v>2.85</v>
      </c>
      <c r="H439">
        <v>3.8630000000000001E-3</v>
      </c>
      <c r="I439">
        <v>7.5952055118110248E-2</v>
      </c>
      <c r="J439">
        <v>0.17396472988188982</v>
      </c>
      <c r="K439">
        <v>0.24991678500000009</v>
      </c>
      <c r="L439">
        <v>0.43659456241317712</v>
      </c>
      <c r="M439">
        <v>7.4225872047244096E-2</v>
      </c>
      <c r="N439">
        <v>0.180075417952756</v>
      </c>
    </row>
    <row r="440" spans="1:14" x14ac:dyDescent="0.2">
      <c r="B440">
        <v>100</v>
      </c>
      <c r="C440">
        <v>8</v>
      </c>
      <c r="D440">
        <v>4</v>
      </c>
      <c r="E440">
        <v>2.95</v>
      </c>
      <c r="F440">
        <v>4</v>
      </c>
      <c r="G440">
        <v>2.95</v>
      </c>
      <c r="H440">
        <v>3.8630000000000001E-3</v>
      </c>
      <c r="I440">
        <v>7.2499688976377943E-2</v>
      </c>
      <c r="J440">
        <v>0.18618610602362215</v>
      </c>
      <c r="K440">
        <v>0.25868579500000011</v>
      </c>
      <c r="L440">
        <v>0.38939365844613361</v>
      </c>
    </row>
    <row r="441" spans="1:14" x14ac:dyDescent="0.2">
      <c r="A441">
        <v>488600</v>
      </c>
      <c r="B441">
        <v>100</v>
      </c>
      <c r="C441">
        <v>8</v>
      </c>
      <c r="D441">
        <v>4.9000000000000004</v>
      </c>
      <c r="E441">
        <v>3.45</v>
      </c>
      <c r="F441">
        <v>4.9000000000000004</v>
      </c>
      <c r="G441">
        <v>3.45</v>
      </c>
      <c r="H441">
        <v>3.8630000000000001E-3</v>
      </c>
      <c r="I441">
        <v>0.10011861811023623</v>
      </c>
      <c r="J441">
        <v>0.20241222688976379</v>
      </c>
      <c r="K441">
        <v>0.30253084500000005</v>
      </c>
      <c r="L441">
        <v>0.49462732389561659</v>
      </c>
      <c r="M441">
        <v>8.8035336614173232E-2</v>
      </c>
      <c r="N441">
        <v>0.19914974088582676</v>
      </c>
    </row>
    <row r="442" spans="1:14" x14ac:dyDescent="0.2">
      <c r="B442">
        <v>100</v>
      </c>
      <c r="C442">
        <v>8</v>
      </c>
      <c r="D442">
        <v>4.2</v>
      </c>
      <c r="E442">
        <v>3.1</v>
      </c>
      <c r="F442">
        <v>4.2</v>
      </c>
      <c r="G442">
        <v>3.1</v>
      </c>
      <c r="H442">
        <v>3.8630000000000001E-3</v>
      </c>
      <c r="I442">
        <v>7.5952055118110248E-2</v>
      </c>
      <c r="J442">
        <v>0.19588725488188977</v>
      </c>
      <c r="K442">
        <v>0.27183931</v>
      </c>
      <c r="L442">
        <v>0.38773352132534372</v>
      </c>
    </row>
    <row r="443" spans="1:14" x14ac:dyDescent="0.2">
      <c r="A443">
        <v>488601</v>
      </c>
      <c r="B443">
        <v>100</v>
      </c>
      <c r="C443">
        <v>7</v>
      </c>
      <c r="D443">
        <v>2.6</v>
      </c>
      <c r="E443">
        <v>1.85</v>
      </c>
      <c r="F443">
        <v>2.6</v>
      </c>
      <c r="G443">
        <v>1.85</v>
      </c>
      <c r="H443">
        <v>9.7450000000000002E-3</v>
      </c>
      <c r="I443">
        <v>0.13063671259842521</v>
      </c>
      <c r="J443">
        <v>0.27860456240157488</v>
      </c>
      <c r="K443">
        <v>0.40924127500000007</v>
      </c>
      <c r="L443">
        <v>0.46889653016567667</v>
      </c>
      <c r="M443">
        <v>0.11757304133858268</v>
      </c>
      <c r="N443">
        <v>0.28613794616141741</v>
      </c>
    </row>
    <row r="444" spans="1:14" x14ac:dyDescent="0.2">
      <c r="B444">
        <v>100</v>
      </c>
      <c r="C444">
        <v>7</v>
      </c>
      <c r="D444">
        <v>2.4</v>
      </c>
      <c r="E444">
        <v>1.8</v>
      </c>
      <c r="F444">
        <v>2.4</v>
      </c>
      <c r="G444">
        <v>1.8</v>
      </c>
      <c r="H444">
        <v>9.7450000000000002E-3</v>
      </c>
      <c r="I444">
        <v>0.10450937007874014</v>
      </c>
      <c r="J444">
        <v>0.29367132992125988</v>
      </c>
      <c r="K444">
        <v>0.39818070000000005</v>
      </c>
      <c r="L444">
        <v>0.35587188612099635</v>
      </c>
    </row>
    <row r="445" spans="1:14" x14ac:dyDescent="0.2">
      <c r="A445">
        <v>488602</v>
      </c>
      <c r="B445">
        <v>100</v>
      </c>
      <c r="C445">
        <v>7</v>
      </c>
      <c r="D445">
        <v>5.4</v>
      </c>
      <c r="E445">
        <v>3.45</v>
      </c>
      <c r="F445">
        <v>5.4</v>
      </c>
      <c r="G445">
        <v>3.45</v>
      </c>
      <c r="H445">
        <v>9.7450000000000002E-3</v>
      </c>
      <c r="I445">
        <v>0.33965545275590558</v>
      </c>
      <c r="J445">
        <v>0.42352422224409458</v>
      </c>
      <c r="K445">
        <v>0.76317967500000017</v>
      </c>
      <c r="L445">
        <v>0.80197409006785936</v>
      </c>
      <c r="M445">
        <v>0.35271912401574801</v>
      </c>
      <c r="N445">
        <v>0.41046055098425205</v>
      </c>
    </row>
    <row r="446" spans="1:14" x14ac:dyDescent="0.2">
      <c r="B446">
        <v>100</v>
      </c>
      <c r="C446">
        <v>7</v>
      </c>
      <c r="D446">
        <v>5.55</v>
      </c>
      <c r="E446">
        <v>3.45</v>
      </c>
      <c r="F446">
        <v>5.55</v>
      </c>
      <c r="G446">
        <v>3.45</v>
      </c>
      <c r="H446">
        <v>9.7450000000000002E-3</v>
      </c>
      <c r="I446">
        <v>0.36578279527559049</v>
      </c>
      <c r="J446">
        <v>0.39739687972440946</v>
      </c>
      <c r="K446">
        <v>0.76317967499999995</v>
      </c>
      <c r="L446">
        <v>0.92044707429322792</v>
      </c>
    </row>
    <row r="447" spans="1:14" x14ac:dyDescent="0.2">
      <c r="A447">
        <v>488603</v>
      </c>
      <c r="B447">
        <v>100</v>
      </c>
      <c r="C447">
        <v>6</v>
      </c>
      <c r="D447">
        <v>4.8</v>
      </c>
      <c r="E447">
        <v>2.4</v>
      </c>
      <c r="F447">
        <v>4.8</v>
      </c>
      <c r="G447">
        <v>2.4</v>
      </c>
      <c r="H447">
        <v>3.5767E-2</v>
      </c>
      <c r="I447">
        <v>1.5343198110236218</v>
      </c>
      <c r="J447">
        <v>0.4142663489763781</v>
      </c>
      <c r="K447">
        <v>1.9485861599999998</v>
      </c>
      <c r="L447">
        <v>3.7037037037037019</v>
      </c>
      <c r="M447">
        <v>1.5822673051181102</v>
      </c>
      <c r="N447">
        <v>0.38661662738189012</v>
      </c>
    </row>
    <row r="448" spans="1:14" x14ac:dyDescent="0.2">
      <c r="B448">
        <v>100</v>
      </c>
      <c r="C448">
        <v>6</v>
      </c>
      <c r="D448">
        <v>5</v>
      </c>
      <c r="E448">
        <v>2.4500000000000002</v>
      </c>
      <c r="F448">
        <v>5</v>
      </c>
      <c r="G448">
        <v>2.4500000000000002</v>
      </c>
      <c r="H448">
        <v>3.5767E-2</v>
      </c>
      <c r="I448">
        <v>1.6302147992125984</v>
      </c>
      <c r="J448">
        <v>0.35896690578740215</v>
      </c>
      <c r="K448">
        <v>1.9891817050000005</v>
      </c>
      <c r="L448">
        <v>4.5414069456812038</v>
      </c>
    </row>
    <row r="449" spans="1:14" x14ac:dyDescent="0.2">
      <c r="A449">
        <v>488604</v>
      </c>
      <c r="B449">
        <v>100</v>
      </c>
      <c r="C449">
        <v>7</v>
      </c>
      <c r="D449">
        <v>4.3</v>
      </c>
      <c r="E449">
        <v>2.2999999999999998</v>
      </c>
      <c r="F449">
        <v>4.3</v>
      </c>
      <c r="G449">
        <v>2.2999999999999998</v>
      </c>
      <c r="H449">
        <v>9.7450000000000002E-3</v>
      </c>
      <c r="I449">
        <v>0.34836456692913387</v>
      </c>
      <c r="J449">
        <v>0.16042188307086605</v>
      </c>
      <c r="K449">
        <v>0.50878644999999989</v>
      </c>
      <c r="L449">
        <v>2.1715526601520101</v>
      </c>
      <c r="M449">
        <v>0.36142823818897635</v>
      </c>
      <c r="N449">
        <v>0.16394907431102368</v>
      </c>
    </row>
    <row r="450" spans="1:14" x14ac:dyDescent="0.2">
      <c r="B450">
        <v>100</v>
      </c>
      <c r="C450">
        <v>7</v>
      </c>
      <c r="D450">
        <v>4.5999999999999996</v>
      </c>
      <c r="E450">
        <v>2.4500000000000002</v>
      </c>
      <c r="F450">
        <v>4.5999999999999996</v>
      </c>
      <c r="G450">
        <v>2.4500000000000002</v>
      </c>
      <c r="H450">
        <v>9.7450000000000002E-3</v>
      </c>
      <c r="I450">
        <v>0.37449190944881883</v>
      </c>
      <c r="J450">
        <v>0.16747626555118131</v>
      </c>
      <c r="K450">
        <v>0.54196817500000016</v>
      </c>
      <c r="L450">
        <v>2.2360894435777401</v>
      </c>
    </row>
    <row r="451" spans="1:14" x14ac:dyDescent="0.2">
      <c r="A451">
        <v>488605</v>
      </c>
      <c r="B451">
        <v>100</v>
      </c>
      <c r="C451">
        <v>7</v>
      </c>
      <c r="D451">
        <v>3.2</v>
      </c>
      <c r="E451">
        <v>1.75</v>
      </c>
      <c r="F451">
        <v>3.2</v>
      </c>
      <c r="G451">
        <v>1.75</v>
      </c>
      <c r="H451">
        <v>9.7450000000000002E-3</v>
      </c>
      <c r="I451">
        <v>0.25256431102362209</v>
      </c>
      <c r="J451">
        <v>0.13455581397637792</v>
      </c>
      <c r="K451">
        <v>0.38712012500000004</v>
      </c>
      <c r="L451">
        <v>1.8770226537216836</v>
      </c>
      <c r="M451">
        <v>0.24820975393700789</v>
      </c>
      <c r="N451">
        <v>0.12784979606299213</v>
      </c>
    </row>
    <row r="452" spans="1:14" x14ac:dyDescent="0.2">
      <c r="B452">
        <v>100</v>
      </c>
      <c r="C452">
        <v>7</v>
      </c>
      <c r="D452">
        <v>3.05</v>
      </c>
      <c r="E452">
        <v>1.65</v>
      </c>
      <c r="F452">
        <v>3.05</v>
      </c>
      <c r="G452">
        <v>1.65</v>
      </c>
      <c r="H452">
        <v>9.7450000000000002E-3</v>
      </c>
      <c r="I452">
        <v>0.2438551968503937</v>
      </c>
      <c r="J452">
        <v>0.12114377814960633</v>
      </c>
      <c r="K452">
        <v>0.364998975</v>
      </c>
      <c r="L452">
        <v>2.0129403306973392</v>
      </c>
    </row>
    <row r="453" spans="1:14" x14ac:dyDescent="0.2">
      <c r="A453">
        <v>488607</v>
      </c>
      <c r="B453">
        <v>100</v>
      </c>
      <c r="C453">
        <v>8</v>
      </c>
      <c r="D453">
        <v>2.6</v>
      </c>
      <c r="E453">
        <v>1.95</v>
      </c>
      <c r="F453">
        <v>2.6</v>
      </c>
      <c r="G453">
        <v>1.95</v>
      </c>
      <c r="H453">
        <v>3.8630000000000001E-3</v>
      </c>
      <c r="I453">
        <v>4.4880759842519692E-2</v>
      </c>
      <c r="J453">
        <v>0.12611493515748029</v>
      </c>
      <c r="K453">
        <v>0.17099569499999998</v>
      </c>
      <c r="L453">
        <v>0.35587188612099657</v>
      </c>
      <c r="M453">
        <v>4.4880759842519692E-2</v>
      </c>
      <c r="N453">
        <v>0.12611493515748029</v>
      </c>
    </row>
    <row r="454" spans="1:14" x14ac:dyDescent="0.2">
      <c r="B454">
        <v>100</v>
      </c>
      <c r="C454">
        <v>8</v>
      </c>
      <c r="D454">
        <v>2.6</v>
      </c>
      <c r="E454">
        <v>1.95</v>
      </c>
      <c r="F454">
        <v>2.6</v>
      </c>
      <c r="G454">
        <v>1.95</v>
      </c>
      <c r="H454">
        <v>3.8630000000000001E-3</v>
      </c>
      <c r="I454">
        <v>4.4880759842519692E-2</v>
      </c>
      <c r="J454">
        <v>0.12611493515748029</v>
      </c>
      <c r="K454">
        <v>0.17099569499999998</v>
      </c>
      <c r="L454">
        <v>0.35587188612099657</v>
      </c>
    </row>
    <row r="455" spans="1:14" x14ac:dyDescent="0.2">
      <c r="A455">
        <v>488608</v>
      </c>
      <c r="B455">
        <v>100</v>
      </c>
      <c r="C455">
        <v>8</v>
      </c>
      <c r="D455">
        <v>3.75</v>
      </c>
      <c r="E455">
        <v>2.4500000000000002</v>
      </c>
      <c r="F455">
        <v>3.75</v>
      </c>
      <c r="G455">
        <v>2.4500000000000002</v>
      </c>
      <c r="H455">
        <v>3.8630000000000001E-3</v>
      </c>
      <c r="I455">
        <v>8.976151968503937E-2</v>
      </c>
      <c r="J455">
        <v>0.12507922531496071</v>
      </c>
      <c r="K455">
        <v>0.21484074500000008</v>
      </c>
      <c r="L455">
        <v>0.71763731714049084</v>
      </c>
      <c r="M455">
        <v>8.8035336614173232E-2</v>
      </c>
      <c r="N455">
        <v>0.13995892338582683</v>
      </c>
    </row>
    <row r="456" spans="1:14" x14ac:dyDescent="0.2">
      <c r="B456">
        <v>100</v>
      </c>
      <c r="C456">
        <v>8</v>
      </c>
      <c r="D456">
        <v>4</v>
      </c>
      <c r="E456">
        <v>2.75</v>
      </c>
      <c r="F456">
        <v>4</v>
      </c>
      <c r="G456">
        <v>2.75</v>
      </c>
      <c r="H456">
        <v>3.8630000000000001E-3</v>
      </c>
      <c r="I456">
        <v>8.6309153543307093E-2</v>
      </c>
      <c r="J456">
        <v>0.15483862145669292</v>
      </c>
      <c r="K456">
        <v>0.24114777500000001</v>
      </c>
      <c r="L456">
        <v>0.55741360089186176</v>
      </c>
    </row>
    <row r="457" spans="1:14" x14ac:dyDescent="0.2">
      <c r="A457">
        <v>488609</v>
      </c>
      <c r="B457">
        <v>100</v>
      </c>
      <c r="C457">
        <v>8</v>
      </c>
      <c r="D457">
        <v>5.85</v>
      </c>
      <c r="E457">
        <v>3.95</v>
      </c>
      <c r="F457">
        <v>5.85</v>
      </c>
      <c r="G457">
        <v>3.95</v>
      </c>
      <c r="H457">
        <v>3.8630000000000001E-3</v>
      </c>
      <c r="I457">
        <v>0.13118991338582675</v>
      </c>
      <c r="J457">
        <v>0.21518598161417329</v>
      </c>
      <c r="K457">
        <v>0.34637589500000004</v>
      </c>
      <c r="L457">
        <v>0.60965827049574817</v>
      </c>
      <c r="M457">
        <v>0.11910663188976378</v>
      </c>
      <c r="N457">
        <v>0.20315448561023625</v>
      </c>
    </row>
    <row r="458" spans="1:14" x14ac:dyDescent="0.2">
      <c r="B458">
        <v>100</v>
      </c>
      <c r="C458">
        <v>8</v>
      </c>
      <c r="D458">
        <v>4.95</v>
      </c>
      <c r="E458">
        <v>3.4</v>
      </c>
      <c r="F458">
        <v>4.95</v>
      </c>
      <c r="G458">
        <v>3.4</v>
      </c>
      <c r="H458">
        <v>3.8630000000000001E-3</v>
      </c>
      <c r="I458">
        <v>0.1070233503937008</v>
      </c>
      <c r="J458">
        <v>0.19112298960629923</v>
      </c>
      <c r="K458">
        <v>0.29814634000000001</v>
      </c>
      <c r="L458">
        <v>0.55997109826589597</v>
      </c>
    </row>
    <row r="459" spans="1:14" x14ac:dyDescent="0.2">
      <c r="A459">
        <v>488610</v>
      </c>
      <c r="B459">
        <v>100</v>
      </c>
      <c r="C459">
        <v>8</v>
      </c>
      <c r="D459">
        <v>6.5</v>
      </c>
      <c r="E459">
        <v>4.4000000000000004</v>
      </c>
      <c r="F459">
        <v>6.5</v>
      </c>
      <c r="G459">
        <v>4.4000000000000004</v>
      </c>
      <c r="H459">
        <v>3.8630000000000001E-3</v>
      </c>
      <c r="I459">
        <v>0.14499937795275589</v>
      </c>
      <c r="J459">
        <v>0.24083706204724414</v>
      </c>
      <c r="K459">
        <v>0.38583644000000006</v>
      </c>
      <c r="L459">
        <v>0.60206422018348604</v>
      </c>
      <c r="M459">
        <v>0.14499937795275591</v>
      </c>
      <c r="N459">
        <v>0.23645255704724408</v>
      </c>
    </row>
    <row r="460" spans="1:14" x14ac:dyDescent="0.2">
      <c r="B460">
        <v>100</v>
      </c>
      <c r="C460">
        <v>8</v>
      </c>
      <c r="D460">
        <v>6.4</v>
      </c>
      <c r="E460">
        <v>4.3</v>
      </c>
      <c r="F460">
        <v>6.4</v>
      </c>
      <c r="G460">
        <v>4.3</v>
      </c>
      <c r="H460">
        <v>3.8630000000000001E-3</v>
      </c>
      <c r="I460">
        <v>0.14499937795275594</v>
      </c>
      <c r="J460">
        <v>0.23206805204724401</v>
      </c>
      <c r="K460">
        <v>0.37706742999999998</v>
      </c>
      <c r="L460">
        <v>0.6248140434394529</v>
      </c>
    </row>
    <row r="461" spans="1:14" x14ac:dyDescent="0.2">
      <c r="A461">
        <v>488611</v>
      </c>
      <c r="B461">
        <v>100</v>
      </c>
      <c r="C461">
        <v>7</v>
      </c>
      <c r="D461">
        <v>3.65</v>
      </c>
      <c r="E461">
        <v>2.35</v>
      </c>
      <c r="F461">
        <v>3.65</v>
      </c>
      <c r="G461">
        <v>2.35</v>
      </c>
      <c r="H461">
        <v>9.7450000000000002E-3</v>
      </c>
      <c r="I461">
        <v>0.22643696850393699</v>
      </c>
      <c r="J461">
        <v>0.293410056496063</v>
      </c>
      <c r="K461">
        <v>0.51984702500000002</v>
      </c>
      <c r="L461">
        <v>0.77174235678242797</v>
      </c>
      <c r="M461">
        <v>0.22208241141732282</v>
      </c>
      <c r="N461">
        <v>0.31988576358267717</v>
      </c>
    </row>
    <row r="462" spans="1:14" x14ac:dyDescent="0.2">
      <c r="B462">
        <v>100</v>
      </c>
      <c r="C462">
        <v>7</v>
      </c>
      <c r="D462">
        <v>3.8</v>
      </c>
      <c r="E462">
        <v>2.5499999999999998</v>
      </c>
      <c r="F462">
        <v>3.8</v>
      </c>
      <c r="G462">
        <v>2.5499999999999998</v>
      </c>
      <c r="H462">
        <v>9.7450000000000002E-3</v>
      </c>
      <c r="I462">
        <v>0.21772785433070865</v>
      </c>
      <c r="J462">
        <v>0.34636147066929135</v>
      </c>
      <c r="K462">
        <v>0.56408932499999997</v>
      </c>
      <c r="L462">
        <v>0.628614533568016</v>
      </c>
    </row>
    <row r="463" spans="1:14" x14ac:dyDescent="0.2">
      <c r="A463">
        <v>488612</v>
      </c>
      <c r="B463">
        <v>100</v>
      </c>
      <c r="C463">
        <v>7</v>
      </c>
      <c r="D463">
        <v>7.5</v>
      </c>
      <c r="E463">
        <v>4.7</v>
      </c>
      <c r="F463">
        <v>7.5</v>
      </c>
      <c r="G463">
        <v>4.7</v>
      </c>
      <c r="H463">
        <v>9.7450000000000002E-3</v>
      </c>
      <c r="I463">
        <v>0.48771039370078739</v>
      </c>
      <c r="J463">
        <v>0.55198365629921275</v>
      </c>
      <c r="K463">
        <v>1.03969405</v>
      </c>
      <c r="L463">
        <v>0.88355948248658855</v>
      </c>
      <c r="M463">
        <v>0.46593760826771657</v>
      </c>
      <c r="N463">
        <v>0.5184535667322836</v>
      </c>
    </row>
    <row r="464" spans="1:14" x14ac:dyDescent="0.2">
      <c r="B464">
        <v>100</v>
      </c>
      <c r="C464">
        <v>7</v>
      </c>
      <c r="D464">
        <v>6.75</v>
      </c>
      <c r="E464">
        <v>4.2</v>
      </c>
      <c r="F464">
        <v>6.75</v>
      </c>
      <c r="G464">
        <v>4.2</v>
      </c>
      <c r="H464">
        <v>9.7450000000000002E-3</v>
      </c>
      <c r="I464">
        <v>0.4441648228346457</v>
      </c>
      <c r="J464">
        <v>0.48492347716535439</v>
      </c>
      <c r="K464">
        <v>0.92908830000000009</v>
      </c>
      <c r="L464">
        <v>0.91594827586206895</v>
      </c>
    </row>
    <row r="465" spans="1:14" x14ac:dyDescent="0.2">
      <c r="A465">
        <v>488613</v>
      </c>
      <c r="B465">
        <v>100</v>
      </c>
      <c r="C465">
        <v>6</v>
      </c>
      <c r="D465">
        <v>4.55</v>
      </c>
      <c r="E465">
        <v>2.6</v>
      </c>
      <c r="F465">
        <v>4.55</v>
      </c>
      <c r="G465">
        <v>2.6</v>
      </c>
      <c r="H465">
        <v>3.5767E-2</v>
      </c>
      <c r="I465">
        <v>1.2466348464566928</v>
      </c>
      <c r="J465">
        <v>0.86433349354330735</v>
      </c>
      <c r="K465">
        <v>2.1109683400000003</v>
      </c>
      <c r="L465">
        <v>1.4423076923076916</v>
      </c>
      <c r="M465">
        <v>1.214669850393701</v>
      </c>
      <c r="N465">
        <v>0.77451185460629901</v>
      </c>
    </row>
    <row r="466" spans="1:14" x14ac:dyDescent="0.2">
      <c r="B466">
        <v>100</v>
      </c>
      <c r="C466">
        <v>6</v>
      </c>
      <c r="D466">
        <v>4.1500000000000004</v>
      </c>
      <c r="E466">
        <v>2.2999999999999998</v>
      </c>
      <c r="F466">
        <v>4.1500000000000004</v>
      </c>
      <c r="G466">
        <v>2.2999999999999998</v>
      </c>
      <c r="H466">
        <v>3.5767E-2</v>
      </c>
      <c r="I466">
        <v>1.182704854330709</v>
      </c>
      <c r="J466">
        <v>0.68469021566929067</v>
      </c>
      <c r="K466">
        <v>1.8673950699999997</v>
      </c>
      <c r="L466">
        <v>1.7273576097105532</v>
      </c>
    </row>
    <row r="467" spans="1:14" x14ac:dyDescent="0.2">
      <c r="A467">
        <v>488614</v>
      </c>
      <c r="B467">
        <v>100</v>
      </c>
      <c r="C467">
        <v>5</v>
      </c>
      <c r="D467">
        <v>3</v>
      </c>
      <c r="E467">
        <v>1.4</v>
      </c>
      <c r="F467">
        <v>3</v>
      </c>
      <c r="G467">
        <v>1.4</v>
      </c>
      <c r="H467">
        <v>0.123026</v>
      </c>
      <c r="I467">
        <v>3.5183498582677162</v>
      </c>
      <c r="J467">
        <v>0.39141642173228336</v>
      </c>
      <c r="K467">
        <v>3.9097662799999995</v>
      </c>
      <c r="L467">
        <v>8.9887640449438209</v>
      </c>
      <c r="M467">
        <v>3.4084014251968502</v>
      </c>
      <c r="N467">
        <v>0.57118210980314965</v>
      </c>
    </row>
    <row r="468" spans="1:14" x14ac:dyDescent="0.2">
      <c r="B468">
        <v>100</v>
      </c>
      <c r="C468">
        <v>5</v>
      </c>
      <c r="D468">
        <v>2.95</v>
      </c>
      <c r="E468">
        <v>1.45</v>
      </c>
      <c r="F468">
        <v>2.95</v>
      </c>
      <c r="G468">
        <v>1.45</v>
      </c>
      <c r="H468">
        <v>0.123026</v>
      </c>
      <c r="I468">
        <v>3.2984529921259842</v>
      </c>
      <c r="J468">
        <v>0.75094779787401589</v>
      </c>
      <c r="K468">
        <v>4.04940079</v>
      </c>
      <c r="L468">
        <v>4.3923865300146403</v>
      </c>
    </row>
    <row r="469" spans="1:14" x14ac:dyDescent="0.2">
      <c r="A469">
        <v>488615</v>
      </c>
      <c r="B469">
        <v>100</v>
      </c>
      <c r="C469">
        <v>7</v>
      </c>
      <c r="D469">
        <v>7.45</v>
      </c>
      <c r="E469">
        <v>3.6</v>
      </c>
      <c r="F469">
        <v>7.45</v>
      </c>
      <c r="G469">
        <v>3.6</v>
      </c>
      <c r="H469">
        <v>9.7450000000000002E-3</v>
      </c>
      <c r="I469">
        <v>0.67060179133858266</v>
      </c>
      <c r="J469">
        <v>0.12575960866141747</v>
      </c>
      <c r="K469">
        <v>0.79636140000000011</v>
      </c>
      <c r="L469">
        <v>5.3324099722991622</v>
      </c>
      <c r="M469">
        <v>0.64447444881889759</v>
      </c>
      <c r="N469">
        <v>0.12976580118110242</v>
      </c>
    </row>
    <row r="470" spans="1:14" x14ac:dyDescent="0.2">
      <c r="B470">
        <v>100</v>
      </c>
      <c r="C470">
        <v>7</v>
      </c>
      <c r="D470">
        <v>6.95</v>
      </c>
      <c r="E470">
        <v>3.4</v>
      </c>
      <c r="F470">
        <v>6.95</v>
      </c>
      <c r="G470">
        <v>3.4</v>
      </c>
      <c r="H470">
        <v>9.7450000000000002E-3</v>
      </c>
      <c r="I470">
        <v>0.61834710629921263</v>
      </c>
      <c r="J470">
        <v>0.13377199370078741</v>
      </c>
      <c r="K470">
        <v>0.75211910000000004</v>
      </c>
      <c r="L470">
        <v>4.622395833333333</v>
      </c>
    </row>
    <row r="471" spans="1:14" x14ac:dyDescent="0.2">
      <c r="A471">
        <v>488617</v>
      </c>
      <c r="B471">
        <v>100</v>
      </c>
      <c r="C471">
        <v>8</v>
      </c>
      <c r="D471">
        <v>4.25</v>
      </c>
      <c r="E471">
        <v>2.75</v>
      </c>
      <c r="F471">
        <v>4.25</v>
      </c>
      <c r="G471">
        <v>2.75</v>
      </c>
      <c r="H471">
        <v>3.8630000000000001E-3</v>
      </c>
      <c r="I471">
        <v>0.10357098425196851</v>
      </c>
      <c r="J471">
        <v>0.13757679074803147</v>
      </c>
      <c r="K471">
        <v>0.24114777499999998</v>
      </c>
      <c r="L471">
        <v>0.75282308657465513</v>
      </c>
      <c r="M471">
        <v>0.10184480118110235</v>
      </c>
      <c r="N471">
        <v>0.14587973131889764</v>
      </c>
    </row>
    <row r="472" spans="1:14" x14ac:dyDescent="0.2">
      <c r="B472">
        <v>100</v>
      </c>
      <c r="C472">
        <v>8</v>
      </c>
      <c r="D472">
        <v>4.3499999999999996</v>
      </c>
      <c r="E472">
        <v>2.9</v>
      </c>
      <c r="F472">
        <v>4.3499999999999996</v>
      </c>
      <c r="G472">
        <v>2.9</v>
      </c>
      <c r="H472">
        <v>3.8630000000000001E-3</v>
      </c>
      <c r="I472">
        <v>0.1001186181102362</v>
      </c>
      <c r="J472">
        <v>0.15418267188976384</v>
      </c>
      <c r="K472">
        <v>0.25430129000000001</v>
      </c>
      <c r="L472">
        <v>0.64935064935064901</v>
      </c>
    </row>
    <row r="473" spans="1:14" x14ac:dyDescent="0.2">
      <c r="A473">
        <v>488618</v>
      </c>
      <c r="B473">
        <v>100</v>
      </c>
      <c r="C473">
        <v>8</v>
      </c>
      <c r="D473">
        <v>5.55</v>
      </c>
      <c r="E473">
        <v>3.6</v>
      </c>
      <c r="F473">
        <v>5.55</v>
      </c>
      <c r="G473">
        <v>3.6</v>
      </c>
      <c r="H473">
        <v>3.8630000000000001E-3</v>
      </c>
      <c r="I473">
        <v>0.13464227952755903</v>
      </c>
      <c r="J473">
        <v>0.181042080472441</v>
      </c>
      <c r="K473">
        <v>0.31568436</v>
      </c>
      <c r="L473">
        <v>0.7437070938215099</v>
      </c>
      <c r="M473">
        <v>0.13464227952755906</v>
      </c>
      <c r="N473">
        <v>0.17446532297244099</v>
      </c>
    </row>
    <row r="474" spans="1:14" x14ac:dyDescent="0.2">
      <c r="B474">
        <v>100</v>
      </c>
      <c r="C474">
        <v>8</v>
      </c>
      <c r="D474">
        <v>5.4</v>
      </c>
      <c r="E474">
        <v>3.45</v>
      </c>
      <c r="F474">
        <v>5.4</v>
      </c>
      <c r="G474">
        <v>3.45</v>
      </c>
      <c r="H474">
        <v>3.8630000000000001E-3</v>
      </c>
      <c r="I474">
        <v>0.13464227952755908</v>
      </c>
      <c r="J474">
        <v>0.16788856547244099</v>
      </c>
      <c r="K474">
        <v>0.30253084500000005</v>
      </c>
      <c r="L474">
        <v>0.80197409006785925</v>
      </c>
    </row>
    <row r="475" spans="1:14" x14ac:dyDescent="0.2">
      <c r="A475">
        <v>488619</v>
      </c>
      <c r="B475">
        <v>100</v>
      </c>
      <c r="C475">
        <v>7</v>
      </c>
      <c r="D475">
        <v>5.25</v>
      </c>
      <c r="E475">
        <v>2.75</v>
      </c>
      <c r="F475">
        <v>5.25</v>
      </c>
      <c r="G475">
        <v>2.75</v>
      </c>
      <c r="H475">
        <v>9.7450000000000002E-3</v>
      </c>
      <c r="I475">
        <v>0.43545570866141731</v>
      </c>
      <c r="J475">
        <v>0.17287591633858265</v>
      </c>
      <c r="K475">
        <v>0.60833162499999993</v>
      </c>
      <c r="L475">
        <v>2.518891687657431</v>
      </c>
      <c r="M475">
        <v>0.40497380905511815</v>
      </c>
      <c r="N475">
        <v>0.18676695344488187</v>
      </c>
    </row>
    <row r="476" spans="1:14" x14ac:dyDescent="0.2">
      <c r="B476">
        <v>100</v>
      </c>
      <c r="C476">
        <v>7</v>
      </c>
      <c r="D476">
        <v>4.75</v>
      </c>
      <c r="E476">
        <v>2.6</v>
      </c>
      <c r="F476">
        <v>4.75</v>
      </c>
      <c r="G476">
        <v>2.6</v>
      </c>
      <c r="H476">
        <v>9.7450000000000002E-3</v>
      </c>
      <c r="I476">
        <v>0.37449190944881894</v>
      </c>
      <c r="J476">
        <v>0.20065799055118108</v>
      </c>
      <c r="K476">
        <v>0.57514989999999999</v>
      </c>
      <c r="L476">
        <v>1.8663194444444449</v>
      </c>
    </row>
    <row r="477" spans="1:14" x14ac:dyDescent="0.2">
      <c r="A477">
        <v>488620</v>
      </c>
      <c r="B477">
        <v>100</v>
      </c>
      <c r="C477">
        <v>7</v>
      </c>
      <c r="D477">
        <v>7.3</v>
      </c>
      <c r="E477">
        <v>3.9</v>
      </c>
      <c r="F477">
        <v>7.3</v>
      </c>
      <c r="G477">
        <v>3.9</v>
      </c>
      <c r="H477">
        <v>9.7450000000000002E-3</v>
      </c>
      <c r="I477">
        <v>0.59221976377952756</v>
      </c>
      <c r="J477">
        <v>0.27050508622047237</v>
      </c>
      <c r="K477">
        <v>0.86272484999999999</v>
      </c>
      <c r="L477">
        <v>2.1893110109465557</v>
      </c>
      <c r="M477">
        <v>0.60092887795275596</v>
      </c>
      <c r="N477">
        <v>0.27285654704724416</v>
      </c>
    </row>
    <row r="478" spans="1:14" x14ac:dyDescent="0.2">
      <c r="B478">
        <v>100</v>
      </c>
      <c r="C478">
        <v>7</v>
      </c>
      <c r="D478">
        <v>7.5</v>
      </c>
      <c r="E478">
        <v>4</v>
      </c>
      <c r="F478">
        <v>7.5</v>
      </c>
      <c r="G478">
        <v>4</v>
      </c>
      <c r="H478">
        <v>9.7450000000000002E-3</v>
      </c>
      <c r="I478">
        <v>0.60963799212598435</v>
      </c>
      <c r="J478">
        <v>0.27520800787401589</v>
      </c>
      <c r="K478">
        <v>0.88484600000000024</v>
      </c>
      <c r="L478">
        <v>2.2151898734177209</v>
      </c>
    </row>
    <row r="479" spans="1:14" x14ac:dyDescent="0.2">
      <c r="A479">
        <v>488621</v>
      </c>
      <c r="B479">
        <v>100</v>
      </c>
      <c r="C479">
        <v>6</v>
      </c>
      <c r="D479">
        <v>6.7</v>
      </c>
      <c r="E479">
        <v>3.25</v>
      </c>
      <c r="F479">
        <v>6.7</v>
      </c>
      <c r="G479">
        <v>3.25</v>
      </c>
      <c r="H479">
        <v>3.5767E-2</v>
      </c>
      <c r="I479">
        <v>2.2055847283464569</v>
      </c>
      <c r="J479">
        <v>0.43312569665354361</v>
      </c>
      <c r="K479">
        <v>2.6387104250000006</v>
      </c>
      <c r="L479">
        <v>5.0922509225092218</v>
      </c>
      <c r="M479">
        <v>2.2854972185039371</v>
      </c>
      <c r="N479">
        <v>0.45470206899606314</v>
      </c>
    </row>
    <row r="480" spans="1:14" x14ac:dyDescent="0.2">
      <c r="B480">
        <v>100</v>
      </c>
      <c r="C480">
        <v>6</v>
      </c>
      <c r="D480">
        <v>7.2</v>
      </c>
      <c r="E480">
        <v>3.5</v>
      </c>
      <c r="F480">
        <v>7.2</v>
      </c>
      <c r="G480">
        <v>3.5</v>
      </c>
      <c r="H480">
        <v>3.5767E-2</v>
      </c>
      <c r="I480">
        <v>2.3654097086614176</v>
      </c>
      <c r="J480">
        <v>0.4762784413385826</v>
      </c>
      <c r="K480">
        <v>2.8416881500000004</v>
      </c>
      <c r="L480">
        <v>4.9664429530201355</v>
      </c>
    </row>
    <row r="481" spans="1:14" x14ac:dyDescent="0.2">
      <c r="A481">
        <v>488622</v>
      </c>
      <c r="B481">
        <v>100</v>
      </c>
      <c r="C481">
        <v>5</v>
      </c>
      <c r="D481">
        <v>3.8</v>
      </c>
      <c r="E481">
        <v>1.8</v>
      </c>
      <c r="F481">
        <v>3.8</v>
      </c>
      <c r="G481">
        <v>1.8</v>
      </c>
      <c r="H481">
        <v>0.123026</v>
      </c>
      <c r="I481">
        <v>4.397937322834645</v>
      </c>
      <c r="J481">
        <v>0.6289050371653554</v>
      </c>
      <c r="K481">
        <v>5.0268423600000007</v>
      </c>
      <c r="L481">
        <v>6.99300699300698</v>
      </c>
      <c r="M481">
        <v>4.5078857559055105</v>
      </c>
      <c r="N481">
        <v>0.5887738590944892</v>
      </c>
    </row>
    <row r="482" spans="1:14" x14ac:dyDescent="0.2">
      <c r="B482">
        <v>100</v>
      </c>
      <c r="C482">
        <v>5</v>
      </c>
      <c r="D482">
        <v>3.95</v>
      </c>
      <c r="E482">
        <v>1.85</v>
      </c>
      <c r="F482">
        <v>3.95</v>
      </c>
      <c r="G482">
        <v>1.85</v>
      </c>
      <c r="H482">
        <v>0.123026</v>
      </c>
      <c r="I482">
        <v>4.617834188976377</v>
      </c>
      <c r="J482">
        <v>0.54864268102362301</v>
      </c>
      <c r="K482">
        <v>5.1664768700000003</v>
      </c>
      <c r="L482">
        <v>8.416833667334652</v>
      </c>
    </row>
    <row r="483" spans="1:14" x14ac:dyDescent="0.2">
      <c r="A483">
        <v>488623</v>
      </c>
      <c r="B483">
        <v>100</v>
      </c>
      <c r="C483">
        <v>5</v>
      </c>
      <c r="D483">
        <v>3.9</v>
      </c>
      <c r="E483">
        <v>1.85</v>
      </c>
      <c r="F483">
        <v>3.9</v>
      </c>
      <c r="G483">
        <v>1.85</v>
      </c>
      <c r="H483">
        <v>0.123026</v>
      </c>
      <c r="I483">
        <v>4.5078857559055105</v>
      </c>
      <c r="J483">
        <v>0.65859111409448889</v>
      </c>
      <c r="K483">
        <v>5.1664768699999994</v>
      </c>
      <c r="L483">
        <v>6.8447412353923109</v>
      </c>
      <c r="M483">
        <v>4.5628599724409433</v>
      </c>
      <c r="N483">
        <v>0.7432514075590555</v>
      </c>
    </row>
    <row r="484" spans="1:14" x14ac:dyDescent="0.2">
      <c r="B484">
        <v>100</v>
      </c>
      <c r="C484">
        <v>5</v>
      </c>
      <c r="D484">
        <v>4.05</v>
      </c>
      <c r="E484">
        <v>1.95</v>
      </c>
      <c r="F484">
        <v>4.05</v>
      </c>
      <c r="G484">
        <v>1.95</v>
      </c>
      <c r="H484">
        <v>0.123026</v>
      </c>
      <c r="I484">
        <v>4.617834188976377</v>
      </c>
      <c r="J484">
        <v>0.8279117010236221</v>
      </c>
      <c r="K484">
        <v>5.4457458899999995</v>
      </c>
      <c r="L484">
        <v>5.577689243027887</v>
      </c>
    </row>
    <row r="485" spans="1:14" x14ac:dyDescent="0.2">
      <c r="A485">
        <v>488624</v>
      </c>
      <c r="B485">
        <v>100</v>
      </c>
      <c r="C485">
        <v>5</v>
      </c>
      <c r="D485">
        <v>4.5</v>
      </c>
      <c r="E485">
        <v>2.1</v>
      </c>
      <c r="F485">
        <v>4.5</v>
      </c>
      <c r="G485">
        <v>2.1</v>
      </c>
      <c r="H485">
        <v>0.123026</v>
      </c>
      <c r="I485">
        <v>5.2775247874015738</v>
      </c>
      <c r="J485">
        <v>0.58712463259842484</v>
      </c>
      <c r="K485">
        <v>5.8646494199999983</v>
      </c>
      <c r="L485">
        <v>8.9887640449438244</v>
      </c>
      <c r="M485">
        <v>5.0576279212598418</v>
      </c>
      <c r="N485">
        <v>0.66738698874015734</v>
      </c>
    </row>
    <row r="486" spans="1:14" x14ac:dyDescent="0.2">
      <c r="B486">
        <v>100</v>
      </c>
      <c r="C486">
        <v>5</v>
      </c>
      <c r="D486">
        <v>4.2</v>
      </c>
      <c r="E486">
        <v>2</v>
      </c>
      <c r="F486">
        <v>4.2</v>
      </c>
      <c r="G486">
        <v>2</v>
      </c>
      <c r="H486">
        <v>0.123026</v>
      </c>
      <c r="I486">
        <v>4.8377310551181099</v>
      </c>
      <c r="J486">
        <v>0.74764934488188972</v>
      </c>
      <c r="K486">
        <v>5.5853804</v>
      </c>
      <c r="L486">
        <v>6.4705882352941178</v>
      </c>
    </row>
    <row r="487" spans="1:14" x14ac:dyDescent="0.2">
      <c r="A487">
        <v>488625</v>
      </c>
      <c r="B487">
        <v>100</v>
      </c>
      <c r="C487">
        <v>5</v>
      </c>
      <c r="D487">
        <v>4.2</v>
      </c>
      <c r="E487">
        <v>2</v>
      </c>
      <c r="F487">
        <v>4.2</v>
      </c>
      <c r="G487">
        <v>2</v>
      </c>
      <c r="H487">
        <v>0.123026</v>
      </c>
      <c r="I487">
        <v>4.8377310551181099</v>
      </c>
      <c r="J487">
        <v>0.74764934488188972</v>
      </c>
      <c r="K487">
        <v>5.5853804</v>
      </c>
      <c r="L487">
        <v>6.4705882352941178</v>
      </c>
      <c r="M487">
        <v>4.8377310551181099</v>
      </c>
      <c r="N487">
        <v>0.74764934488188972</v>
      </c>
    </row>
    <row r="488" spans="1:14" x14ac:dyDescent="0.2">
      <c r="B488">
        <v>100</v>
      </c>
      <c r="C488">
        <v>5</v>
      </c>
      <c r="D488">
        <v>4.2</v>
      </c>
      <c r="E488">
        <v>2</v>
      </c>
      <c r="F488">
        <v>4.2</v>
      </c>
      <c r="G488">
        <v>2</v>
      </c>
      <c r="H488">
        <v>0.123026</v>
      </c>
      <c r="I488">
        <v>4.8377310551181099</v>
      </c>
      <c r="J488">
        <v>0.74764934488188972</v>
      </c>
      <c r="K488">
        <v>5.5853804</v>
      </c>
      <c r="L488">
        <v>6.4705882352941178</v>
      </c>
    </row>
    <row r="489" spans="1:14" x14ac:dyDescent="0.2">
      <c r="A489">
        <v>488628</v>
      </c>
      <c r="B489">
        <v>100</v>
      </c>
      <c r="C489">
        <v>8</v>
      </c>
      <c r="D489">
        <v>5.4</v>
      </c>
      <c r="E489">
        <v>3.4</v>
      </c>
      <c r="F489">
        <v>5.4</v>
      </c>
      <c r="G489">
        <v>3.4</v>
      </c>
      <c r="H489">
        <v>3.8630000000000001E-3</v>
      </c>
      <c r="I489">
        <v>0.13809464566929139</v>
      </c>
      <c r="J489">
        <v>0.16005169433070873</v>
      </c>
      <c r="K489">
        <v>0.29814634000000012</v>
      </c>
      <c r="L489">
        <v>0.86281276962899045</v>
      </c>
      <c r="M489">
        <v>0.1553564763779528</v>
      </c>
      <c r="N489">
        <v>0.16032788362204731</v>
      </c>
    </row>
    <row r="490" spans="1:14" x14ac:dyDescent="0.2">
      <c r="B490">
        <v>100</v>
      </c>
      <c r="C490">
        <v>8</v>
      </c>
      <c r="D490">
        <v>6.3</v>
      </c>
      <c r="E490">
        <v>3.8</v>
      </c>
      <c r="F490">
        <v>6.3</v>
      </c>
      <c r="G490">
        <v>3.8</v>
      </c>
      <c r="H490">
        <v>3.8630000000000001E-3</v>
      </c>
      <c r="I490">
        <v>0.17261830708661419</v>
      </c>
      <c r="J490">
        <v>0.16060407291338588</v>
      </c>
      <c r="K490">
        <v>0.33322238000000004</v>
      </c>
      <c r="L490">
        <v>1.0748065348237315</v>
      </c>
    </row>
    <row r="491" spans="1:14" x14ac:dyDescent="0.2">
      <c r="A491">
        <v>488629</v>
      </c>
      <c r="B491">
        <v>100</v>
      </c>
      <c r="C491">
        <v>7</v>
      </c>
      <c r="D491">
        <v>3.45</v>
      </c>
      <c r="E491">
        <v>2.0499999999999998</v>
      </c>
      <c r="F491">
        <v>3.45</v>
      </c>
      <c r="G491">
        <v>2.0499999999999998</v>
      </c>
      <c r="H491">
        <v>9.7450000000000002E-3</v>
      </c>
      <c r="I491">
        <v>0.24385519685039378</v>
      </c>
      <c r="J491">
        <v>0.20962837814960622</v>
      </c>
      <c r="K491">
        <v>0.45348357500000003</v>
      </c>
      <c r="L491">
        <v>1.1632737847943506</v>
      </c>
      <c r="M491">
        <v>0.23514608267716544</v>
      </c>
      <c r="N491">
        <v>0.22939806732283458</v>
      </c>
    </row>
    <row r="492" spans="1:14" x14ac:dyDescent="0.2">
      <c r="B492">
        <v>100</v>
      </c>
      <c r="C492">
        <v>7</v>
      </c>
      <c r="D492">
        <v>3.45</v>
      </c>
      <c r="E492">
        <v>2.15</v>
      </c>
      <c r="F492">
        <v>3.45</v>
      </c>
      <c r="G492">
        <v>2.15</v>
      </c>
      <c r="H492">
        <v>9.7450000000000002E-3</v>
      </c>
      <c r="I492">
        <v>0.2264369685039371</v>
      </c>
      <c r="J492">
        <v>0.2491677564960629</v>
      </c>
      <c r="K492">
        <v>0.47560472500000001</v>
      </c>
      <c r="L492">
        <v>0.90877315623907795</v>
      </c>
    </row>
    <row r="493" spans="1:14" x14ac:dyDescent="0.2">
      <c r="A493">
        <v>488630</v>
      </c>
      <c r="B493">
        <v>100</v>
      </c>
      <c r="C493">
        <v>7</v>
      </c>
      <c r="D493">
        <v>4.1500000000000004</v>
      </c>
      <c r="E493">
        <v>2.65</v>
      </c>
      <c r="F493">
        <v>4.1500000000000004</v>
      </c>
      <c r="G493">
        <v>2.65</v>
      </c>
      <c r="H493">
        <v>9.7450000000000002E-3</v>
      </c>
      <c r="I493">
        <v>0.26127342519685048</v>
      </c>
      <c r="J493">
        <v>0.32493704980314947</v>
      </c>
      <c r="K493">
        <v>0.5862104749999999</v>
      </c>
      <c r="L493">
        <v>0.80407397480568277</v>
      </c>
      <c r="M493">
        <v>0.27869165354330711</v>
      </c>
      <c r="N493">
        <v>0.27433709645669291</v>
      </c>
    </row>
    <row r="494" spans="1:14" x14ac:dyDescent="0.2">
      <c r="B494">
        <v>100</v>
      </c>
      <c r="C494">
        <v>7</v>
      </c>
      <c r="D494">
        <v>4.05</v>
      </c>
      <c r="E494">
        <v>2.35</v>
      </c>
      <c r="F494">
        <v>4.05</v>
      </c>
      <c r="G494">
        <v>2.35</v>
      </c>
      <c r="H494">
        <v>9.7450000000000002E-3</v>
      </c>
      <c r="I494">
        <v>0.29610988188976373</v>
      </c>
      <c r="J494">
        <v>0.22373714311023629</v>
      </c>
      <c r="K494">
        <v>0.51984702500000002</v>
      </c>
      <c r="L494">
        <v>1.323472168158816</v>
      </c>
    </row>
    <row r="495" spans="1:14" x14ac:dyDescent="0.2">
      <c r="A495">
        <v>488631</v>
      </c>
      <c r="B495">
        <v>100</v>
      </c>
      <c r="C495">
        <v>7</v>
      </c>
      <c r="D495">
        <v>5.3</v>
      </c>
      <c r="E495">
        <v>3.05</v>
      </c>
      <c r="F495">
        <v>5.3</v>
      </c>
      <c r="G495">
        <v>3.05</v>
      </c>
      <c r="H495">
        <v>9.7450000000000002E-3</v>
      </c>
      <c r="I495">
        <v>0.39191013779527567</v>
      </c>
      <c r="J495">
        <v>0.28278493720472431</v>
      </c>
      <c r="K495">
        <v>0.67469507500000003</v>
      </c>
      <c r="L495">
        <v>1.3858946720049283</v>
      </c>
      <c r="M495">
        <v>0.35707368110236226</v>
      </c>
      <c r="N495">
        <v>0.29550024389763779</v>
      </c>
    </row>
    <row r="496" spans="1:14" x14ac:dyDescent="0.2">
      <c r="B496">
        <v>100</v>
      </c>
      <c r="C496">
        <v>7</v>
      </c>
      <c r="D496">
        <v>4.7</v>
      </c>
      <c r="E496">
        <v>2.85</v>
      </c>
      <c r="F496">
        <v>4.7</v>
      </c>
      <c r="G496">
        <v>2.85</v>
      </c>
      <c r="H496">
        <v>9.7450000000000002E-3</v>
      </c>
      <c r="I496">
        <v>0.32223722440944891</v>
      </c>
      <c r="J496">
        <v>0.30821555059055128</v>
      </c>
      <c r="K496">
        <v>0.63045277500000019</v>
      </c>
      <c r="L496">
        <v>1.0454930771404352</v>
      </c>
    </row>
    <row r="497" spans="1:14" x14ac:dyDescent="0.2">
      <c r="A497">
        <v>488632</v>
      </c>
      <c r="B497">
        <v>100</v>
      </c>
      <c r="C497">
        <v>7</v>
      </c>
      <c r="D497">
        <v>6.55</v>
      </c>
      <c r="E497">
        <v>3.85</v>
      </c>
      <c r="F497">
        <v>6.55</v>
      </c>
      <c r="G497">
        <v>3.85</v>
      </c>
      <c r="H497">
        <v>9.7450000000000002E-3</v>
      </c>
      <c r="I497">
        <v>0.47029216535433072</v>
      </c>
      <c r="J497">
        <v>0.38137210964566925</v>
      </c>
      <c r="K497">
        <v>0.85166427499999997</v>
      </c>
      <c r="L497">
        <v>1.2331582553094316</v>
      </c>
      <c r="M497">
        <v>0.45722849409448818</v>
      </c>
      <c r="N497">
        <v>0.38337520590551188</v>
      </c>
    </row>
    <row r="498" spans="1:14" x14ac:dyDescent="0.2">
      <c r="B498">
        <v>100</v>
      </c>
      <c r="C498">
        <v>7</v>
      </c>
      <c r="D498">
        <v>6.3</v>
      </c>
      <c r="E498">
        <v>3.75</v>
      </c>
      <c r="F498">
        <v>6.3</v>
      </c>
      <c r="G498">
        <v>3.75</v>
      </c>
      <c r="H498">
        <v>9.7450000000000002E-3</v>
      </c>
      <c r="I498">
        <v>0.4441648228346457</v>
      </c>
      <c r="J498">
        <v>0.38537830216535451</v>
      </c>
      <c r="K498">
        <v>0.82954312500000027</v>
      </c>
      <c r="L498">
        <v>1.1525423728813555</v>
      </c>
    </row>
    <row r="499" spans="1:14" x14ac:dyDescent="0.2">
      <c r="A499">
        <v>488633</v>
      </c>
      <c r="B499">
        <v>100</v>
      </c>
      <c r="C499">
        <v>6</v>
      </c>
      <c r="D499">
        <v>3.15</v>
      </c>
      <c r="E499">
        <v>1.6</v>
      </c>
      <c r="F499">
        <v>3.15</v>
      </c>
      <c r="G499">
        <v>1.6</v>
      </c>
      <c r="H499">
        <v>3.5767E-2</v>
      </c>
      <c r="I499">
        <v>0.99091487795275579</v>
      </c>
      <c r="J499">
        <v>0.30814256204724449</v>
      </c>
      <c r="K499">
        <v>1.2990574400000003</v>
      </c>
      <c r="L499">
        <v>3.215767634854767</v>
      </c>
      <c r="M499">
        <v>0.95894988188976371</v>
      </c>
      <c r="N499">
        <v>0.44159642061023652</v>
      </c>
    </row>
    <row r="500" spans="1:14" x14ac:dyDescent="0.2">
      <c r="B500">
        <v>100</v>
      </c>
      <c r="C500">
        <v>6</v>
      </c>
      <c r="D500">
        <v>3.3</v>
      </c>
      <c r="E500">
        <v>1.85</v>
      </c>
      <c r="F500">
        <v>3.3</v>
      </c>
      <c r="G500">
        <v>1.85</v>
      </c>
      <c r="H500">
        <v>3.5767E-2</v>
      </c>
      <c r="I500">
        <v>0.92698488582677152</v>
      </c>
      <c r="J500">
        <v>0.5750502791732286</v>
      </c>
      <c r="K500">
        <v>1.5020351650000001</v>
      </c>
      <c r="L500">
        <v>1.6120066703724283</v>
      </c>
    </row>
    <row r="501" spans="1:14" x14ac:dyDescent="0.2">
      <c r="A501">
        <v>488634</v>
      </c>
      <c r="B501">
        <v>100</v>
      </c>
      <c r="C501">
        <v>5</v>
      </c>
      <c r="D501">
        <v>2.8</v>
      </c>
      <c r="E501">
        <v>1.35</v>
      </c>
      <c r="F501">
        <v>2.8</v>
      </c>
      <c r="G501">
        <v>1.35</v>
      </c>
      <c r="H501">
        <v>0.123026</v>
      </c>
      <c r="I501">
        <v>3.1885045590551169</v>
      </c>
      <c r="J501">
        <v>0.58162721094488279</v>
      </c>
      <c r="K501">
        <v>3.7701317699999999</v>
      </c>
      <c r="L501">
        <v>5.4820415879016906</v>
      </c>
      <c r="M501">
        <v>3.2434787755905505</v>
      </c>
      <c r="N501">
        <v>0.52665299440944924</v>
      </c>
    </row>
    <row r="502" spans="1:14" x14ac:dyDescent="0.2">
      <c r="B502">
        <v>100</v>
      </c>
      <c r="C502">
        <v>5</v>
      </c>
      <c r="D502">
        <v>2.85</v>
      </c>
      <c r="E502">
        <v>1.35</v>
      </c>
      <c r="F502">
        <v>2.85</v>
      </c>
      <c r="G502">
        <v>1.35</v>
      </c>
      <c r="H502">
        <v>0.123026</v>
      </c>
      <c r="I502">
        <v>3.2984529921259842</v>
      </c>
      <c r="J502">
        <v>0.47167877787401563</v>
      </c>
      <c r="K502">
        <v>3.7701317699999999</v>
      </c>
      <c r="L502">
        <v>6.9930069930069942</v>
      </c>
    </row>
    <row r="503" spans="1:14" x14ac:dyDescent="0.2">
      <c r="A503">
        <v>488635</v>
      </c>
      <c r="B503">
        <v>100</v>
      </c>
      <c r="C503">
        <v>7</v>
      </c>
      <c r="D503">
        <v>6.05</v>
      </c>
      <c r="E503">
        <v>2.95</v>
      </c>
      <c r="F503">
        <v>6.05</v>
      </c>
      <c r="G503">
        <v>2.95</v>
      </c>
      <c r="H503">
        <v>9.7450000000000002E-3</v>
      </c>
      <c r="I503">
        <v>0.53996507874015753</v>
      </c>
      <c r="J503">
        <v>0.11260884625984273</v>
      </c>
      <c r="K503">
        <v>0.65257392500000022</v>
      </c>
      <c r="L503">
        <v>4.7950502706883134</v>
      </c>
      <c r="M503">
        <v>0.50948317913385832</v>
      </c>
      <c r="N503">
        <v>0.1154393083661419</v>
      </c>
    </row>
    <row r="504" spans="1:14" x14ac:dyDescent="0.2">
      <c r="B504">
        <v>100</v>
      </c>
      <c r="C504">
        <v>7</v>
      </c>
      <c r="D504">
        <v>5.45</v>
      </c>
      <c r="E504">
        <v>2.7</v>
      </c>
      <c r="F504">
        <v>5.45</v>
      </c>
      <c r="G504">
        <v>2.7</v>
      </c>
      <c r="H504">
        <v>9.7450000000000002E-3</v>
      </c>
      <c r="I504">
        <v>0.47900127952755911</v>
      </c>
      <c r="J504">
        <v>0.11826977047244107</v>
      </c>
      <c r="K504">
        <v>0.59727105000000014</v>
      </c>
      <c r="L504">
        <v>4.0500736377025</v>
      </c>
    </row>
    <row r="505" spans="1:14" x14ac:dyDescent="0.2">
      <c r="A505">
        <v>488636</v>
      </c>
      <c r="B505">
        <v>100</v>
      </c>
      <c r="C505">
        <v>7</v>
      </c>
      <c r="D505">
        <v>4.2</v>
      </c>
      <c r="E505">
        <v>2.0499999999999998</v>
      </c>
      <c r="F505">
        <v>4.2</v>
      </c>
      <c r="G505">
        <v>2.0499999999999998</v>
      </c>
      <c r="H505">
        <v>9.7450000000000002E-3</v>
      </c>
      <c r="I505">
        <v>0.37449190944881899</v>
      </c>
      <c r="J505">
        <v>7.8991665551181048E-2</v>
      </c>
      <c r="K505">
        <v>0.45348357500000003</v>
      </c>
      <c r="L505">
        <v>4.7409040793825845</v>
      </c>
      <c r="M505">
        <v>0.49641950787401579</v>
      </c>
      <c r="N505">
        <v>-4.2239203740157757E-3</v>
      </c>
    </row>
    <row r="506" spans="1:14" x14ac:dyDescent="0.2">
      <c r="B506">
        <v>100</v>
      </c>
      <c r="C506">
        <v>7</v>
      </c>
      <c r="D506">
        <v>5.95</v>
      </c>
      <c r="E506">
        <v>2.4</v>
      </c>
      <c r="F506">
        <v>5.95</v>
      </c>
      <c r="G506">
        <v>2.4</v>
      </c>
      <c r="H506">
        <v>9.7450000000000002E-3</v>
      </c>
      <c r="I506">
        <v>0.61834710629921263</v>
      </c>
      <c r="J506">
        <v>-8.7439506299212599E-2</v>
      </c>
      <c r="K506">
        <v>0.53090760000000004</v>
      </c>
      <c r="L506">
        <v>-7.0717131474103585</v>
      </c>
    </row>
    <row r="507" spans="1:14" x14ac:dyDescent="0.2">
      <c r="A507">
        <v>488639</v>
      </c>
      <c r="B507">
        <v>100</v>
      </c>
      <c r="C507">
        <v>8</v>
      </c>
      <c r="D507">
        <v>1.85</v>
      </c>
      <c r="E507">
        <v>1.6</v>
      </c>
      <c r="F507">
        <v>1.85</v>
      </c>
      <c r="G507">
        <v>1.6</v>
      </c>
      <c r="H507">
        <v>3.8630000000000001E-3</v>
      </c>
      <c r="I507">
        <v>1.726183070866142E-2</v>
      </c>
      <c r="J507">
        <v>0.1230423292913386</v>
      </c>
      <c r="K507">
        <v>0.14030416000000001</v>
      </c>
      <c r="L507">
        <v>0.14029180695847362</v>
      </c>
      <c r="M507">
        <v>2.2440379921259843E-2</v>
      </c>
      <c r="N507">
        <v>0.10690251757874017</v>
      </c>
    </row>
    <row r="508" spans="1:14" x14ac:dyDescent="0.2">
      <c r="B508">
        <v>100</v>
      </c>
      <c r="C508">
        <v>8</v>
      </c>
      <c r="D508">
        <v>1.75</v>
      </c>
      <c r="E508">
        <v>1.35</v>
      </c>
      <c r="F508">
        <v>1.75</v>
      </c>
      <c r="G508">
        <v>1.35</v>
      </c>
      <c r="H508">
        <v>3.8630000000000001E-3</v>
      </c>
      <c r="I508">
        <v>2.7618929133858265E-2</v>
      </c>
      <c r="J508">
        <v>9.0762705866141755E-2</v>
      </c>
      <c r="K508">
        <v>0.11838163500000001</v>
      </c>
      <c r="L508">
        <v>0.30429821224800296</v>
      </c>
    </row>
    <row r="509" spans="1:14" x14ac:dyDescent="0.2">
      <c r="A509">
        <v>488640</v>
      </c>
      <c r="B509">
        <v>100</v>
      </c>
      <c r="C509">
        <v>8</v>
      </c>
      <c r="D509">
        <v>2.25</v>
      </c>
      <c r="E509">
        <v>1.7</v>
      </c>
      <c r="F509">
        <v>2.25</v>
      </c>
      <c r="G509">
        <v>1.7</v>
      </c>
      <c r="H509">
        <v>3.8630000000000001E-3</v>
      </c>
      <c r="I509">
        <v>3.7976027559055124E-2</v>
      </c>
      <c r="J509">
        <v>0.11109714244094489</v>
      </c>
      <c r="K509">
        <v>0.14907317</v>
      </c>
      <c r="L509">
        <v>0.34182722187694226</v>
      </c>
      <c r="M509">
        <v>5.1785492125984253E-2</v>
      </c>
      <c r="N509">
        <v>0.11482569787401575</v>
      </c>
    </row>
    <row r="510" spans="1:14" x14ac:dyDescent="0.2">
      <c r="B510">
        <v>100</v>
      </c>
      <c r="C510">
        <v>8</v>
      </c>
      <c r="D510">
        <v>3.05</v>
      </c>
      <c r="E510">
        <v>2.1</v>
      </c>
      <c r="F510">
        <v>3.05</v>
      </c>
      <c r="G510">
        <v>2.1</v>
      </c>
      <c r="H510">
        <v>3.8630000000000001E-3</v>
      </c>
      <c r="I510">
        <v>6.5594956692913375E-2</v>
      </c>
      <c r="J510">
        <v>0.11855425330708663</v>
      </c>
      <c r="K510">
        <v>0.18414921000000001</v>
      </c>
      <c r="L510">
        <v>0.55329062317996491</v>
      </c>
    </row>
    <row r="511" spans="1:14" x14ac:dyDescent="0.2">
      <c r="A511">
        <v>488641</v>
      </c>
      <c r="B511">
        <v>100</v>
      </c>
      <c r="C511">
        <v>8</v>
      </c>
      <c r="D511">
        <v>2.2999999999999998</v>
      </c>
      <c r="E511">
        <v>1.6</v>
      </c>
      <c r="F511">
        <v>2.2999999999999998</v>
      </c>
      <c r="G511">
        <v>1.6</v>
      </c>
      <c r="H511">
        <v>3.8630000000000001E-3</v>
      </c>
      <c r="I511">
        <v>4.8333125984251948E-2</v>
      </c>
      <c r="J511">
        <v>9.1971034015748063E-2</v>
      </c>
      <c r="K511">
        <v>0.14030416000000001</v>
      </c>
      <c r="L511">
        <v>0.52552552552552512</v>
      </c>
      <c r="M511">
        <v>4.8333125984251962E-2</v>
      </c>
      <c r="N511">
        <v>9.8547791515748051E-2</v>
      </c>
    </row>
    <row r="512" spans="1:14" x14ac:dyDescent="0.2">
      <c r="B512">
        <v>100</v>
      </c>
      <c r="C512">
        <v>8</v>
      </c>
      <c r="D512">
        <v>2.4500000000000002</v>
      </c>
      <c r="E512">
        <v>1.75</v>
      </c>
      <c r="F512">
        <v>2.4500000000000002</v>
      </c>
      <c r="G512">
        <v>1.75</v>
      </c>
      <c r="H512">
        <v>3.8630000000000001E-3</v>
      </c>
      <c r="I512">
        <v>4.8333125984251983E-2</v>
      </c>
      <c r="J512">
        <v>0.10512454901574803</v>
      </c>
      <c r="K512">
        <v>0.15345767500000002</v>
      </c>
      <c r="L512">
        <v>0.4597701149425289</v>
      </c>
    </row>
    <row r="513" spans="1:14" x14ac:dyDescent="0.2">
      <c r="A513">
        <v>488642</v>
      </c>
      <c r="B513">
        <v>100</v>
      </c>
      <c r="C513">
        <v>8</v>
      </c>
      <c r="D513">
        <v>3.45</v>
      </c>
      <c r="E513">
        <v>2.15</v>
      </c>
      <c r="F513">
        <v>3.45</v>
      </c>
      <c r="G513">
        <v>2.15</v>
      </c>
      <c r="H513">
        <v>3.8630000000000001E-3</v>
      </c>
      <c r="I513">
        <v>8.9761519685039384E-2</v>
      </c>
      <c r="J513">
        <v>9.8772195314960579E-2</v>
      </c>
      <c r="K513">
        <v>0.18853371499999996</v>
      </c>
      <c r="L513">
        <v>0.90877315623907784</v>
      </c>
      <c r="M513">
        <v>8.8035336614173232E-2</v>
      </c>
      <c r="N513">
        <v>9.6113873385826748E-2</v>
      </c>
    </row>
    <row r="514" spans="1:14" x14ac:dyDescent="0.2">
      <c r="B514">
        <v>100</v>
      </c>
      <c r="C514">
        <v>8</v>
      </c>
      <c r="D514">
        <v>3.3</v>
      </c>
      <c r="E514">
        <v>2.0499999999999998</v>
      </c>
      <c r="F514">
        <v>3.3</v>
      </c>
      <c r="G514">
        <v>2.0499999999999998</v>
      </c>
      <c r="H514">
        <v>3.8630000000000001E-3</v>
      </c>
      <c r="I514">
        <v>8.6309153543307093E-2</v>
      </c>
      <c r="J514">
        <v>9.3455551456692904E-2</v>
      </c>
      <c r="K514">
        <v>0.179764705</v>
      </c>
      <c r="L514">
        <v>0.9235315847801997</v>
      </c>
    </row>
    <row r="515" spans="1:14" x14ac:dyDescent="0.2">
      <c r="A515">
        <v>488643</v>
      </c>
      <c r="B515">
        <v>100</v>
      </c>
      <c r="C515">
        <v>8</v>
      </c>
      <c r="D515">
        <v>5.3</v>
      </c>
      <c r="E515">
        <v>2.95</v>
      </c>
      <c r="F515">
        <v>5.3</v>
      </c>
      <c r="G515">
        <v>2.95</v>
      </c>
      <c r="H515">
        <v>3.8630000000000001E-3</v>
      </c>
      <c r="I515">
        <v>0.1622612086614173</v>
      </c>
      <c r="J515">
        <v>9.6424586338582738E-2</v>
      </c>
      <c r="K515">
        <v>0.25868579500000005</v>
      </c>
      <c r="L515">
        <v>1.6827783745076965</v>
      </c>
      <c r="M515">
        <v>0.22918554527559057</v>
      </c>
      <c r="N515">
        <v>6.6065977224409447E-2</v>
      </c>
    </row>
    <row r="516" spans="1:14" x14ac:dyDescent="0.2">
      <c r="B516">
        <v>100</v>
      </c>
      <c r="C516">
        <v>7</v>
      </c>
      <c r="D516">
        <v>3.2</v>
      </c>
      <c r="E516">
        <v>1.5</v>
      </c>
      <c r="F516">
        <v>3.2</v>
      </c>
      <c r="G516">
        <v>1.5</v>
      </c>
      <c r="H516">
        <v>9.7450000000000002E-3</v>
      </c>
      <c r="I516">
        <v>0.29610988188976384</v>
      </c>
      <c r="J516">
        <v>3.5707368110236157E-2</v>
      </c>
      <c r="K516">
        <v>0.33181725000000001</v>
      </c>
      <c r="L516">
        <v>8.2926829268292845</v>
      </c>
    </row>
    <row r="517" spans="1:14" x14ac:dyDescent="0.2">
      <c r="A517">
        <v>488644</v>
      </c>
      <c r="B517">
        <v>100</v>
      </c>
      <c r="C517">
        <v>6</v>
      </c>
      <c r="D517">
        <v>6.65</v>
      </c>
      <c r="E517">
        <v>3.2</v>
      </c>
      <c r="F517">
        <v>6.65</v>
      </c>
      <c r="G517">
        <v>3.2</v>
      </c>
      <c r="H517">
        <v>3.5767E-2</v>
      </c>
      <c r="I517">
        <v>2.2055847283464569</v>
      </c>
      <c r="J517">
        <v>0.39253015165354377</v>
      </c>
      <c r="K517">
        <v>2.5981148800000007</v>
      </c>
      <c r="L517">
        <v>5.6188925081433165</v>
      </c>
      <c r="M517">
        <v>2.2055847283464569</v>
      </c>
      <c r="N517">
        <v>0.39253015165354377</v>
      </c>
    </row>
    <row r="518" spans="1:14" x14ac:dyDescent="0.2">
      <c r="B518">
        <v>100</v>
      </c>
      <c r="C518">
        <v>6</v>
      </c>
      <c r="D518">
        <v>6.65</v>
      </c>
      <c r="E518">
        <v>3.2</v>
      </c>
      <c r="F518">
        <v>6.65</v>
      </c>
      <c r="G518">
        <v>3.2</v>
      </c>
      <c r="H518">
        <v>3.5767E-2</v>
      </c>
      <c r="I518">
        <v>2.2055847283464569</v>
      </c>
      <c r="J518">
        <v>0.39253015165354377</v>
      </c>
      <c r="K518">
        <v>2.5981148800000007</v>
      </c>
      <c r="L518">
        <v>5.6188925081433165</v>
      </c>
    </row>
    <row r="519" spans="1:14" x14ac:dyDescent="0.2">
      <c r="A519">
        <v>488645</v>
      </c>
      <c r="B519">
        <v>100</v>
      </c>
      <c r="C519">
        <v>6</v>
      </c>
      <c r="D519">
        <v>4.3499999999999996</v>
      </c>
      <c r="E519">
        <v>2.15</v>
      </c>
      <c r="F519">
        <v>4.3499999999999996</v>
      </c>
      <c r="G519">
        <v>2.15</v>
      </c>
      <c r="H519">
        <v>3.5767E-2</v>
      </c>
      <c r="I519">
        <v>1.4064598267716537</v>
      </c>
      <c r="J519">
        <v>0.33914860822834675</v>
      </c>
      <c r="K519">
        <v>1.7456084350000005</v>
      </c>
      <c r="L519">
        <v>4.1470311027332674</v>
      </c>
      <c r="M519">
        <v>1.4064598267716537</v>
      </c>
      <c r="N519">
        <v>0.29855306322834652</v>
      </c>
    </row>
    <row r="520" spans="1:14" x14ac:dyDescent="0.2">
      <c r="B520">
        <v>100</v>
      </c>
      <c r="C520">
        <v>6</v>
      </c>
      <c r="D520">
        <v>4.25</v>
      </c>
      <c r="E520">
        <v>2.0499999999999998</v>
      </c>
      <c r="F520">
        <v>4.25</v>
      </c>
      <c r="G520">
        <v>2.0499999999999998</v>
      </c>
      <c r="H520">
        <v>3.5767E-2</v>
      </c>
      <c r="I520">
        <v>1.4064598267716539</v>
      </c>
      <c r="J520">
        <v>0.25795751822834628</v>
      </c>
      <c r="K520">
        <v>1.6644173450000002</v>
      </c>
      <c r="L520">
        <v>5.4522924411400302</v>
      </c>
    </row>
    <row r="521" spans="1:14" x14ac:dyDescent="0.2">
      <c r="A521">
        <v>488646</v>
      </c>
      <c r="B521">
        <v>100</v>
      </c>
      <c r="C521">
        <v>6</v>
      </c>
      <c r="D521">
        <v>2.35</v>
      </c>
      <c r="E521">
        <v>1.05</v>
      </c>
      <c r="F521">
        <v>2.35</v>
      </c>
      <c r="G521">
        <v>1.05</v>
      </c>
      <c r="H521">
        <v>3.5767E-2</v>
      </c>
      <c r="I521">
        <v>0.83108989763779528</v>
      </c>
      <c r="J521">
        <v>2.1416547362204795E-2</v>
      </c>
      <c r="K521">
        <v>0.85250644500000006</v>
      </c>
      <c r="L521">
        <v>38.805970149253604</v>
      </c>
      <c r="M521">
        <v>0.83108989763779528</v>
      </c>
      <c r="N521">
        <v>8.2309864862204762E-2</v>
      </c>
    </row>
    <row r="522" spans="1:14" x14ac:dyDescent="0.2">
      <c r="B522">
        <v>100</v>
      </c>
      <c r="C522">
        <v>6</v>
      </c>
      <c r="D522">
        <v>2.5</v>
      </c>
      <c r="E522">
        <v>1.2</v>
      </c>
      <c r="F522">
        <v>2.5</v>
      </c>
      <c r="G522">
        <v>1.2</v>
      </c>
      <c r="H522">
        <v>3.5767E-2</v>
      </c>
      <c r="I522">
        <v>0.83108989763779528</v>
      </c>
      <c r="J522">
        <v>0.14320318236220472</v>
      </c>
      <c r="K522">
        <v>0.97429308000000003</v>
      </c>
      <c r="L522">
        <v>5.8035714285714288</v>
      </c>
    </row>
    <row r="523" spans="1:14" x14ac:dyDescent="0.2">
      <c r="A523">
        <v>488647</v>
      </c>
      <c r="B523">
        <v>100</v>
      </c>
      <c r="C523">
        <v>7</v>
      </c>
      <c r="D523">
        <v>6.95</v>
      </c>
      <c r="E523">
        <v>3.3</v>
      </c>
      <c r="F523">
        <v>6.95</v>
      </c>
      <c r="G523">
        <v>3.3</v>
      </c>
      <c r="H523">
        <v>9.7450000000000002E-3</v>
      </c>
      <c r="I523">
        <v>0.63576533464566942</v>
      </c>
      <c r="J523">
        <v>9.4232615354330612E-2</v>
      </c>
      <c r="K523">
        <v>0.72999795000000001</v>
      </c>
      <c r="L523">
        <v>6.7467652495379014</v>
      </c>
      <c r="M523">
        <v>0.64882900590551196</v>
      </c>
      <c r="N523">
        <v>8.6699231594488196E-2</v>
      </c>
    </row>
    <row r="524" spans="1:14" x14ac:dyDescent="0.2">
      <c r="B524">
        <v>100</v>
      </c>
      <c r="C524">
        <v>7</v>
      </c>
      <c r="D524">
        <v>7.15</v>
      </c>
      <c r="E524">
        <v>3.35</v>
      </c>
      <c r="F524">
        <v>7.15</v>
      </c>
      <c r="G524">
        <v>3.35</v>
      </c>
      <c r="H524">
        <v>9.7450000000000002E-3</v>
      </c>
      <c r="I524">
        <v>0.66189267716535438</v>
      </c>
      <c r="J524">
        <v>7.9165847834645794E-2</v>
      </c>
      <c r="K524">
        <v>0.74105852500000013</v>
      </c>
      <c r="L524">
        <v>8.3608360836083477</v>
      </c>
    </row>
    <row r="525" spans="1:14" x14ac:dyDescent="0.2">
      <c r="A525">
        <v>488254</v>
      </c>
      <c r="B525">
        <v>100</v>
      </c>
      <c r="C525">
        <v>7</v>
      </c>
      <c r="D525">
        <v>4.95</v>
      </c>
      <c r="E525">
        <v>2.4</v>
      </c>
      <c r="F525">
        <v>4.95</v>
      </c>
      <c r="G525">
        <v>2.4</v>
      </c>
      <c r="H525">
        <v>9.7450000000000002E-3</v>
      </c>
      <c r="I525">
        <v>0.44416482283464576</v>
      </c>
      <c r="J525">
        <v>8.6742777165354321E-2</v>
      </c>
      <c r="K525">
        <v>0.53090760000000004</v>
      </c>
      <c r="L525">
        <v>5.1204819277108449</v>
      </c>
      <c r="M525">
        <v>0.44416482283464576</v>
      </c>
      <c r="N525">
        <v>9.2273064665354398E-2</v>
      </c>
    </row>
    <row r="526" spans="1:14" x14ac:dyDescent="0.2">
      <c r="B526">
        <v>100</v>
      </c>
      <c r="C526">
        <v>7</v>
      </c>
      <c r="D526">
        <v>5</v>
      </c>
      <c r="E526">
        <v>2.4500000000000002</v>
      </c>
      <c r="F526">
        <v>5</v>
      </c>
      <c r="G526">
        <v>2.4500000000000002</v>
      </c>
      <c r="H526">
        <v>9.7450000000000002E-3</v>
      </c>
      <c r="I526">
        <v>0.4441648228346457</v>
      </c>
      <c r="J526">
        <v>9.7803352165354462E-2</v>
      </c>
      <c r="K526">
        <v>0.54196817500000016</v>
      </c>
      <c r="L526">
        <v>4.5414069456812056</v>
      </c>
    </row>
    <row r="527" spans="1:14" x14ac:dyDescent="0.2">
      <c r="A527">
        <v>488650</v>
      </c>
      <c r="B527">
        <v>100</v>
      </c>
      <c r="C527">
        <v>8</v>
      </c>
      <c r="D527">
        <v>1.45</v>
      </c>
      <c r="E527">
        <v>1</v>
      </c>
      <c r="F527">
        <v>1.45</v>
      </c>
      <c r="G527">
        <v>1</v>
      </c>
      <c r="H527">
        <v>3.8630000000000001E-3</v>
      </c>
      <c r="I527">
        <v>3.1071295275590546E-2</v>
      </c>
      <c r="J527">
        <v>5.6618804724409451E-2</v>
      </c>
      <c r="K527">
        <v>8.7690099999999993E-2</v>
      </c>
      <c r="L527">
        <v>0.54878048780487798</v>
      </c>
      <c r="M527">
        <v>2.9345112204724404E-2</v>
      </c>
      <c r="N527">
        <v>5.8344987795275596E-2</v>
      </c>
    </row>
    <row r="528" spans="1:14" x14ac:dyDescent="0.2">
      <c r="B528">
        <v>100</v>
      </c>
      <c r="C528">
        <v>8</v>
      </c>
      <c r="D528">
        <v>1.4</v>
      </c>
      <c r="E528">
        <v>1</v>
      </c>
      <c r="F528">
        <v>1.4</v>
      </c>
      <c r="G528">
        <v>1</v>
      </c>
      <c r="H528">
        <v>3.8630000000000001E-3</v>
      </c>
      <c r="I528">
        <v>2.7618929133858265E-2</v>
      </c>
      <c r="J528">
        <v>6.0071170866141749E-2</v>
      </c>
      <c r="K528">
        <v>8.7690100000000021E-2</v>
      </c>
      <c r="L528">
        <v>0.45977011494252856</v>
      </c>
    </row>
    <row r="529" spans="1:14" x14ac:dyDescent="0.2">
      <c r="A529">
        <v>488651</v>
      </c>
      <c r="B529">
        <v>100</v>
      </c>
      <c r="C529">
        <v>8</v>
      </c>
      <c r="D529">
        <v>4.8499999999999996</v>
      </c>
      <c r="E529">
        <v>2.8</v>
      </c>
      <c r="F529">
        <v>4.8499999999999996</v>
      </c>
      <c r="G529">
        <v>2.8</v>
      </c>
      <c r="H529">
        <v>3.8630000000000001E-3</v>
      </c>
      <c r="I529">
        <v>0.14154701181102361</v>
      </c>
      <c r="J529">
        <v>0.10398526818897638</v>
      </c>
      <c r="K529">
        <v>0.24553227999999999</v>
      </c>
      <c r="L529">
        <v>1.3612217795484727</v>
      </c>
      <c r="M529">
        <v>0.10529716732283463</v>
      </c>
      <c r="N529">
        <v>9.6390062677165378E-2</v>
      </c>
    </row>
    <row r="530" spans="1:14" x14ac:dyDescent="0.2">
      <c r="B530">
        <v>100</v>
      </c>
      <c r="C530">
        <v>8</v>
      </c>
      <c r="D530">
        <v>2.8</v>
      </c>
      <c r="E530">
        <v>1.8</v>
      </c>
      <c r="F530">
        <v>2.8</v>
      </c>
      <c r="G530">
        <v>1.8</v>
      </c>
      <c r="H530">
        <v>3.8630000000000001E-3</v>
      </c>
      <c r="I530">
        <v>6.9047322834645652E-2</v>
      </c>
      <c r="J530">
        <v>8.879485716535436E-2</v>
      </c>
      <c r="K530">
        <v>0.15784218</v>
      </c>
      <c r="L530">
        <v>0.77760497667185025</v>
      </c>
    </row>
    <row r="531" spans="1:14" x14ac:dyDescent="0.2">
      <c r="A531">
        <v>488652</v>
      </c>
      <c r="B531">
        <v>100</v>
      </c>
      <c r="C531">
        <v>7</v>
      </c>
      <c r="D531">
        <v>3.1</v>
      </c>
      <c r="E531">
        <v>2</v>
      </c>
      <c r="F531">
        <v>3.1</v>
      </c>
      <c r="G531">
        <v>2</v>
      </c>
      <c r="H531">
        <v>9.7450000000000002E-3</v>
      </c>
      <c r="I531">
        <v>0.19160051181102367</v>
      </c>
      <c r="J531">
        <v>0.25082248818897646</v>
      </c>
      <c r="K531">
        <v>0.44242300000000012</v>
      </c>
      <c r="L531">
        <v>0.76388888888888884</v>
      </c>
      <c r="M531">
        <v>0.200309625984252</v>
      </c>
      <c r="N531">
        <v>0.24211337401574806</v>
      </c>
    </row>
    <row r="532" spans="1:14" x14ac:dyDescent="0.2">
      <c r="B532">
        <v>100</v>
      </c>
      <c r="C532">
        <v>7</v>
      </c>
      <c r="D532">
        <v>3.2</v>
      </c>
      <c r="E532">
        <v>2</v>
      </c>
      <c r="F532">
        <v>3.2</v>
      </c>
      <c r="G532">
        <v>2</v>
      </c>
      <c r="H532">
        <v>9.7450000000000002E-3</v>
      </c>
      <c r="I532">
        <v>0.20901874015748034</v>
      </c>
      <c r="J532">
        <v>0.23340425984251964</v>
      </c>
      <c r="K532">
        <v>0.44242300000000001</v>
      </c>
      <c r="L532">
        <v>0.89552238805970175</v>
      </c>
    </row>
    <row r="533" spans="1:14" x14ac:dyDescent="0.2">
      <c r="A533">
        <v>488653</v>
      </c>
      <c r="B533">
        <v>100</v>
      </c>
      <c r="C533">
        <v>7</v>
      </c>
      <c r="D533">
        <v>5.35</v>
      </c>
      <c r="E533">
        <v>3.25</v>
      </c>
      <c r="F533">
        <v>5.35</v>
      </c>
      <c r="G533">
        <v>3.25</v>
      </c>
      <c r="H533">
        <v>9.7450000000000002E-3</v>
      </c>
      <c r="I533">
        <v>0.36578279527559049</v>
      </c>
      <c r="J533">
        <v>0.35315457972440945</v>
      </c>
      <c r="K533">
        <v>0.71893737499999988</v>
      </c>
      <c r="L533">
        <v>1.035758323057953</v>
      </c>
      <c r="M533">
        <v>0.37013735236220474</v>
      </c>
      <c r="N533">
        <v>0.35433031013779526</v>
      </c>
    </row>
    <row r="534" spans="1:14" x14ac:dyDescent="0.2">
      <c r="B534">
        <v>100</v>
      </c>
      <c r="C534">
        <v>7</v>
      </c>
      <c r="D534">
        <v>5.45</v>
      </c>
      <c r="E534">
        <v>3.3</v>
      </c>
      <c r="F534">
        <v>5.45</v>
      </c>
      <c r="G534">
        <v>3.3</v>
      </c>
      <c r="H534">
        <v>9.7450000000000002E-3</v>
      </c>
      <c r="I534">
        <v>0.37449190944881899</v>
      </c>
      <c r="J534">
        <v>0.35550604055118112</v>
      </c>
      <c r="K534">
        <v>0.72999795000000012</v>
      </c>
      <c r="L534">
        <v>1.0534051935325823</v>
      </c>
    </row>
    <row r="535" spans="1:14" x14ac:dyDescent="0.2">
      <c r="A535">
        <v>488654</v>
      </c>
      <c r="B535">
        <v>100</v>
      </c>
      <c r="C535">
        <v>6</v>
      </c>
      <c r="D535">
        <v>3.85</v>
      </c>
      <c r="E535">
        <v>2.0499999999999998</v>
      </c>
      <c r="F535">
        <v>3.85</v>
      </c>
      <c r="G535">
        <v>2.0499999999999998</v>
      </c>
      <c r="H535">
        <v>3.5767E-2</v>
      </c>
      <c r="I535">
        <v>1.1507398582677169</v>
      </c>
      <c r="J535">
        <v>0.51367748673228331</v>
      </c>
      <c r="K535">
        <v>1.6644173450000002</v>
      </c>
      <c r="L535">
        <v>2.2401991288114513</v>
      </c>
      <c r="M535">
        <v>1.214669850393701</v>
      </c>
      <c r="N535">
        <v>0.40915194960629908</v>
      </c>
    </row>
    <row r="536" spans="1:14" x14ac:dyDescent="0.2">
      <c r="B536">
        <v>100</v>
      </c>
      <c r="C536">
        <v>6</v>
      </c>
      <c r="D536">
        <v>3.95</v>
      </c>
      <c r="E536">
        <v>1.95</v>
      </c>
      <c r="F536">
        <v>3.95</v>
      </c>
      <c r="G536">
        <v>1.95</v>
      </c>
      <c r="H536">
        <v>3.5767E-2</v>
      </c>
      <c r="I536">
        <v>1.2785998425196852</v>
      </c>
      <c r="J536">
        <v>0.30462641248031486</v>
      </c>
      <c r="K536">
        <v>1.583226255</v>
      </c>
      <c r="L536">
        <v>4.1972717733473264</v>
      </c>
    </row>
    <row r="537" spans="1:14" x14ac:dyDescent="0.2">
      <c r="A537">
        <v>488655</v>
      </c>
      <c r="B537">
        <v>100</v>
      </c>
      <c r="C537">
        <v>6</v>
      </c>
      <c r="D537">
        <v>4.8499999999999996</v>
      </c>
      <c r="E537">
        <v>2.4500000000000002</v>
      </c>
      <c r="F537">
        <v>4.8499999999999996</v>
      </c>
      <c r="G537">
        <v>2.4500000000000002</v>
      </c>
      <c r="H537">
        <v>3.5767E-2</v>
      </c>
      <c r="I537">
        <v>1.5343198110236216</v>
      </c>
      <c r="J537">
        <v>0.45486189397637872</v>
      </c>
      <c r="K537">
        <v>1.9891817050000002</v>
      </c>
      <c r="L537">
        <v>3.373155305692193</v>
      </c>
      <c r="M537">
        <v>1.5183373129921258</v>
      </c>
      <c r="N537">
        <v>0.43024884700787447</v>
      </c>
    </row>
    <row r="538" spans="1:14" x14ac:dyDescent="0.2">
      <c r="B538">
        <v>100</v>
      </c>
      <c r="C538">
        <v>6</v>
      </c>
      <c r="D538">
        <v>4.7</v>
      </c>
      <c r="E538">
        <v>2.35</v>
      </c>
      <c r="F538">
        <v>4.7</v>
      </c>
      <c r="G538">
        <v>2.35</v>
      </c>
      <c r="H538">
        <v>3.5767E-2</v>
      </c>
      <c r="I538">
        <v>1.5023548149606298</v>
      </c>
      <c r="J538">
        <v>0.40563580003937028</v>
      </c>
      <c r="K538">
        <v>1.9079906150000001</v>
      </c>
      <c r="L538">
        <v>3.7037037037037015</v>
      </c>
    </row>
    <row r="539" spans="1:14" x14ac:dyDescent="0.2">
      <c r="A539">
        <v>488656</v>
      </c>
      <c r="B539">
        <v>100</v>
      </c>
      <c r="C539">
        <v>5</v>
      </c>
      <c r="D539">
        <v>3.45</v>
      </c>
      <c r="E539">
        <v>1.65</v>
      </c>
      <c r="F539">
        <v>3.45</v>
      </c>
      <c r="G539">
        <v>1.65</v>
      </c>
      <c r="H539">
        <v>0.123026</v>
      </c>
      <c r="I539">
        <v>3.9581435905511815</v>
      </c>
      <c r="J539">
        <v>0.64979523944881823</v>
      </c>
      <c r="K539">
        <v>4.6079388300000002</v>
      </c>
      <c r="L539">
        <v>6.0913705583756412</v>
      </c>
      <c r="M539">
        <v>3.9581435905511815</v>
      </c>
      <c r="N539">
        <v>0.64979523944881823</v>
      </c>
    </row>
    <row r="540" spans="1:14" x14ac:dyDescent="0.2">
      <c r="B540">
        <v>100</v>
      </c>
      <c r="C540">
        <v>5</v>
      </c>
      <c r="D540">
        <v>3.45</v>
      </c>
      <c r="E540">
        <v>1.65</v>
      </c>
      <c r="F540">
        <v>3.45</v>
      </c>
      <c r="G540">
        <v>1.65</v>
      </c>
      <c r="H540">
        <v>0.123026</v>
      </c>
      <c r="I540">
        <v>3.9581435905511815</v>
      </c>
      <c r="J540">
        <v>0.64979523944881823</v>
      </c>
      <c r="K540">
        <v>4.6079388300000002</v>
      </c>
      <c r="L540">
        <v>6.0913705583756412</v>
      </c>
    </row>
    <row r="541" spans="1:14" x14ac:dyDescent="0.2">
      <c r="A541">
        <v>488657</v>
      </c>
      <c r="B541">
        <v>100</v>
      </c>
      <c r="C541">
        <v>5</v>
      </c>
      <c r="D541">
        <v>2.85</v>
      </c>
      <c r="E541">
        <v>1.35</v>
      </c>
      <c r="F541">
        <v>2.85</v>
      </c>
      <c r="G541">
        <v>1.35</v>
      </c>
      <c r="H541">
        <v>0.123026</v>
      </c>
      <c r="I541">
        <v>3.2984529921259842</v>
      </c>
      <c r="J541">
        <v>0.47167877787401563</v>
      </c>
      <c r="K541">
        <v>3.7701317699999999</v>
      </c>
      <c r="L541">
        <v>6.9930069930069942</v>
      </c>
      <c r="M541">
        <v>3.1885045590551178</v>
      </c>
      <c r="N541">
        <v>0.51180995594488188</v>
      </c>
    </row>
    <row r="542" spans="1:14" x14ac:dyDescent="0.2">
      <c r="B542">
        <v>100</v>
      </c>
      <c r="C542">
        <v>5</v>
      </c>
      <c r="D542">
        <v>2.7</v>
      </c>
      <c r="E542">
        <v>1.3</v>
      </c>
      <c r="F542">
        <v>2.7</v>
      </c>
      <c r="G542">
        <v>1.3</v>
      </c>
      <c r="H542">
        <v>0.123026</v>
      </c>
      <c r="I542">
        <v>3.0785561259842518</v>
      </c>
      <c r="J542">
        <v>0.55194113401574807</v>
      </c>
      <c r="K542">
        <v>3.6304972599999998</v>
      </c>
      <c r="L542">
        <v>5.5776892430278879</v>
      </c>
    </row>
    <row r="543" spans="1:14" x14ac:dyDescent="0.2">
      <c r="A543">
        <v>488658</v>
      </c>
      <c r="B543">
        <v>100</v>
      </c>
      <c r="C543">
        <v>5</v>
      </c>
      <c r="D543">
        <v>2.65</v>
      </c>
      <c r="E543">
        <v>1.3</v>
      </c>
      <c r="F543">
        <v>2.65</v>
      </c>
      <c r="G543">
        <v>1.3</v>
      </c>
      <c r="H543">
        <v>0.123026</v>
      </c>
      <c r="I543">
        <v>2.9686076929133858</v>
      </c>
      <c r="J543">
        <v>0.66188956708661395</v>
      </c>
      <c r="K543">
        <v>3.6304972599999998</v>
      </c>
      <c r="L543">
        <v>4.4850498338870448</v>
      </c>
      <c r="M543">
        <v>2.9686076929133858</v>
      </c>
      <c r="N543">
        <v>0.73170682208661431</v>
      </c>
    </row>
    <row r="544" spans="1:14" x14ac:dyDescent="0.2">
      <c r="B544">
        <v>100</v>
      </c>
      <c r="C544">
        <v>5</v>
      </c>
      <c r="D544">
        <v>2.7</v>
      </c>
      <c r="E544">
        <v>1.35</v>
      </c>
      <c r="F544">
        <v>2.7</v>
      </c>
      <c r="G544">
        <v>1.35</v>
      </c>
      <c r="H544">
        <v>0.123026</v>
      </c>
      <c r="I544">
        <v>2.9686076929133862</v>
      </c>
      <c r="J544">
        <v>0.80152407708661466</v>
      </c>
      <c r="K544">
        <v>3.7701317700000008</v>
      </c>
      <c r="L544">
        <v>3.7037037037037019</v>
      </c>
    </row>
    <row r="545" spans="1:14" x14ac:dyDescent="0.2">
      <c r="A545">
        <v>488660</v>
      </c>
      <c r="B545">
        <v>100</v>
      </c>
      <c r="C545">
        <v>8</v>
      </c>
      <c r="D545">
        <v>3.8</v>
      </c>
      <c r="E545">
        <v>2.5499999999999998</v>
      </c>
      <c r="F545">
        <v>3.8</v>
      </c>
      <c r="G545">
        <v>2.5499999999999998</v>
      </c>
      <c r="H545">
        <v>3.8630000000000001E-3</v>
      </c>
      <c r="I545">
        <v>8.6309153543307093E-2</v>
      </c>
      <c r="J545">
        <v>0.13730060145669293</v>
      </c>
      <c r="K545">
        <v>0.22360975500000002</v>
      </c>
      <c r="L545">
        <v>0.62861453356801611</v>
      </c>
      <c r="M545">
        <v>7.9404421259842539E-2</v>
      </c>
      <c r="N545">
        <v>0.13324407124015747</v>
      </c>
    </row>
    <row r="546" spans="1:14" x14ac:dyDescent="0.2">
      <c r="B546">
        <v>100</v>
      </c>
      <c r="C546">
        <v>8</v>
      </c>
      <c r="D546">
        <v>3.35</v>
      </c>
      <c r="E546">
        <v>2.2999999999999998</v>
      </c>
      <c r="F546">
        <v>3.35</v>
      </c>
      <c r="G546">
        <v>2.2999999999999998</v>
      </c>
      <c r="H546">
        <v>3.8630000000000001E-3</v>
      </c>
      <c r="I546">
        <v>7.2499688976377971E-2</v>
      </c>
      <c r="J546">
        <v>0.12918754102362201</v>
      </c>
      <c r="K546">
        <v>0.20168723</v>
      </c>
      <c r="L546">
        <v>0.56119722073757383</v>
      </c>
    </row>
    <row r="547" spans="1:14" x14ac:dyDescent="0.2">
      <c r="A547">
        <v>488661</v>
      </c>
      <c r="B547">
        <v>100</v>
      </c>
      <c r="C547">
        <v>8</v>
      </c>
      <c r="D547">
        <v>3.25</v>
      </c>
      <c r="E547">
        <v>2.2999999999999998</v>
      </c>
      <c r="F547">
        <v>3.25</v>
      </c>
      <c r="G547">
        <v>2.2999999999999998</v>
      </c>
      <c r="H547">
        <v>3.8630000000000001E-3</v>
      </c>
      <c r="I547">
        <v>6.5594956692913403E-2</v>
      </c>
      <c r="J547">
        <v>0.13609227330708656</v>
      </c>
      <c r="K547">
        <v>0.20168722999999997</v>
      </c>
      <c r="L547">
        <v>0.48198883815322202</v>
      </c>
      <c r="M547">
        <v>6.7321139763779542E-2</v>
      </c>
      <c r="N547">
        <v>0.14094284773622046</v>
      </c>
    </row>
    <row r="548" spans="1:14" x14ac:dyDescent="0.2">
      <c r="B548">
        <v>100</v>
      </c>
      <c r="C548">
        <v>8</v>
      </c>
      <c r="D548">
        <v>3.45</v>
      </c>
      <c r="E548">
        <v>2.4500000000000002</v>
      </c>
      <c r="F548">
        <v>3.45</v>
      </c>
      <c r="G548">
        <v>2.4500000000000002</v>
      </c>
      <c r="H548">
        <v>3.8630000000000001E-3</v>
      </c>
      <c r="I548">
        <v>6.904732283464568E-2</v>
      </c>
      <c r="J548">
        <v>0.14579342216535435</v>
      </c>
      <c r="K548">
        <v>0.21484074500000003</v>
      </c>
      <c r="L548">
        <v>0.47359696897939857</v>
      </c>
    </row>
    <row r="549" spans="1:14" x14ac:dyDescent="0.2">
      <c r="A549">
        <v>488662</v>
      </c>
      <c r="B549">
        <v>100</v>
      </c>
      <c r="C549">
        <v>8</v>
      </c>
      <c r="D549">
        <v>3</v>
      </c>
      <c r="E549">
        <v>2</v>
      </c>
      <c r="F549">
        <v>3</v>
      </c>
      <c r="G549">
        <v>2</v>
      </c>
      <c r="H549">
        <v>3.8630000000000001E-3</v>
      </c>
      <c r="I549">
        <v>6.904732283464568E-2</v>
      </c>
      <c r="J549">
        <v>0.10633287716535433</v>
      </c>
      <c r="K549">
        <v>0.17538020000000001</v>
      </c>
      <c r="L549">
        <v>0.64935064935064946</v>
      </c>
      <c r="M549">
        <v>7.2499688976377957E-2</v>
      </c>
      <c r="N549">
        <v>0.11822627852362204</v>
      </c>
    </row>
    <row r="550" spans="1:14" x14ac:dyDescent="0.2">
      <c r="B550">
        <v>100</v>
      </c>
      <c r="C550">
        <v>8</v>
      </c>
      <c r="D550">
        <v>3.45</v>
      </c>
      <c r="E550">
        <v>2.35</v>
      </c>
      <c r="F550">
        <v>3.45</v>
      </c>
      <c r="G550">
        <v>2.35</v>
      </c>
      <c r="H550">
        <v>3.8630000000000001E-3</v>
      </c>
      <c r="I550">
        <v>7.5952055118110248E-2</v>
      </c>
      <c r="J550">
        <v>0.13011967988188974</v>
      </c>
      <c r="K550">
        <v>0.20607173499999998</v>
      </c>
      <c r="L550">
        <v>0.5837092066861238</v>
      </c>
    </row>
    <row r="551" spans="1:14" x14ac:dyDescent="0.2">
      <c r="A551">
        <v>488663</v>
      </c>
      <c r="B551">
        <v>100</v>
      </c>
      <c r="C551">
        <v>8</v>
      </c>
      <c r="D551">
        <v>5.25</v>
      </c>
      <c r="E551">
        <v>3.2</v>
      </c>
      <c r="F551">
        <v>5.25</v>
      </c>
      <c r="G551">
        <v>3.2</v>
      </c>
      <c r="H551">
        <v>3.8630000000000001E-3</v>
      </c>
      <c r="I551">
        <v>0.14154701181102361</v>
      </c>
      <c r="J551">
        <v>0.13906130818897641</v>
      </c>
      <c r="K551">
        <v>0.28060832000000002</v>
      </c>
      <c r="L551">
        <v>1.0178748758689173</v>
      </c>
      <c r="M551">
        <v>0.15363029330708661</v>
      </c>
      <c r="N551">
        <v>0.16424631919291338</v>
      </c>
    </row>
    <row r="552" spans="1:14" x14ac:dyDescent="0.2">
      <c r="B552">
        <v>100</v>
      </c>
      <c r="C552">
        <v>8</v>
      </c>
      <c r="D552">
        <v>6.45</v>
      </c>
      <c r="E552">
        <v>4.05</v>
      </c>
      <c r="F552">
        <v>6.45</v>
      </c>
      <c r="G552">
        <v>4.05</v>
      </c>
      <c r="H552">
        <v>3.8630000000000001E-3</v>
      </c>
      <c r="I552">
        <v>0.16571357480314963</v>
      </c>
      <c r="J552">
        <v>0.18943133019685035</v>
      </c>
      <c r="K552">
        <v>0.35514490499999996</v>
      </c>
      <c r="L552">
        <v>0.87479496992892325</v>
      </c>
    </row>
    <row r="553" spans="1:14" x14ac:dyDescent="0.2">
      <c r="A553">
        <v>488664</v>
      </c>
      <c r="B553">
        <v>100</v>
      </c>
      <c r="C553">
        <v>7</v>
      </c>
      <c r="D553">
        <v>3.2</v>
      </c>
      <c r="E553">
        <v>2</v>
      </c>
      <c r="F553">
        <v>3.2</v>
      </c>
      <c r="G553">
        <v>2</v>
      </c>
      <c r="H553">
        <v>9.7450000000000002E-3</v>
      </c>
      <c r="I553">
        <v>0.20901874015748034</v>
      </c>
      <c r="J553">
        <v>0.23340425984251964</v>
      </c>
      <c r="K553">
        <v>0.44242300000000001</v>
      </c>
      <c r="L553">
        <v>0.89552238805970175</v>
      </c>
      <c r="M553">
        <v>0.20901874015748034</v>
      </c>
      <c r="N553">
        <v>0.20575282234251968</v>
      </c>
    </row>
    <row r="554" spans="1:14" x14ac:dyDescent="0.2">
      <c r="B554">
        <v>100</v>
      </c>
      <c r="C554">
        <v>7</v>
      </c>
      <c r="D554">
        <v>2.95</v>
      </c>
      <c r="E554">
        <v>1.75</v>
      </c>
      <c r="F554">
        <v>2.95</v>
      </c>
      <c r="G554">
        <v>1.75</v>
      </c>
      <c r="H554">
        <v>9.7450000000000002E-3</v>
      </c>
      <c r="I554">
        <v>0.20901874015748034</v>
      </c>
      <c r="J554">
        <v>0.17810138484251969</v>
      </c>
      <c r="K554">
        <v>0.38712012500000004</v>
      </c>
      <c r="L554">
        <v>1.1735941320293399</v>
      </c>
    </row>
    <row r="555" spans="1:14" x14ac:dyDescent="0.2">
      <c r="A555">
        <v>488665</v>
      </c>
      <c r="B555">
        <v>100</v>
      </c>
      <c r="C555">
        <v>7</v>
      </c>
      <c r="D555">
        <v>4.3</v>
      </c>
      <c r="E555">
        <v>2.4</v>
      </c>
      <c r="F555">
        <v>4.3</v>
      </c>
      <c r="G555">
        <v>2.4</v>
      </c>
      <c r="H555">
        <v>9.7450000000000002E-3</v>
      </c>
      <c r="I555">
        <v>0.33094633858267719</v>
      </c>
      <c r="J555">
        <v>0.19996126141732279</v>
      </c>
      <c r="K555">
        <v>0.53090759999999992</v>
      </c>
      <c r="L555">
        <v>1.655052264808363</v>
      </c>
      <c r="M555">
        <v>0.3222372244094488</v>
      </c>
      <c r="N555">
        <v>0.22526123809055121</v>
      </c>
    </row>
    <row r="556" spans="1:14" x14ac:dyDescent="0.2">
      <c r="B556">
        <v>100</v>
      </c>
      <c r="C556">
        <v>7</v>
      </c>
      <c r="D556">
        <v>4.3499999999999996</v>
      </c>
      <c r="E556">
        <v>2.5499999999999998</v>
      </c>
      <c r="F556">
        <v>4.3499999999999996</v>
      </c>
      <c r="G556">
        <v>2.5499999999999998</v>
      </c>
      <c r="H556">
        <v>9.7450000000000002E-3</v>
      </c>
      <c r="I556">
        <v>0.3135281102362204</v>
      </c>
      <c r="J556">
        <v>0.25056121476377963</v>
      </c>
      <c r="K556">
        <v>0.56408932500000009</v>
      </c>
      <c r="L556">
        <v>1.2513034410844621</v>
      </c>
    </row>
    <row r="557" spans="1:14" x14ac:dyDescent="0.2">
      <c r="A557">
        <v>488666</v>
      </c>
      <c r="B557">
        <v>100</v>
      </c>
      <c r="C557">
        <v>6</v>
      </c>
      <c r="D557">
        <v>2.35</v>
      </c>
      <c r="E557">
        <v>1.25</v>
      </c>
      <c r="F557">
        <v>2.35</v>
      </c>
      <c r="G557">
        <v>1.25</v>
      </c>
      <c r="H557">
        <v>3.5767E-2</v>
      </c>
      <c r="I557">
        <v>0.70322991338582697</v>
      </c>
      <c r="J557">
        <v>0.31165871161417341</v>
      </c>
      <c r="K557">
        <v>1.0148886250000004</v>
      </c>
      <c r="L557">
        <v>2.2564102564102555</v>
      </c>
      <c r="M557">
        <v>0.70322991338582685</v>
      </c>
      <c r="N557">
        <v>0.29136093911417338</v>
      </c>
    </row>
    <row r="558" spans="1:14" x14ac:dyDescent="0.2">
      <c r="B558">
        <v>100</v>
      </c>
      <c r="C558">
        <v>6</v>
      </c>
      <c r="D558">
        <v>2.2999999999999998</v>
      </c>
      <c r="E558">
        <v>1.2</v>
      </c>
      <c r="F558">
        <v>2.2999999999999998</v>
      </c>
      <c r="G558">
        <v>1.2</v>
      </c>
      <c r="H558">
        <v>3.5767E-2</v>
      </c>
      <c r="I558">
        <v>0.70322991338582685</v>
      </c>
      <c r="J558">
        <v>0.2710631666141734</v>
      </c>
      <c r="K558">
        <v>0.97429308000000026</v>
      </c>
      <c r="L558">
        <v>2.5943396226415083</v>
      </c>
    </row>
    <row r="559" spans="1:14" x14ac:dyDescent="0.2">
      <c r="A559">
        <v>488667</v>
      </c>
      <c r="B559">
        <v>100</v>
      </c>
      <c r="C559">
        <v>6</v>
      </c>
      <c r="D559">
        <v>5.15</v>
      </c>
      <c r="E559">
        <v>2.5499999999999998</v>
      </c>
      <c r="F559">
        <v>5.15</v>
      </c>
      <c r="G559">
        <v>2.5499999999999998</v>
      </c>
      <c r="H559">
        <v>3.5767E-2</v>
      </c>
      <c r="I559">
        <v>1.662179795275591</v>
      </c>
      <c r="J559">
        <v>0.40819299972440937</v>
      </c>
      <c r="K559">
        <v>2.0703727950000004</v>
      </c>
      <c r="L559">
        <v>4.072043852779955</v>
      </c>
      <c r="M559">
        <v>1.6461972972440946</v>
      </c>
      <c r="N559">
        <v>0.42417549775590579</v>
      </c>
    </row>
    <row r="560" spans="1:14" x14ac:dyDescent="0.2">
      <c r="B560">
        <v>100</v>
      </c>
      <c r="C560">
        <v>6</v>
      </c>
      <c r="D560">
        <v>5.0999999999999996</v>
      </c>
      <c r="E560">
        <v>2.5499999999999998</v>
      </c>
      <c r="F560">
        <v>5.0999999999999996</v>
      </c>
      <c r="G560">
        <v>2.5499999999999998</v>
      </c>
      <c r="H560">
        <v>3.5767E-2</v>
      </c>
      <c r="I560">
        <v>1.6302147992125984</v>
      </c>
      <c r="J560">
        <v>0.44015799578740217</v>
      </c>
      <c r="K560">
        <v>2.0703727950000004</v>
      </c>
      <c r="L560">
        <v>3.7037037037036984</v>
      </c>
    </row>
    <row r="561" spans="1:14" x14ac:dyDescent="0.2">
      <c r="A561">
        <v>488668</v>
      </c>
      <c r="B561">
        <v>100</v>
      </c>
      <c r="C561">
        <v>6</v>
      </c>
      <c r="D561">
        <v>6</v>
      </c>
      <c r="E561">
        <v>2.9</v>
      </c>
      <c r="F561">
        <v>6</v>
      </c>
      <c r="G561">
        <v>2.9</v>
      </c>
      <c r="H561">
        <v>3.5767E-2</v>
      </c>
      <c r="I561">
        <v>1.981829755905512</v>
      </c>
      <c r="J561">
        <v>0.37271185409448843</v>
      </c>
      <c r="K561">
        <v>2.3545416100000005</v>
      </c>
      <c r="L561">
        <v>5.3173241852487108</v>
      </c>
      <c r="M561">
        <v>1.9658472578740158</v>
      </c>
      <c r="N561">
        <v>0.42928989712598431</v>
      </c>
    </row>
    <row r="562" spans="1:14" x14ac:dyDescent="0.2">
      <c r="B562">
        <v>100</v>
      </c>
      <c r="C562">
        <v>6</v>
      </c>
      <c r="D562">
        <v>6.05</v>
      </c>
      <c r="E562">
        <v>3</v>
      </c>
      <c r="F562">
        <v>6.05</v>
      </c>
      <c r="G562">
        <v>3</v>
      </c>
      <c r="H562">
        <v>3.5767E-2</v>
      </c>
      <c r="I562">
        <v>1.9498647598425196</v>
      </c>
      <c r="J562">
        <v>0.48586794015748019</v>
      </c>
      <c r="K562">
        <v>2.4357327</v>
      </c>
      <c r="L562">
        <v>4.0131578947368434</v>
      </c>
    </row>
    <row r="563" spans="1:14" x14ac:dyDescent="0.2">
      <c r="A563">
        <v>488669</v>
      </c>
      <c r="B563">
        <v>100</v>
      </c>
      <c r="C563">
        <v>6</v>
      </c>
      <c r="D563">
        <v>2.4</v>
      </c>
      <c r="E563">
        <v>1.4</v>
      </c>
      <c r="F563">
        <v>2.4</v>
      </c>
      <c r="G563">
        <v>1.4</v>
      </c>
      <c r="H563">
        <v>3.5767E-2</v>
      </c>
      <c r="I563">
        <v>0.63929992125984259</v>
      </c>
      <c r="J563">
        <v>0.49737533874015744</v>
      </c>
      <c r="K563">
        <v>1.1366752600000001</v>
      </c>
      <c r="L563">
        <v>1.2853470437017998</v>
      </c>
      <c r="M563">
        <v>0.65528241929133868</v>
      </c>
      <c r="N563">
        <v>0.48139284070866128</v>
      </c>
    </row>
    <row r="564" spans="1:14" x14ac:dyDescent="0.2">
      <c r="B564">
        <v>100</v>
      </c>
      <c r="C564">
        <v>6</v>
      </c>
      <c r="D564">
        <v>2.4500000000000002</v>
      </c>
      <c r="E564">
        <v>1.4</v>
      </c>
      <c r="F564">
        <v>2.4500000000000002</v>
      </c>
      <c r="G564">
        <v>1.4</v>
      </c>
      <c r="H564">
        <v>3.5767E-2</v>
      </c>
      <c r="I564">
        <v>0.67126491732283489</v>
      </c>
      <c r="J564">
        <v>0.46541034267716519</v>
      </c>
      <c r="K564">
        <v>1.1366752600000001</v>
      </c>
      <c r="L564">
        <v>1.4423076923076934</v>
      </c>
    </row>
    <row r="565" spans="1:14" x14ac:dyDescent="0.2">
      <c r="A565">
        <v>488670</v>
      </c>
      <c r="B565">
        <v>100</v>
      </c>
      <c r="C565">
        <v>6</v>
      </c>
      <c r="D565">
        <v>2.65</v>
      </c>
      <c r="E565">
        <v>1.5</v>
      </c>
      <c r="F565">
        <v>2.65</v>
      </c>
      <c r="G565">
        <v>1.5</v>
      </c>
      <c r="H565">
        <v>3.5767E-2</v>
      </c>
      <c r="I565">
        <v>0.73519490944881893</v>
      </c>
      <c r="J565">
        <v>0.482671440551181</v>
      </c>
      <c r="K565">
        <v>1.21786635</v>
      </c>
      <c r="L565">
        <v>1.5231788079470203</v>
      </c>
      <c r="M565">
        <v>0.75117740748031492</v>
      </c>
      <c r="N565">
        <v>0.48698671501968505</v>
      </c>
    </row>
    <row r="566" spans="1:14" x14ac:dyDescent="0.2">
      <c r="B566">
        <v>100</v>
      </c>
      <c r="C566">
        <v>6</v>
      </c>
      <c r="D566">
        <v>2.75</v>
      </c>
      <c r="E566">
        <v>1.55</v>
      </c>
      <c r="F566">
        <v>2.75</v>
      </c>
      <c r="G566">
        <v>1.55</v>
      </c>
      <c r="H566">
        <v>3.5767E-2</v>
      </c>
      <c r="I566">
        <v>0.7671599055118109</v>
      </c>
      <c r="J566">
        <v>0.49130198948818915</v>
      </c>
      <c r="K566">
        <v>1.2584618949999999</v>
      </c>
      <c r="L566">
        <v>1.5614834092387759</v>
      </c>
    </row>
    <row r="567" spans="1:14" x14ac:dyDescent="0.2">
      <c r="A567">
        <v>488671</v>
      </c>
      <c r="B567">
        <v>100</v>
      </c>
      <c r="C567">
        <v>6</v>
      </c>
      <c r="D567">
        <v>2.9</v>
      </c>
      <c r="E567">
        <v>1.55</v>
      </c>
      <c r="F567">
        <v>2.9</v>
      </c>
      <c r="G567">
        <v>1.55</v>
      </c>
      <c r="H567">
        <v>3.5767E-2</v>
      </c>
      <c r="I567">
        <v>0.86305489370078736</v>
      </c>
      <c r="J567">
        <v>0.39540700129921258</v>
      </c>
      <c r="K567">
        <v>1.2584618949999999</v>
      </c>
      <c r="L567">
        <v>2.182700080840744</v>
      </c>
      <c r="M567">
        <v>0.92698488582677174</v>
      </c>
      <c r="N567">
        <v>0.39237032667322841</v>
      </c>
    </row>
    <row r="568" spans="1:14" x14ac:dyDescent="0.2">
      <c r="B568">
        <v>100</v>
      </c>
      <c r="C568">
        <v>6</v>
      </c>
      <c r="D568">
        <v>3.25</v>
      </c>
      <c r="E568">
        <v>1.7</v>
      </c>
      <c r="F568">
        <v>3.25</v>
      </c>
      <c r="G568">
        <v>1.7</v>
      </c>
      <c r="H568">
        <v>3.5767E-2</v>
      </c>
      <c r="I568">
        <v>0.99091487795275601</v>
      </c>
      <c r="J568">
        <v>0.38933365204724424</v>
      </c>
      <c r="K568">
        <v>1.3802485300000003</v>
      </c>
      <c r="L568">
        <v>2.5451559934318548</v>
      </c>
    </row>
    <row r="569" spans="1:14" x14ac:dyDescent="0.2">
      <c r="A569">
        <v>488672</v>
      </c>
      <c r="B569">
        <v>100</v>
      </c>
      <c r="C569">
        <v>6</v>
      </c>
      <c r="D569">
        <v>3.75</v>
      </c>
      <c r="E569">
        <v>2</v>
      </c>
      <c r="F569">
        <v>3.75</v>
      </c>
      <c r="G569">
        <v>2</v>
      </c>
      <c r="H569">
        <v>3.5767E-2</v>
      </c>
      <c r="I569">
        <v>1.1187748622047244</v>
      </c>
      <c r="J569">
        <v>0.50504693779527576</v>
      </c>
      <c r="K569">
        <v>1.6238218000000002</v>
      </c>
      <c r="L569">
        <v>2.2151898734177209</v>
      </c>
      <c r="M569">
        <v>1.0708273681102363</v>
      </c>
      <c r="N569">
        <v>0.49210111438976389</v>
      </c>
    </row>
    <row r="570" spans="1:14" x14ac:dyDescent="0.2">
      <c r="B570">
        <v>100</v>
      </c>
      <c r="C570">
        <v>6</v>
      </c>
      <c r="D570">
        <v>3.45</v>
      </c>
      <c r="E570">
        <v>1.85</v>
      </c>
      <c r="F570">
        <v>3.45</v>
      </c>
      <c r="G570">
        <v>1.85</v>
      </c>
      <c r="H570">
        <v>3.5767E-2</v>
      </c>
      <c r="I570">
        <v>1.0228798740157481</v>
      </c>
      <c r="J570">
        <v>0.47915529098425202</v>
      </c>
      <c r="K570">
        <v>1.5020351650000001</v>
      </c>
      <c r="L570">
        <v>2.1347565043362242</v>
      </c>
    </row>
    <row r="571" spans="1:14" x14ac:dyDescent="0.2">
      <c r="A571">
        <v>488673</v>
      </c>
      <c r="B571">
        <v>100</v>
      </c>
      <c r="C571">
        <v>6</v>
      </c>
      <c r="D571">
        <v>3.3</v>
      </c>
      <c r="E571">
        <v>1.75</v>
      </c>
      <c r="F571">
        <v>3.3</v>
      </c>
      <c r="G571">
        <v>1.75</v>
      </c>
      <c r="H571">
        <v>3.5767E-2</v>
      </c>
      <c r="I571">
        <v>0.99091487795275579</v>
      </c>
      <c r="J571">
        <v>0.42992919704724403</v>
      </c>
      <c r="K571">
        <v>1.4208440749999998</v>
      </c>
      <c r="L571">
        <v>2.3048327137546467</v>
      </c>
      <c r="M571">
        <v>0.97493237992125992</v>
      </c>
      <c r="N571">
        <v>0.42561392257874009</v>
      </c>
    </row>
    <row r="572" spans="1:14" x14ac:dyDescent="0.2">
      <c r="B572">
        <v>100</v>
      </c>
      <c r="C572">
        <v>6</v>
      </c>
      <c r="D572">
        <v>3.2</v>
      </c>
      <c r="E572">
        <v>1.7</v>
      </c>
      <c r="F572">
        <v>3.2</v>
      </c>
      <c r="G572">
        <v>1.7</v>
      </c>
      <c r="H572">
        <v>3.5767E-2</v>
      </c>
      <c r="I572">
        <v>0.95894988188976393</v>
      </c>
      <c r="J572">
        <v>0.42129864811023621</v>
      </c>
      <c r="K572">
        <v>1.3802485300000003</v>
      </c>
      <c r="L572">
        <v>2.2761760242792115</v>
      </c>
    </row>
    <row r="573" spans="1:14" x14ac:dyDescent="0.2">
      <c r="A573">
        <v>488674</v>
      </c>
      <c r="B573">
        <v>100</v>
      </c>
      <c r="C573">
        <v>6</v>
      </c>
      <c r="D573">
        <v>3.25</v>
      </c>
      <c r="E573">
        <v>1.7</v>
      </c>
      <c r="F573">
        <v>3.25</v>
      </c>
      <c r="G573">
        <v>1.7</v>
      </c>
      <c r="H573">
        <v>3.5767E-2</v>
      </c>
      <c r="I573">
        <v>0.99091487795275601</v>
      </c>
      <c r="J573">
        <v>0.38933365204724424</v>
      </c>
      <c r="K573">
        <v>1.3802485300000003</v>
      </c>
      <c r="L573">
        <v>2.5451559934318548</v>
      </c>
      <c r="M573">
        <v>0.97493237992125992</v>
      </c>
      <c r="N573">
        <v>0.38501837757874036</v>
      </c>
    </row>
    <row r="574" spans="1:14" x14ac:dyDescent="0.2">
      <c r="B574">
        <v>100</v>
      </c>
      <c r="C574">
        <v>6</v>
      </c>
      <c r="D574">
        <v>3.15</v>
      </c>
      <c r="E574">
        <v>1.65</v>
      </c>
      <c r="F574">
        <v>3.15</v>
      </c>
      <c r="G574">
        <v>1.65</v>
      </c>
      <c r="H574">
        <v>3.5767E-2</v>
      </c>
      <c r="I574">
        <v>0.95894988188976371</v>
      </c>
      <c r="J574">
        <v>0.38070310311023642</v>
      </c>
      <c r="K574">
        <v>1.3396529850000001</v>
      </c>
      <c r="L574">
        <v>2.5188916876574292</v>
      </c>
    </row>
    <row r="575" spans="1:14" x14ac:dyDescent="0.2">
      <c r="A575">
        <v>488675</v>
      </c>
      <c r="B575">
        <v>100</v>
      </c>
      <c r="C575">
        <v>6</v>
      </c>
      <c r="D575">
        <v>3.35</v>
      </c>
      <c r="E575">
        <v>1.7</v>
      </c>
      <c r="F575">
        <v>3.35</v>
      </c>
      <c r="G575">
        <v>1.7</v>
      </c>
      <c r="H575">
        <v>3.5767E-2</v>
      </c>
      <c r="I575">
        <v>1.0548448700787403</v>
      </c>
      <c r="J575">
        <v>0.32540365992126008</v>
      </c>
      <c r="K575">
        <v>1.3802485300000003</v>
      </c>
      <c r="L575">
        <v>3.2416502946954795</v>
      </c>
      <c r="M575">
        <v>1.0868098661417323</v>
      </c>
      <c r="N575">
        <v>0.33403420885826807</v>
      </c>
    </row>
    <row r="576" spans="1:14" x14ac:dyDescent="0.2">
      <c r="B576">
        <v>100</v>
      </c>
      <c r="C576">
        <v>6</v>
      </c>
      <c r="D576">
        <v>3.55</v>
      </c>
      <c r="E576">
        <v>1.8</v>
      </c>
      <c r="F576">
        <v>3.55</v>
      </c>
      <c r="G576">
        <v>1.8</v>
      </c>
      <c r="H576">
        <v>3.5767E-2</v>
      </c>
      <c r="I576">
        <v>1.1187748622047244</v>
      </c>
      <c r="J576">
        <v>0.34266475779527605</v>
      </c>
      <c r="K576">
        <v>1.4614396200000006</v>
      </c>
      <c r="L576">
        <v>3.2649253731343242</v>
      </c>
    </row>
    <row r="577" spans="1:14" x14ac:dyDescent="0.2">
      <c r="A577">
        <v>488676</v>
      </c>
      <c r="B577">
        <v>100</v>
      </c>
      <c r="C577">
        <v>6</v>
      </c>
      <c r="D577">
        <v>3.45</v>
      </c>
      <c r="E577">
        <v>1.75</v>
      </c>
      <c r="F577">
        <v>3.45</v>
      </c>
      <c r="G577">
        <v>1.75</v>
      </c>
      <c r="H577">
        <v>3.5767E-2</v>
      </c>
      <c r="I577">
        <v>1.0868098661417325</v>
      </c>
      <c r="J577">
        <v>0.33403420885826746</v>
      </c>
      <c r="K577">
        <v>1.420844075</v>
      </c>
      <c r="L577">
        <v>3.2535885167464147</v>
      </c>
      <c r="M577">
        <v>1.0708273681102365</v>
      </c>
      <c r="N577">
        <v>0.32971893438976374</v>
      </c>
    </row>
    <row r="578" spans="1:14" x14ac:dyDescent="0.2">
      <c r="B578">
        <v>100</v>
      </c>
      <c r="C578">
        <v>6</v>
      </c>
      <c r="D578">
        <v>3.35</v>
      </c>
      <c r="E578">
        <v>1.7</v>
      </c>
      <c r="F578">
        <v>3.35</v>
      </c>
      <c r="G578">
        <v>1.7</v>
      </c>
      <c r="H578">
        <v>3.5767E-2</v>
      </c>
      <c r="I578">
        <v>1.0548448700787403</v>
      </c>
      <c r="J578">
        <v>0.32540365992126008</v>
      </c>
      <c r="K578">
        <v>1.3802485300000003</v>
      </c>
      <c r="L578">
        <v>3.2416502946954795</v>
      </c>
    </row>
    <row r="579" spans="1:14" x14ac:dyDescent="0.2">
      <c r="A579">
        <v>488677</v>
      </c>
      <c r="B579">
        <v>100</v>
      </c>
      <c r="C579">
        <v>8</v>
      </c>
      <c r="D579">
        <v>3.95</v>
      </c>
      <c r="E579">
        <v>2.65</v>
      </c>
      <c r="F579">
        <v>3.95</v>
      </c>
      <c r="G579">
        <v>2.65</v>
      </c>
      <c r="H579">
        <v>3.8630000000000001E-3</v>
      </c>
      <c r="I579">
        <v>8.9761519685039384E-2</v>
      </c>
      <c r="J579">
        <v>0.14261724531496059</v>
      </c>
      <c r="K579">
        <v>0.23237876499999999</v>
      </c>
      <c r="L579">
        <v>0.62938755749213293</v>
      </c>
      <c r="M579">
        <v>8.2856787401574816E-2</v>
      </c>
      <c r="N579">
        <v>0.14513747259842519</v>
      </c>
    </row>
    <row r="580" spans="1:14" x14ac:dyDescent="0.2">
      <c r="B580">
        <v>100</v>
      </c>
      <c r="C580">
        <v>8</v>
      </c>
      <c r="D580">
        <v>3.65</v>
      </c>
      <c r="E580">
        <v>2.5499999999999998</v>
      </c>
      <c r="F580">
        <v>3.65</v>
      </c>
      <c r="G580">
        <v>2.5499999999999998</v>
      </c>
      <c r="H580">
        <v>3.8630000000000001E-3</v>
      </c>
      <c r="I580">
        <v>7.5952055118110248E-2</v>
      </c>
      <c r="J580">
        <v>0.14765769988188976</v>
      </c>
      <c r="K580">
        <v>0.22360975500000002</v>
      </c>
      <c r="L580">
        <v>0.51437923778349315</v>
      </c>
    </row>
    <row r="581" spans="1:14" x14ac:dyDescent="0.2">
      <c r="A581">
        <v>488678</v>
      </c>
      <c r="B581">
        <v>100</v>
      </c>
      <c r="C581">
        <v>8</v>
      </c>
      <c r="D581">
        <v>4.5</v>
      </c>
      <c r="E581">
        <v>3.05</v>
      </c>
      <c r="F581">
        <v>4.5</v>
      </c>
      <c r="G581">
        <v>3.05</v>
      </c>
      <c r="H581">
        <v>3.8630000000000001E-3</v>
      </c>
      <c r="I581">
        <v>0.10011861811023623</v>
      </c>
      <c r="J581">
        <v>0.16733618688976371</v>
      </c>
      <c r="K581">
        <v>0.26745480499999996</v>
      </c>
      <c r="L581">
        <v>0.59830823189601845</v>
      </c>
      <c r="M581">
        <v>0.10529716732283464</v>
      </c>
      <c r="N581">
        <v>0.17969565767716533</v>
      </c>
    </row>
    <row r="582" spans="1:14" x14ac:dyDescent="0.2">
      <c r="B582">
        <v>100</v>
      </c>
      <c r="C582">
        <v>8</v>
      </c>
      <c r="D582">
        <v>5.05</v>
      </c>
      <c r="E582">
        <v>3.45</v>
      </c>
      <c r="F582">
        <v>5.05</v>
      </c>
      <c r="G582">
        <v>3.45</v>
      </c>
      <c r="H582">
        <v>3.8630000000000001E-3</v>
      </c>
      <c r="I582">
        <v>0.11047571653543306</v>
      </c>
      <c r="J582">
        <v>0.19205512846456696</v>
      </c>
      <c r="K582">
        <v>0.30253084500000005</v>
      </c>
      <c r="L582">
        <v>0.57522919288153862</v>
      </c>
    </row>
    <row r="583" spans="1:14" x14ac:dyDescent="0.2">
      <c r="A583">
        <v>488679</v>
      </c>
      <c r="B583">
        <v>100</v>
      </c>
      <c r="C583">
        <v>8</v>
      </c>
      <c r="D583">
        <v>6.6</v>
      </c>
      <c r="E583">
        <v>4.3499999999999996</v>
      </c>
      <c r="F583">
        <v>6.6</v>
      </c>
      <c r="G583">
        <v>4.3499999999999996</v>
      </c>
      <c r="H583">
        <v>3.8630000000000001E-3</v>
      </c>
      <c r="I583">
        <v>0.15535647637795277</v>
      </c>
      <c r="J583">
        <v>0.22609545862204719</v>
      </c>
      <c r="K583">
        <v>0.38145193499999996</v>
      </c>
      <c r="L583">
        <v>0.68712780577187382</v>
      </c>
      <c r="M583">
        <v>0.15363029330708664</v>
      </c>
      <c r="N583">
        <v>0.21466812669291338</v>
      </c>
    </row>
    <row r="584" spans="1:14" x14ac:dyDescent="0.2">
      <c r="B584">
        <v>100</v>
      </c>
      <c r="C584">
        <v>8</v>
      </c>
      <c r="D584">
        <v>6.25</v>
      </c>
      <c r="E584">
        <v>4.05</v>
      </c>
      <c r="F584">
        <v>6.25</v>
      </c>
      <c r="G584">
        <v>4.05</v>
      </c>
      <c r="H584">
        <v>3.8630000000000001E-3</v>
      </c>
      <c r="I584">
        <v>0.1519041102362205</v>
      </c>
      <c r="J584">
        <v>0.20324079476377957</v>
      </c>
      <c r="K584">
        <v>0.35514490500000007</v>
      </c>
      <c r="L584">
        <v>0.74740954645829794</v>
      </c>
    </row>
    <row r="585" spans="1:14" x14ac:dyDescent="0.2">
      <c r="A585">
        <v>488680</v>
      </c>
      <c r="B585">
        <v>100</v>
      </c>
      <c r="C585">
        <v>7</v>
      </c>
      <c r="D585">
        <v>3.55</v>
      </c>
      <c r="E585">
        <v>2.35</v>
      </c>
      <c r="F585">
        <v>3.55</v>
      </c>
      <c r="G585">
        <v>2.35</v>
      </c>
      <c r="H585">
        <v>9.7450000000000002E-3</v>
      </c>
      <c r="I585">
        <v>0.20901874015748029</v>
      </c>
      <c r="J585">
        <v>0.31082828484251979</v>
      </c>
      <c r="K585">
        <v>0.51984702500000002</v>
      </c>
      <c r="L585">
        <v>0.67245727094424179</v>
      </c>
      <c r="M585">
        <v>0.21772785433070863</v>
      </c>
      <c r="N585">
        <v>0.30211917066929139</v>
      </c>
    </row>
    <row r="586" spans="1:14" x14ac:dyDescent="0.2">
      <c r="B586">
        <v>100</v>
      </c>
      <c r="C586">
        <v>7</v>
      </c>
      <c r="D586">
        <v>3.65</v>
      </c>
      <c r="E586">
        <v>2.35</v>
      </c>
      <c r="F586">
        <v>3.65</v>
      </c>
      <c r="G586">
        <v>2.35</v>
      </c>
      <c r="H586">
        <v>9.7450000000000002E-3</v>
      </c>
      <c r="I586">
        <v>0.22643696850393699</v>
      </c>
      <c r="J586">
        <v>0.293410056496063</v>
      </c>
      <c r="K586">
        <v>0.51984702500000002</v>
      </c>
      <c r="L586">
        <v>0.77174235678242797</v>
      </c>
    </row>
    <row r="587" spans="1:14" x14ac:dyDescent="0.2">
      <c r="A587">
        <v>488681</v>
      </c>
      <c r="B587">
        <v>100</v>
      </c>
      <c r="C587">
        <v>7</v>
      </c>
      <c r="D587">
        <v>5.15</v>
      </c>
      <c r="E587">
        <v>3.25</v>
      </c>
      <c r="F587">
        <v>5.15</v>
      </c>
      <c r="G587">
        <v>3.25</v>
      </c>
      <c r="H587">
        <v>9.7450000000000002E-3</v>
      </c>
      <c r="I587">
        <v>0.33094633858267725</v>
      </c>
      <c r="J587">
        <v>0.38799103641732285</v>
      </c>
      <c r="K587">
        <v>0.7189373750000001</v>
      </c>
      <c r="L587">
        <v>0.85297418630751975</v>
      </c>
      <c r="M587">
        <v>0.33530089566929144</v>
      </c>
      <c r="N587">
        <v>0.38916676683070861</v>
      </c>
    </row>
    <row r="588" spans="1:14" x14ac:dyDescent="0.2">
      <c r="B588">
        <v>100</v>
      </c>
      <c r="C588">
        <v>7</v>
      </c>
      <c r="D588">
        <v>5.25</v>
      </c>
      <c r="E588">
        <v>3.3</v>
      </c>
      <c r="F588">
        <v>5.25</v>
      </c>
      <c r="G588">
        <v>3.3</v>
      </c>
      <c r="H588">
        <v>9.7450000000000002E-3</v>
      </c>
      <c r="I588">
        <v>0.33965545275590558</v>
      </c>
      <c r="J588">
        <v>0.39034249724409442</v>
      </c>
      <c r="K588">
        <v>0.72999795000000001</v>
      </c>
      <c r="L588">
        <v>0.87014725568942475</v>
      </c>
    </row>
    <row r="589" spans="1:14" x14ac:dyDescent="0.2">
      <c r="A589">
        <v>488682</v>
      </c>
      <c r="B589">
        <v>100</v>
      </c>
      <c r="C589">
        <v>6</v>
      </c>
      <c r="D589">
        <v>2.75</v>
      </c>
      <c r="E589">
        <v>1.45</v>
      </c>
      <c r="F589">
        <v>2.75</v>
      </c>
      <c r="G589">
        <v>1.45</v>
      </c>
      <c r="H589">
        <v>3.5767E-2</v>
      </c>
      <c r="I589">
        <v>0.83108989763779528</v>
      </c>
      <c r="J589">
        <v>0.34618090736220497</v>
      </c>
      <c r="K589">
        <v>1.1772708050000003</v>
      </c>
      <c r="L589">
        <v>2.4007386888273299</v>
      </c>
      <c r="M589">
        <v>0.81510739960629919</v>
      </c>
      <c r="N589">
        <v>0.34186563289370087</v>
      </c>
    </row>
    <row r="590" spans="1:14" x14ac:dyDescent="0.2">
      <c r="B590">
        <v>100</v>
      </c>
      <c r="C590">
        <v>6</v>
      </c>
      <c r="D590">
        <v>2.65</v>
      </c>
      <c r="E590">
        <v>1.4</v>
      </c>
      <c r="F590">
        <v>2.65</v>
      </c>
      <c r="G590">
        <v>1.4</v>
      </c>
      <c r="H590">
        <v>3.5767E-2</v>
      </c>
      <c r="I590">
        <v>0.7991249015748032</v>
      </c>
      <c r="J590">
        <v>0.33755035842519676</v>
      </c>
      <c r="K590">
        <v>1.1366752600000001</v>
      </c>
      <c r="L590">
        <v>2.3674242424242431</v>
      </c>
    </row>
    <row r="591" spans="1:14" x14ac:dyDescent="0.2">
      <c r="A591">
        <v>488683</v>
      </c>
      <c r="B591">
        <v>100</v>
      </c>
      <c r="C591">
        <v>7</v>
      </c>
      <c r="D591">
        <v>3.75</v>
      </c>
      <c r="E591">
        <v>1.9</v>
      </c>
      <c r="F591">
        <v>3.75</v>
      </c>
      <c r="G591">
        <v>1.9</v>
      </c>
      <c r="H591">
        <v>9.7450000000000002E-3</v>
      </c>
      <c r="I591">
        <v>0.32223722440944891</v>
      </c>
      <c r="J591">
        <v>9.8064625590551249E-2</v>
      </c>
      <c r="K591">
        <v>0.42030185000000014</v>
      </c>
      <c r="L591">
        <v>3.2859680284191817</v>
      </c>
      <c r="M591">
        <v>0.33094633858267725</v>
      </c>
      <c r="N591">
        <v>0.10594637391732287</v>
      </c>
    </row>
    <row r="592" spans="1:14" x14ac:dyDescent="0.2">
      <c r="B592">
        <v>100</v>
      </c>
      <c r="C592">
        <v>7</v>
      </c>
      <c r="D592">
        <v>4</v>
      </c>
      <c r="E592">
        <v>2.0499999999999998</v>
      </c>
      <c r="F592">
        <v>4</v>
      </c>
      <c r="G592">
        <v>2.0499999999999998</v>
      </c>
      <c r="H592">
        <v>9.7450000000000002E-3</v>
      </c>
      <c r="I592">
        <v>0.33965545275590558</v>
      </c>
      <c r="J592">
        <v>0.11382812224409448</v>
      </c>
      <c r="K592">
        <v>0.45348357500000008</v>
      </c>
      <c r="L592">
        <v>2.9839326702371851</v>
      </c>
    </row>
    <row r="593" spans="1:14" x14ac:dyDescent="0.2">
      <c r="A593">
        <v>488684</v>
      </c>
      <c r="B593">
        <v>100</v>
      </c>
      <c r="C593">
        <v>7</v>
      </c>
      <c r="D593">
        <v>3.45</v>
      </c>
      <c r="E593">
        <v>1.7</v>
      </c>
      <c r="F593">
        <v>3.45</v>
      </c>
      <c r="G593">
        <v>1.7</v>
      </c>
      <c r="H593">
        <v>9.7450000000000002E-3</v>
      </c>
      <c r="I593">
        <v>0.30481899606299218</v>
      </c>
      <c r="J593">
        <v>7.1240553937007858E-2</v>
      </c>
      <c r="K593">
        <v>0.37605955000000002</v>
      </c>
      <c r="L593">
        <v>4.2787286063569701</v>
      </c>
      <c r="M593">
        <v>0.30046443897637798</v>
      </c>
      <c r="N593">
        <v>7.0064823523622047E-2</v>
      </c>
    </row>
    <row r="594" spans="1:14" x14ac:dyDescent="0.2">
      <c r="B594">
        <v>100</v>
      </c>
      <c r="C594">
        <v>7</v>
      </c>
      <c r="D594">
        <v>3.35</v>
      </c>
      <c r="E594">
        <v>1.65</v>
      </c>
      <c r="F594">
        <v>3.35</v>
      </c>
      <c r="G594">
        <v>1.65</v>
      </c>
      <c r="H594">
        <v>9.7450000000000002E-3</v>
      </c>
      <c r="I594">
        <v>0.29610988188976384</v>
      </c>
      <c r="J594">
        <v>6.8889093110236235E-2</v>
      </c>
      <c r="K594">
        <v>0.36499897500000006</v>
      </c>
      <c r="L594">
        <v>4.298356510745891</v>
      </c>
    </row>
    <row r="595" spans="1:14" x14ac:dyDescent="0.2">
      <c r="A595">
        <v>488255</v>
      </c>
      <c r="B595">
        <v>100</v>
      </c>
      <c r="C595">
        <v>7</v>
      </c>
      <c r="D595">
        <v>3.75</v>
      </c>
      <c r="E595">
        <v>1.9</v>
      </c>
      <c r="F595">
        <v>3.75</v>
      </c>
      <c r="G595">
        <v>1.9</v>
      </c>
      <c r="H595">
        <v>9.7450000000000002E-3</v>
      </c>
      <c r="I595">
        <v>0.32223722440944891</v>
      </c>
      <c r="J595">
        <v>9.8064625590551249E-2</v>
      </c>
      <c r="K595">
        <v>0.42030185000000014</v>
      </c>
      <c r="L595">
        <v>3.2859680284191817</v>
      </c>
      <c r="M595">
        <v>0.31352811023622051</v>
      </c>
      <c r="N595">
        <v>9.5713164763779612E-2</v>
      </c>
    </row>
    <row r="596" spans="1:14" x14ac:dyDescent="0.2">
      <c r="B596">
        <v>100</v>
      </c>
      <c r="C596">
        <v>7</v>
      </c>
      <c r="D596">
        <v>3.55</v>
      </c>
      <c r="E596">
        <v>1.8</v>
      </c>
      <c r="F596">
        <v>3.55</v>
      </c>
      <c r="G596">
        <v>1.8</v>
      </c>
      <c r="H596">
        <v>9.7450000000000002E-3</v>
      </c>
      <c r="I596">
        <v>0.30481899606299212</v>
      </c>
      <c r="J596">
        <v>9.3361703937007989E-2</v>
      </c>
      <c r="K596">
        <v>0.39818070000000011</v>
      </c>
      <c r="L596">
        <v>3.2649253731343242</v>
      </c>
    </row>
    <row r="597" spans="1:14" x14ac:dyDescent="0.2">
      <c r="A597">
        <v>488686</v>
      </c>
      <c r="B597">
        <v>100</v>
      </c>
      <c r="C597">
        <v>8</v>
      </c>
      <c r="D597">
        <v>1</v>
      </c>
      <c r="E597">
        <v>0.75</v>
      </c>
      <c r="F597">
        <v>1</v>
      </c>
      <c r="G597">
        <v>0.75</v>
      </c>
      <c r="H597">
        <v>3.8630000000000001E-3</v>
      </c>
      <c r="I597">
        <v>1.726183070866142E-2</v>
      </c>
      <c r="J597">
        <v>4.8505744291338575E-2</v>
      </c>
      <c r="K597">
        <v>6.5767574999999995E-2</v>
      </c>
      <c r="L597">
        <v>0.35587188612099657</v>
      </c>
      <c r="M597">
        <v>1.7261830708661413E-2</v>
      </c>
      <c r="N597">
        <v>5.5082501791338584E-2</v>
      </c>
    </row>
    <row r="598" spans="1:14" x14ac:dyDescent="0.2">
      <c r="B598">
        <v>100</v>
      </c>
      <c r="C598">
        <v>8</v>
      </c>
      <c r="D598">
        <v>1.1499999999999999</v>
      </c>
      <c r="E598">
        <v>0.9</v>
      </c>
      <c r="F598">
        <v>1.1499999999999999</v>
      </c>
      <c r="G598">
        <v>0.9</v>
      </c>
      <c r="H598">
        <v>3.8630000000000001E-3</v>
      </c>
      <c r="I598">
        <v>1.726183070866141E-2</v>
      </c>
      <c r="J598">
        <v>6.1659259291338593E-2</v>
      </c>
      <c r="K598">
        <v>7.8921089999999999E-2</v>
      </c>
      <c r="L598">
        <v>0.27995520716685313</v>
      </c>
    </row>
    <row r="599" spans="1:14" x14ac:dyDescent="0.2">
      <c r="A599">
        <v>488687</v>
      </c>
      <c r="B599">
        <v>100</v>
      </c>
      <c r="C599">
        <v>8</v>
      </c>
      <c r="D599">
        <v>1.8</v>
      </c>
      <c r="E599">
        <v>1.4</v>
      </c>
      <c r="F599">
        <v>1.8</v>
      </c>
      <c r="G599">
        <v>1.4</v>
      </c>
      <c r="H599">
        <v>3.8630000000000001E-3</v>
      </c>
      <c r="I599">
        <v>2.7618929133858276E-2</v>
      </c>
      <c r="J599">
        <v>9.5147210866141738E-2</v>
      </c>
      <c r="K599">
        <v>0.12276614000000001</v>
      </c>
      <c r="L599">
        <v>0.29027576197387522</v>
      </c>
      <c r="M599">
        <v>3.1071295275590556E-2</v>
      </c>
      <c r="N599">
        <v>8.5118087224409472E-2</v>
      </c>
    </row>
    <row r="600" spans="1:14" x14ac:dyDescent="0.2">
      <c r="B600">
        <v>100</v>
      </c>
      <c r="C600">
        <v>8</v>
      </c>
      <c r="D600">
        <v>1.75</v>
      </c>
      <c r="E600">
        <v>1.25</v>
      </c>
      <c r="F600">
        <v>1.75</v>
      </c>
      <c r="G600">
        <v>1.25</v>
      </c>
      <c r="H600">
        <v>3.8630000000000001E-3</v>
      </c>
      <c r="I600">
        <v>3.452366141732284E-2</v>
      </c>
      <c r="J600">
        <v>7.5088963582677193E-2</v>
      </c>
      <c r="K600">
        <v>0.10961262500000003</v>
      </c>
      <c r="L600">
        <v>0.45977011494252862</v>
      </c>
    </row>
    <row r="601" spans="1:14" x14ac:dyDescent="0.2">
      <c r="A601">
        <v>488688</v>
      </c>
      <c r="B601">
        <v>100</v>
      </c>
      <c r="C601">
        <v>8</v>
      </c>
      <c r="D601">
        <v>3.3</v>
      </c>
      <c r="E601">
        <v>2.4</v>
      </c>
      <c r="F601">
        <v>3.3</v>
      </c>
      <c r="G601">
        <v>2.4</v>
      </c>
      <c r="H601">
        <v>3.8630000000000001E-3</v>
      </c>
      <c r="I601">
        <v>6.2142590551181091E-2</v>
      </c>
      <c r="J601">
        <v>0.14831364944881886</v>
      </c>
      <c r="K601">
        <v>0.21045623999999996</v>
      </c>
      <c r="L601">
        <v>0.41899441340782123</v>
      </c>
      <c r="M601">
        <v>6.9047322834645666E-2</v>
      </c>
      <c r="N601">
        <v>0.14798567466535431</v>
      </c>
    </row>
    <row r="602" spans="1:14" x14ac:dyDescent="0.2">
      <c r="B602">
        <v>100</v>
      </c>
      <c r="C602">
        <v>8</v>
      </c>
      <c r="D602">
        <v>3.65</v>
      </c>
      <c r="E602">
        <v>2.5499999999999998</v>
      </c>
      <c r="F602">
        <v>3.65</v>
      </c>
      <c r="G602">
        <v>2.5499999999999998</v>
      </c>
      <c r="H602">
        <v>3.8630000000000001E-3</v>
      </c>
      <c r="I602">
        <v>7.5952055118110248E-2</v>
      </c>
      <c r="J602">
        <v>0.14765769988188976</v>
      </c>
      <c r="K602">
        <v>0.22360975500000002</v>
      </c>
      <c r="L602">
        <v>0.51437923778349315</v>
      </c>
    </row>
    <row r="603" spans="1:14" x14ac:dyDescent="0.2">
      <c r="A603">
        <v>488689</v>
      </c>
      <c r="B603">
        <v>100</v>
      </c>
      <c r="C603">
        <v>8</v>
      </c>
      <c r="D603">
        <v>4.95</v>
      </c>
      <c r="E603">
        <v>3.35</v>
      </c>
      <c r="F603">
        <v>4.95</v>
      </c>
      <c r="G603">
        <v>3.35</v>
      </c>
      <c r="H603">
        <v>3.8630000000000001E-3</v>
      </c>
      <c r="I603">
        <v>0.11047571653543307</v>
      </c>
      <c r="J603">
        <v>0.18328611846456699</v>
      </c>
      <c r="K603">
        <v>0.29376183500000008</v>
      </c>
      <c r="L603">
        <v>0.60275004708984725</v>
      </c>
      <c r="M603">
        <v>0.11047571653543307</v>
      </c>
      <c r="N603">
        <v>0.19643963346456694</v>
      </c>
    </row>
    <row r="604" spans="1:14" x14ac:dyDescent="0.2">
      <c r="B604">
        <v>100</v>
      </c>
      <c r="C604">
        <v>8</v>
      </c>
      <c r="D604">
        <v>5.25</v>
      </c>
      <c r="E604">
        <v>3.65</v>
      </c>
      <c r="F604">
        <v>5.25</v>
      </c>
      <c r="G604">
        <v>3.65</v>
      </c>
      <c r="H604">
        <v>3.8630000000000001E-3</v>
      </c>
      <c r="I604">
        <v>0.11047571653543307</v>
      </c>
      <c r="J604">
        <v>0.20959314846456692</v>
      </c>
      <c r="K604">
        <v>0.32006886499999998</v>
      </c>
      <c r="L604">
        <v>0.52709603030802177</v>
      </c>
    </row>
    <row r="605" spans="1:14" x14ac:dyDescent="0.2">
      <c r="A605">
        <v>488690</v>
      </c>
      <c r="B605">
        <v>100</v>
      </c>
      <c r="C605">
        <v>7</v>
      </c>
      <c r="D605">
        <v>3.75</v>
      </c>
      <c r="E605">
        <v>2.2999999999999998</v>
      </c>
      <c r="F605">
        <v>3.75</v>
      </c>
      <c r="G605">
        <v>2.2999999999999998</v>
      </c>
      <c r="H605">
        <v>9.7450000000000002E-3</v>
      </c>
      <c r="I605">
        <v>0.25256431102362209</v>
      </c>
      <c r="J605">
        <v>0.25622213897637791</v>
      </c>
      <c r="K605">
        <v>0.50878645</v>
      </c>
      <c r="L605">
        <v>0.98572399728076177</v>
      </c>
      <c r="M605">
        <v>0.26562798228346463</v>
      </c>
      <c r="N605">
        <v>0.24868875521653544</v>
      </c>
    </row>
    <row r="606" spans="1:14" x14ac:dyDescent="0.2">
      <c r="B606">
        <v>100</v>
      </c>
      <c r="C606">
        <v>7</v>
      </c>
      <c r="D606">
        <v>3.95</v>
      </c>
      <c r="E606">
        <v>2.35</v>
      </c>
      <c r="F606">
        <v>3.95</v>
      </c>
      <c r="G606">
        <v>2.35</v>
      </c>
      <c r="H606">
        <v>9.7450000000000002E-3</v>
      </c>
      <c r="I606">
        <v>0.27869165354330711</v>
      </c>
      <c r="J606">
        <v>0.24115537145669294</v>
      </c>
      <c r="K606">
        <v>0.51984702500000002</v>
      </c>
      <c r="L606">
        <v>1.1556518598772119</v>
      </c>
    </row>
    <row r="607" spans="1:14" x14ac:dyDescent="0.2">
      <c r="A607">
        <v>488691</v>
      </c>
      <c r="B607">
        <v>100</v>
      </c>
      <c r="C607">
        <v>7</v>
      </c>
      <c r="D607">
        <v>4.55</v>
      </c>
      <c r="E607">
        <v>2.95</v>
      </c>
      <c r="F607">
        <v>4.55</v>
      </c>
      <c r="G607">
        <v>2.95</v>
      </c>
      <c r="H607">
        <v>9.7450000000000002E-3</v>
      </c>
      <c r="I607">
        <v>0.27869165354330705</v>
      </c>
      <c r="J607">
        <v>0.37388227145669312</v>
      </c>
      <c r="K607">
        <v>0.65257392500000022</v>
      </c>
      <c r="L607">
        <v>0.74539948753785179</v>
      </c>
      <c r="M607">
        <v>0.28740076771653544</v>
      </c>
      <c r="N607">
        <v>0.33752171978346468</v>
      </c>
    </row>
    <row r="608" spans="1:14" x14ac:dyDescent="0.2">
      <c r="B608">
        <v>100</v>
      </c>
      <c r="C608">
        <v>7</v>
      </c>
      <c r="D608">
        <v>4.4000000000000004</v>
      </c>
      <c r="E608">
        <v>2.7</v>
      </c>
      <c r="F608">
        <v>4.4000000000000004</v>
      </c>
      <c r="G608">
        <v>2.7</v>
      </c>
      <c r="H608">
        <v>9.7450000000000002E-3</v>
      </c>
      <c r="I608">
        <v>0.29610988188976384</v>
      </c>
      <c r="J608">
        <v>0.30116116811023624</v>
      </c>
      <c r="K608">
        <v>0.59727105000000003</v>
      </c>
      <c r="L608">
        <v>0.98322729901677286</v>
      </c>
    </row>
    <row r="609" spans="1:14" x14ac:dyDescent="0.2">
      <c r="A609">
        <v>488692</v>
      </c>
      <c r="B609">
        <v>100</v>
      </c>
      <c r="C609">
        <v>6</v>
      </c>
      <c r="D609">
        <v>2.5</v>
      </c>
      <c r="E609">
        <v>1.3</v>
      </c>
      <c r="F609">
        <v>2.5</v>
      </c>
      <c r="G609">
        <v>1.3</v>
      </c>
      <c r="H609">
        <v>3.5767E-2</v>
      </c>
      <c r="I609">
        <v>0.7671599055118109</v>
      </c>
      <c r="J609">
        <v>0.28832426448818893</v>
      </c>
      <c r="K609">
        <v>1.0554841699999997</v>
      </c>
      <c r="L609">
        <v>2.6607538802660753</v>
      </c>
      <c r="M609">
        <v>0.7991249015748032</v>
      </c>
      <c r="N609">
        <v>0.29695481342519681</v>
      </c>
    </row>
    <row r="610" spans="1:14" x14ac:dyDescent="0.2">
      <c r="B610">
        <v>100</v>
      </c>
      <c r="C610">
        <v>6</v>
      </c>
      <c r="D610">
        <v>2.7</v>
      </c>
      <c r="E610">
        <v>1.4</v>
      </c>
      <c r="F610">
        <v>2.7</v>
      </c>
      <c r="G610">
        <v>1.4</v>
      </c>
      <c r="H610">
        <v>3.5767E-2</v>
      </c>
      <c r="I610">
        <v>0.8310898976377955</v>
      </c>
      <c r="J610">
        <v>0.30558536236220474</v>
      </c>
      <c r="K610">
        <v>1.1366752600000003</v>
      </c>
      <c r="L610">
        <v>2.719665271966528</v>
      </c>
    </row>
    <row r="611" spans="1:14" x14ac:dyDescent="0.2">
      <c r="A611">
        <v>488693</v>
      </c>
      <c r="B611">
        <v>100</v>
      </c>
      <c r="C611">
        <v>7</v>
      </c>
      <c r="D611">
        <v>4.3</v>
      </c>
      <c r="E611">
        <v>2.25</v>
      </c>
      <c r="F611">
        <v>4.3</v>
      </c>
      <c r="G611">
        <v>2.25</v>
      </c>
      <c r="H611">
        <v>9.7450000000000002E-3</v>
      </c>
      <c r="I611">
        <v>0.35707368110236215</v>
      </c>
      <c r="J611">
        <v>0.14065219389763775</v>
      </c>
      <c r="K611">
        <v>0.49772587499999987</v>
      </c>
      <c r="L611">
        <v>2.5386996904024772</v>
      </c>
      <c r="M611">
        <v>0.36578279527559054</v>
      </c>
      <c r="N611">
        <v>0.13747336722440934</v>
      </c>
    </row>
    <row r="612" spans="1:14" x14ac:dyDescent="0.2">
      <c r="B612">
        <v>100</v>
      </c>
      <c r="C612">
        <v>7</v>
      </c>
      <c r="D612">
        <v>4.45</v>
      </c>
      <c r="E612">
        <v>2.2999999999999998</v>
      </c>
      <c r="F612">
        <v>4.45</v>
      </c>
      <c r="G612">
        <v>2.2999999999999998</v>
      </c>
      <c r="H612">
        <v>9.7450000000000002E-3</v>
      </c>
      <c r="I612">
        <v>0.37449190944881899</v>
      </c>
      <c r="J612">
        <v>0.13429454055118095</v>
      </c>
      <c r="K612">
        <v>0.50878644999999989</v>
      </c>
      <c r="L612">
        <v>2.7885862516212749</v>
      </c>
    </row>
    <row r="613" spans="1:14" x14ac:dyDescent="0.2">
      <c r="A613">
        <v>488694</v>
      </c>
      <c r="B613">
        <v>100</v>
      </c>
      <c r="C613">
        <v>7</v>
      </c>
      <c r="D613">
        <v>3.45</v>
      </c>
      <c r="E613">
        <v>1.75</v>
      </c>
      <c r="F613">
        <v>3.45</v>
      </c>
      <c r="G613">
        <v>1.75</v>
      </c>
      <c r="H613">
        <v>9.7450000000000002E-3</v>
      </c>
      <c r="I613">
        <v>0.29610988188976384</v>
      </c>
      <c r="J613">
        <v>9.1010243110236158E-2</v>
      </c>
      <c r="K613">
        <v>0.38712012499999998</v>
      </c>
      <c r="L613">
        <v>3.2535885167464142</v>
      </c>
      <c r="M613">
        <v>0.29610988188976384</v>
      </c>
      <c r="N613">
        <v>9.6540530610236236E-2</v>
      </c>
    </row>
    <row r="614" spans="1:14" x14ac:dyDescent="0.2">
      <c r="B614">
        <v>100</v>
      </c>
      <c r="C614">
        <v>7</v>
      </c>
      <c r="D614">
        <v>3.5</v>
      </c>
      <c r="E614">
        <v>1.8</v>
      </c>
      <c r="F614">
        <v>3.5</v>
      </c>
      <c r="G614">
        <v>1.8</v>
      </c>
      <c r="H614">
        <v>9.7450000000000002E-3</v>
      </c>
      <c r="I614">
        <v>0.29610988188976378</v>
      </c>
      <c r="J614">
        <v>0.10207081811023631</v>
      </c>
      <c r="K614">
        <v>0.39818070000000011</v>
      </c>
      <c r="L614">
        <v>2.9010238907849804</v>
      </c>
    </row>
    <row r="615" spans="1:14" x14ac:dyDescent="0.2">
      <c r="A615">
        <v>488697</v>
      </c>
      <c r="B615">
        <v>100</v>
      </c>
      <c r="C615">
        <v>8</v>
      </c>
      <c r="D615">
        <v>0.75</v>
      </c>
      <c r="E615">
        <v>0.5</v>
      </c>
      <c r="F615">
        <v>0.75</v>
      </c>
      <c r="G615">
        <v>0.5</v>
      </c>
      <c r="H615">
        <v>3.8630000000000001E-3</v>
      </c>
      <c r="I615">
        <v>1.726183070866142E-2</v>
      </c>
      <c r="J615">
        <v>2.6583219291338583E-2</v>
      </c>
      <c r="K615">
        <v>4.3845050000000003E-2</v>
      </c>
      <c r="L615">
        <v>0.64935064935064946</v>
      </c>
      <c r="M615">
        <v>1.3809464566929133E-2</v>
      </c>
      <c r="N615">
        <v>2.7843332933070869E-2</v>
      </c>
    </row>
    <row r="616" spans="1:14" x14ac:dyDescent="0.2">
      <c r="B616">
        <v>100</v>
      </c>
      <c r="C616">
        <v>8</v>
      </c>
      <c r="D616">
        <v>0.6</v>
      </c>
      <c r="E616">
        <v>0.45</v>
      </c>
      <c r="F616">
        <v>0.6</v>
      </c>
      <c r="G616">
        <v>0.45</v>
      </c>
      <c r="H616">
        <v>3.8630000000000001E-3</v>
      </c>
      <c r="I616">
        <v>1.0357098425196847E-2</v>
      </c>
      <c r="J616">
        <v>2.9103446574803155E-2</v>
      </c>
      <c r="K616">
        <v>3.9460545E-2</v>
      </c>
      <c r="L616">
        <v>0.35587188612099624</v>
      </c>
    </row>
    <row r="617" spans="1:14" x14ac:dyDescent="0.2">
      <c r="A617">
        <v>488698</v>
      </c>
      <c r="B617">
        <v>100</v>
      </c>
      <c r="C617">
        <v>8</v>
      </c>
      <c r="D617">
        <v>0.75</v>
      </c>
      <c r="E617">
        <v>0.5</v>
      </c>
      <c r="F617">
        <v>0.75</v>
      </c>
      <c r="G617">
        <v>0.5</v>
      </c>
      <c r="H617">
        <v>3.8630000000000001E-3</v>
      </c>
      <c r="I617">
        <v>1.726183070866142E-2</v>
      </c>
      <c r="J617">
        <v>2.6583219291338583E-2</v>
      </c>
      <c r="K617">
        <v>4.3845050000000003E-2</v>
      </c>
      <c r="L617">
        <v>0.64935064935064946</v>
      </c>
      <c r="M617">
        <v>1.726183070866142E-2</v>
      </c>
      <c r="N617">
        <v>2.8775471791338585E-2</v>
      </c>
    </row>
    <row r="618" spans="1:14" x14ac:dyDescent="0.2">
      <c r="B618">
        <v>100</v>
      </c>
      <c r="C618">
        <v>8</v>
      </c>
      <c r="D618">
        <v>0.8</v>
      </c>
      <c r="E618">
        <v>0.55000000000000004</v>
      </c>
      <c r="F618">
        <v>0.8</v>
      </c>
      <c r="G618">
        <v>0.55000000000000004</v>
      </c>
      <c r="H618">
        <v>3.8630000000000001E-3</v>
      </c>
      <c r="I618">
        <v>1.726183070866142E-2</v>
      </c>
      <c r="J618">
        <v>3.0967724291338587E-2</v>
      </c>
      <c r="K618">
        <v>4.8229555000000007E-2</v>
      </c>
      <c r="L618">
        <v>0.55741360089186176</v>
      </c>
    </row>
    <row r="619" spans="1:14" x14ac:dyDescent="0.2">
      <c r="A619">
        <v>488699</v>
      </c>
      <c r="B619">
        <v>100</v>
      </c>
      <c r="C619">
        <v>8</v>
      </c>
      <c r="D619">
        <v>1.6</v>
      </c>
      <c r="E619">
        <v>1.1000000000000001</v>
      </c>
      <c r="F619">
        <v>1.6</v>
      </c>
      <c r="G619">
        <v>1.1000000000000001</v>
      </c>
      <c r="H619">
        <v>3.8630000000000001E-3</v>
      </c>
      <c r="I619">
        <v>3.452366141732284E-2</v>
      </c>
      <c r="J619">
        <v>6.1935448582677174E-2</v>
      </c>
      <c r="K619">
        <v>9.6459110000000015E-2</v>
      </c>
      <c r="L619">
        <v>0.55741360089186176</v>
      </c>
      <c r="M619">
        <v>3.9702210629921263E-2</v>
      </c>
      <c r="N619">
        <v>6.5525909370078739E-2</v>
      </c>
    </row>
    <row r="620" spans="1:14" x14ac:dyDescent="0.2">
      <c r="B620">
        <v>100</v>
      </c>
      <c r="C620">
        <v>8</v>
      </c>
      <c r="D620">
        <v>1.95</v>
      </c>
      <c r="E620">
        <v>1.3</v>
      </c>
      <c r="F620">
        <v>1.95</v>
      </c>
      <c r="G620">
        <v>1.3</v>
      </c>
      <c r="H620">
        <v>3.8630000000000001E-3</v>
      </c>
      <c r="I620">
        <v>4.4880759842519685E-2</v>
      </c>
      <c r="J620">
        <v>6.9116370157480303E-2</v>
      </c>
      <c r="K620">
        <v>0.11399712999999999</v>
      </c>
      <c r="L620">
        <v>0.64935064935064946</v>
      </c>
    </row>
    <row r="621" spans="1:14" x14ac:dyDescent="0.2">
      <c r="A621">
        <v>488700</v>
      </c>
      <c r="B621">
        <v>100</v>
      </c>
      <c r="C621">
        <v>8</v>
      </c>
      <c r="D621">
        <v>4.3499999999999996</v>
      </c>
      <c r="E621">
        <v>2.75</v>
      </c>
      <c r="F621">
        <v>4.3499999999999996</v>
      </c>
      <c r="G621">
        <v>2.75</v>
      </c>
      <c r="H621">
        <v>3.8630000000000001E-3</v>
      </c>
      <c r="I621">
        <v>0.11047571653543306</v>
      </c>
      <c r="J621">
        <v>0.13067205846456698</v>
      </c>
      <c r="K621">
        <v>0.24114777500000004</v>
      </c>
      <c r="L621">
        <v>0.84544253632760857</v>
      </c>
      <c r="M621">
        <v>0.11392808267716537</v>
      </c>
      <c r="N621">
        <v>0.14037320732283465</v>
      </c>
    </row>
    <row r="622" spans="1:14" x14ac:dyDescent="0.2">
      <c r="B622">
        <v>100</v>
      </c>
      <c r="C622">
        <v>8</v>
      </c>
      <c r="D622">
        <v>4.75</v>
      </c>
      <c r="E622">
        <v>3.05</v>
      </c>
      <c r="F622">
        <v>4.75</v>
      </c>
      <c r="G622">
        <v>3.05</v>
      </c>
      <c r="H622">
        <v>3.8630000000000001E-3</v>
      </c>
      <c r="I622">
        <v>0.11738044881889766</v>
      </c>
      <c r="J622">
        <v>0.15007435618110232</v>
      </c>
      <c r="K622">
        <v>0.26745480499999996</v>
      </c>
      <c r="L622">
        <v>0.78214860823556509</v>
      </c>
    </row>
    <row r="623" spans="1:14" x14ac:dyDescent="0.2">
      <c r="A623">
        <v>488701</v>
      </c>
      <c r="B623">
        <v>100</v>
      </c>
      <c r="C623">
        <v>7</v>
      </c>
      <c r="D623">
        <v>4.3</v>
      </c>
      <c r="E623">
        <v>2.5499999999999998</v>
      </c>
      <c r="F623">
        <v>4.3</v>
      </c>
      <c r="G623">
        <v>2.5499999999999998</v>
      </c>
      <c r="H623">
        <v>9.7450000000000002E-3</v>
      </c>
      <c r="I623">
        <v>0.30481899606299218</v>
      </c>
      <c r="J623">
        <v>0.25927032893700791</v>
      </c>
      <c r="K623">
        <v>0.56408932500000009</v>
      </c>
      <c r="L623">
        <v>1.1756802149815251</v>
      </c>
      <c r="M623">
        <v>0.30481899606299223</v>
      </c>
      <c r="N623">
        <v>0.27033090393700782</v>
      </c>
    </row>
    <row r="624" spans="1:14" x14ac:dyDescent="0.2">
      <c r="B624">
        <v>100</v>
      </c>
      <c r="C624">
        <v>7</v>
      </c>
      <c r="D624">
        <v>4.4000000000000004</v>
      </c>
      <c r="E624">
        <v>2.65</v>
      </c>
      <c r="F624">
        <v>4.4000000000000004</v>
      </c>
      <c r="G624">
        <v>2.65</v>
      </c>
      <c r="H624">
        <v>9.7450000000000002E-3</v>
      </c>
      <c r="I624">
        <v>0.30481899606299223</v>
      </c>
      <c r="J624">
        <v>0.28139147893700772</v>
      </c>
      <c r="K624">
        <v>0.5862104749999999</v>
      </c>
      <c r="L624">
        <v>1.0832559579077694</v>
      </c>
    </row>
    <row r="625" spans="1:14" x14ac:dyDescent="0.2">
      <c r="A625">
        <v>488702</v>
      </c>
      <c r="B625">
        <v>100</v>
      </c>
      <c r="C625">
        <v>7</v>
      </c>
      <c r="D625">
        <v>7</v>
      </c>
      <c r="E625">
        <v>4</v>
      </c>
      <c r="F625">
        <v>7</v>
      </c>
      <c r="G625">
        <v>4</v>
      </c>
      <c r="H625">
        <v>9.7450000000000002E-3</v>
      </c>
      <c r="I625">
        <v>0.52254685039370086</v>
      </c>
      <c r="J625">
        <v>0.36229914960629939</v>
      </c>
      <c r="K625">
        <v>0.88484600000000024</v>
      </c>
      <c r="L625">
        <v>1.4423076923076918</v>
      </c>
      <c r="M625">
        <v>0.53125596456692925</v>
      </c>
      <c r="N625">
        <v>0.39783233543307106</v>
      </c>
    </row>
    <row r="626" spans="1:14" x14ac:dyDescent="0.2">
      <c r="B626">
        <v>100</v>
      </c>
      <c r="C626">
        <v>7</v>
      </c>
      <c r="D626">
        <v>7.5</v>
      </c>
      <c r="E626">
        <v>4.4000000000000004</v>
      </c>
      <c r="F626">
        <v>7.5</v>
      </c>
      <c r="G626">
        <v>4.4000000000000004</v>
      </c>
      <c r="H626">
        <v>9.7450000000000002E-3</v>
      </c>
      <c r="I626">
        <v>0.53996507874015753</v>
      </c>
      <c r="J626">
        <v>0.43336552125984279</v>
      </c>
      <c r="K626">
        <v>0.97333060000000038</v>
      </c>
      <c r="L626">
        <v>1.2459807073954978</v>
      </c>
    </row>
    <row r="627" spans="1:14" x14ac:dyDescent="0.2">
      <c r="A627">
        <v>488703</v>
      </c>
      <c r="B627">
        <v>100</v>
      </c>
      <c r="C627">
        <v>7</v>
      </c>
      <c r="D627">
        <v>4.4000000000000004</v>
      </c>
      <c r="E627">
        <v>2.4</v>
      </c>
      <c r="F627">
        <v>4.4000000000000004</v>
      </c>
      <c r="G627">
        <v>2.4</v>
      </c>
      <c r="H627">
        <v>9.7450000000000002E-3</v>
      </c>
      <c r="I627">
        <v>0.34836456692913392</v>
      </c>
      <c r="J627">
        <v>0.18254303307086606</v>
      </c>
      <c r="K627">
        <v>0.53090759999999992</v>
      </c>
      <c r="L627">
        <v>1.9083969465648867</v>
      </c>
      <c r="M627">
        <v>0.35707368110236226</v>
      </c>
      <c r="N627">
        <v>0.16277334389763767</v>
      </c>
    </row>
    <row r="628" spans="1:14" x14ac:dyDescent="0.2">
      <c r="B628">
        <v>100</v>
      </c>
      <c r="C628">
        <v>7</v>
      </c>
      <c r="D628">
        <v>4.4000000000000004</v>
      </c>
      <c r="E628">
        <v>2.2999999999999998</v>
      </c>
      <c r="F628">
        <v>4.4000000000000004</v>
      </c>
      <c r="G628">
        <v>2.2999999999999998</v>
      </c>
      <c r="H628">
        <v>9.7450000000000002E-3</v>
      </c>
      <c r="I628">
        <v>0.3657827952755906</v>
      </c>
      <c r="J628">
        <v>0.14300365472440929</v>
      </c>
      <c r="K628">
        <v>0.50878644999999989</v>
      </c>
      <c r="L628">
        <v>2.5578562728380057</v>
      </c>
    </row>
    <row r="629" spans="1:14" x14ac:dyDescent="0.2">
      <c r="A629">
        <v>488704</v>
      </c>
      <c r="B629">
        <v>100</v>
      </c>
      <c r="C629">
        <v>7</v>
      </c>
      <c r="D629">
        <v>3.05</v>
      </c>
      <c r="E629">
        <v>1.6</v>
      </c>
      <c r="F629">
        <v>3.05</v>
      </c>
      <c r="G629">
        <v>1.6</v>
      </c>
      <c r="H629">
        <v>9.7450000000000002E-3</v>
      </c>
      <c r="I629">
        <v>0.25256431102362198</v>
      </c>
      <c r="J629">
        <v>0.10137408897637804</v>
      </c>
      <c r="K629">
        <v>0.35393839999999999</v>
      </c>
      <c r="L629">
        <v>2.4914089347079011</v>
      </c>
      <c r="M629">
        <v>0.25691886811023623</v>
      </c>
      <c r="N629">
        <v>0.10254981938976386</v>
      </c>
    </row>
    <row r="630" spans="1:14" x14ac:dyDescent="0.2">
      <c r="B630">
        <v>100</v>
      </c>
      <c r="C630">
        <v>7</v>
      </c>
      <c r="D630">
        <v>3.15</v>
      </c>
      <c r="E630">
        <v>1.65</v>
      </c>
      <c r="F630">
        <v>3.15</v>
      </c>
      <c r="G630">
        <v>1.65</v>
      </c>
      <c r="H630">
        <v>9.7450000000000002E-3</v>
      </c>
      <c r="I630">
        <v>0.26127342519685043</v>
      </c>
      <c r="J630">
        <v>0.10372554980314969</v>
      </c>
      <c r="K630">
        <v>0.36499897500000011</v>
      </c>
      <c r="L630">
        <v>2.5188916876574292</v>
      </c>
    </row>
    <row r="631" spans="1:14" x14ac:dyDescent="0.2">
      <c r="A631">
        <v>488705</v>
      </c>
      <c r="B631">
        <v>100</v>
      </c>
      <c r="C631">
        <v>7</v>
      </c>
      <c r="D631">
        <v>2.65</v>
      </c>
      <c r="E631">
        <v>1.35</v>
      </c>
      <c r="F631">
        <v>2.65</v>
      </c>
      <c r="G631">
        <v>1.35</v>
      </c>
      <c r="H631">
        <v>9.7450000000000002E-3</v>
      </c>
      <c r="I631">
        <v>0.22643696850393699</v>
      </c>
      <c r="J631">
        <v>7.2198556496063035E-2</v>
      </c>
      <c r="K631">
        <v>0.29863552500000001</v>
      </c>
      <c r="L631">
        <v>3.1363088057901063</v>
      </c>
      <c r="M631">
        <v>0.22643696850393705</v>
      </c>
      <c r="N631">
        <v>7.7728843996063002E-2</v>
      </c>
    </row>
    <row r="632" spans="1:14" x14ac:dyDescent="0.2">
      <c r="B632">
        <v>100</v>
      </c>
      <c r="C632">
        <v>7</v>
      </c>
      <c r="D632">
        <v>2.7</v>
      </c>
      <c r="E632">
        <v>1.4</v>
      </c>
      <c r="F632">
        <v>2.7</v>
      </c>
      <c r="G632">
        <v>1.4</v>
      </c>
      <c r="H632">
        <v>9.7450000000000002E-3</v>
      </c>
      <c r="I632">
        <v>0.2264369685039371</v>
      </c>
      <c r="J632">
        <v>8.3259131496062982E-2</v>
      </c>
      <c r="K632">
        <v>0.30969610000000009</v>
      </c>
      <c r="L632">
        <v>2.7196652719665289</v>
      </c>
    </row>
    <row r="633" spans="1:14" x14ac:dyDescent="0.2">
      <c r="A633">
        <v>488707</v>
      </c>
      <c r="B633">
        <v>100</v>
      </c>
      <c r="C633">
        <v>8</v>
      </c>
      <c r="D633">
        <v>0.55000000000000004</v>
      </c>
      <c r="E633">
        <v>0.4</v>
      </c>
      <c r="F633">
        <v>0.55000000000000004</v>
      </c>
      <c r="G633">
        <v>0.4</v>
      </c>
      <c r="H633">
        <v>3.8630000000000001E-3</v>
      </c>
      <c r="I633">
        <v>1.0357098425196852E-2</v>
      </c>
      <c r="J633">
        <v>2.4718941574803147E-2</v>
      </c>
      <c r="K633">
        <v>3.5076040000000003E-2</v>
      </c>
      <c r="L633">
        <v>0.41899441340782134</v>
      </c>
      <c r="M633">
        <v>1.0357098425196852E-2</v>
      </c>
      <c r="N633">
        <v>2.4718941574803147E-2</v>
      </c>
    </row>
    <row r="634" spans="1:14" x14ac:dyDescent="0.2">
      <c r="B634">
        <v>100</v>
      </c>
      <c r="C634">
        <v>8</v>
      </c>
      <c r="D634">
        <v>0.55000000000000004</v>
      </c>
      <c r="E634">
        <v>0.4</v>
      </c>
      <c r="F634">
        <v>0.55000000000000004</v>
      </c>
      <c r="G634">
        <v>0.4</v>
      </c>
      <c r="H634">
        <v>3.8630000000000001E-3</v>
      </c>
      <c r="I634">
        <v>1.0357098425196852E-2</v>
      </c>
      <c r="J634">
        <v>2.4718941574803147E-2</v>
      </c>
      <c r="K634">
        <v>3.5076040000000003E-2</v>
      </c>
      <c r="L634">
        <v>0.41899441340782134</v>
      </c>
    </row>
    <row r="635" spans="1:14" x14ac:dyDescent="0.2">
      <c r="A635">
        <v>488708</v>
      </c>
      <c r="B635">
        <v>100</v>
      </c>
      <c r="C635">
        <v>8</v>
      </c>
      <c r="D635">
        <v>0.75</v>
      </c>
      <c r="E635">
        <v>0.5</v>
      </c>
      <c r="F635">
        <v>0.75</v>
      </c>
      <c r="G635">
        <v>0.5</v>
      </c>
      <c r="H635">
        <v>3.8630000000000001E-3</v>
      </c>
      <c r="I635">
        <v>1.726183070866142E-2</v>
      </c>
      <c r="J635">
        <v>2.6583219291338583E-2</v>
      </c>
      <c r="K635">
        <v>4.3845050000000003E-2</v>
      </c>
      <c r="L635">
        <v>0.64935064935064946</v>
      </c>
      <c r="M635">
        <v>1.8988013779527559E-2</v>
      </c>
      <c r="N635">
        <v>2.2664783720472446E-2</v>
      </c>
    </row>
    <row r="636" spans="1:14" x14ac:dyDescent="0.2">
      <c r="B636">
        <v>100</v>
      </c>
      <c r="C636">
        <v>8</v>
      </c>
      <c r="D636">
        <v>0.75</v>
      </c>
      <c r="E636">
        <v>0.45</v>
      </c>
      <c r="F636">
        <v>0.75</v>
      </c>
      <c r="G636">
        <v>0.45</v>
      </c>
      <c r="H636">
        <v>3.8630000000000001E-3</v>
      </c>
      <c r="I636">
        <v>2.0714196850393697E-2</v>
      </c>
      <c r="J636">
        <v>1.8746348149606306E-2</v>
      </c>
      <c r="K636">
        <v>3.9460545E-2</v>
      </c>
      <c r="L636">
        <v>1.1049723756906071</v>
      </c>
    </row>
    <row r="637" spans="1:14" x14ac:dyDescent="0.2">
      <c r="A637">
        <v>488709</v>
      </c>
      <c r="B637">
        <v>100</v>
      </c>
      <c r="C637">
        <v>8</v>
      </c>
      <c r="D637">
        <v>5.7</v>
      </c>
      <c r="E637">
        <v>3.6</v>
      </c>
      <c r="F637">
        <v>5.7</v>
      </c>
      <c r="G637">
        <v>3.6</v>
      </c>
      <c r="H637">
        <v>3.8630000000000001E-3</v>
      </c>
      <c r="I637">
        <v>0.14499937795275591</v>
      </c>
      <c r="J637">
        <v>0.17068498204724411</v>
      </c>
      <c r="K637">
        <v>0.31568436</v>
      </c>
      <c r="L637">
        <v>0.84951456310679607</v>
      </c>
      <c r="M637">
        <v>0.14672556102362205</v>
      </c>
      <c r="N637">
        <v>0.16895879897637797</v>
      </c>
    </row>
    <row r="638" spans="1:14" x14ac:dyDescent="0.2">
      <c r="B638">
        <v>100</v>
      </c>
      <c r="C638">
        <v>8</v>
      </c>
      <c r="D638">
        <v>5.75</v>
      </c>
      <c r="E638">
        <v>3.6</v>
      </c>
      <c r="F638">
        <v>5.75</v>
      </c>
      <c r="G638">
        <v>3.6</v>
      </c>
      <c r="H638">
        <v>3.8630000000000001E-3</v>
      </c>
      <c r="I638">
        <v>0.14845174409448819</v>
      </c>
      <c r="J638">
        <v>0.16723261590551183</v>
      </c>
      <c r="K638">
        <v>0.31568436</v>
      </c>
      <c r="L638">
        <v>0.88769611890999167</v>
      </c>
    </row>
    <row r="639" spans="1:14" x14ac:dyDescent="0.2">
      <c r="A639">
        <v>488710</v>
      </c>
      <c r="B639">
        <v>100</v>
      </c>
      <c r="C639">
        <v>7</v>
      </c>
      <c r="D639">
        <v>4.5999999999999996</v>
      </c>
      <c r="E639">
        <v>2.7</v>
      </c>
      <c r="F639">
        <v>4.5999999999999996</v>
      </c>
      <c r="G639">
        <v>2.7</v>
      </c>
      <c r="H639">
        <v>9.7450000000000002E-3</v>
      </c>
      <c r="I639">
        <v>0.33094633858267714</v>
      </c>
      <c r="J639">
        <v>0.26632471141732295</v>
      </c>
      <c r="K639">
        <v>0.59727105000000003</v>
      </c>
      <c r="L639">
        <v>1.2426422498364937</v>
      </c>
      <c r="M639">
        <v>0.34401000984251962</v>
      </c>
      <c r="N639">
        <v>0.26432161515748043</v>
      </c>
    </row>
    <row r="640" spans="1:14" x14ac:dyDescent="0.2">
      <c r="B640">
        <v>100</v>
      </c>
      <c r="C640">
        <v>7</v>
      </c>
      <c r="D640">
        <v>4.8499999999999996</v>
      </c>
      <c r="E640">
        <v>2.8</v>
      </c>
      <c r="F640">
        <v>4.8499999999999996</v>
      </c>
      <c r="G640">
        <v>2.8</v>
      </c>
      <c r="H640">
        <v>9.7450000000000002E-3</v>
      </c>
      <c r="I640">
        <v>0.35707368110236215</v>
      </c>
      <c r="J640">
        <v>0.26231851889763785</v>
      </c>
      <c r="K640">
        <v>0.61939220000000006</v>
      </c>
      <c r="L640">
        <v>1.3612217795484722</v>
      </c>
    </row>
    <row r="641" spans="1:14" x14ac:dyDescent="0.2">
      <c r="A641">
        <v>488711</v>
      </c>
      <c r="B641">
        <v>100</v>
      </c>
      <c r="C641">
        <v>6</v>
      </c>
      <c r="D641">
        <v>3.3</v>
      </c>
      <c r="E641">
        <v>1.75</v>
      </c>
      <c r="F641">
        <v>3.3</v>
      </c>
      <c r="G641">
        <v>1.75</v>
      </c>
      <c r="H641">
        <v>3.5767E-2</v>
      </c>
      <c r="I641">
        <v>0.99091487795275579</v>
      </c>
      <c r="J641">
        <v>0.42992919704724403</v>
      </c>
      <c r="K641">
        <v>1.4208440749999998</v>
      </c>
      <c r="L641">
        <v>2.3048327137546467</v>
      </c>
      <c r="M641">
        <v>0.9749323799212597</v>
      </c>
      <c r="N641">
        <v>0.44591169507874007</v>
      </c>
    </row>
    <row r="642" spans="1:14" x14ac:dyDescent="0.2">
      <c r="B642">
        <v>100</v>
      </c>
      <c r="C642">
        <v>6</v>
      </c>
      <c r="D642">
        <v>3.25</v>
      </c>
      <c r="E642">
        <v>1.75</v>
      </c>
      <c r="F642">
        <v>3.25</v>
      </c>
      <c r="G642">
        <v>1.75</v>
      </c>
      <c r="H642">
        <v>3.5767E-2</v>
      </c>
      <c r="I642">
        <v>0.95894988188976371</v>
      </c>
      <c r="J642">
        <v>0.46189419311023611</v>
      </c>
      <c r="K642">
        <v>1.4208440749999998</v>
      </c>
      <c r="L642">
        <v>2.0761245674740487</v>
      </c>
    </row>
    <row r="643" spans="1:14" x14ac:dyDescent="0.2">
      <c r="A643">
        <v>488712</v>
      </c>
      <c r="B643">
        <v>100</v>
      </c>
      <c r="C643">
        <v>7</v>
      </c>
      <c r="D643">
        <v>7.75</v>
      </c>
      <c r="E643">
        <v>4.0999999999999996</v>
      </c>
      <c r="F643">
        <v>7.75</v>
      </c>
      <c r="G643">
        <v>4.0999999999999996</v>
      </c>
      <c r="H643">
        <v>9.7450000000000002E-3</v>
      </c>
      <c r="I643">
        <v>0.63576533464566942</v>
      </c>
      <c r="J643">
        <v>0.27120181535433058</v>
      </c>
      <c r="K643">
        <v>0.90696715000000006</v>
      </c>
      <c r="L643">
        <v>2.3442517662170856</v>
      </c>
      <c r="M643">
        <v>0.64011989173228367</v>
      </c>
      <c r="N643">
        <v>0.26131697076771643</v>
      </c>
    </row>
    <row r="644" spans="1:14" x14ac:dyDescent="0.2">
      <c r="B644">
        <v>100</v>
      </c>
      <c r="C644">
        <v>7</v>
      </c>
      <c r="D644">
        <v>7.75</v>
      </c>
      <c r="E644">
        <v>4.05</v>
      </c>
      <c r="F644">
        <v>7.75</v>
      </c>
      <c r="G644">
        <v>4.05</v>
      </c>
      <c r="H644">
        <v>9.7450000000000002E-3</v>
      </c>
      <c r="I644">
        <v>0.64447444881889782</v>
      </c>
      <c r="J644">
        <v>0.25143212618110228</v>
      </c>
      <c r="K644">
        <v>0.89590657500000015</v>
      </c>
      <c r="L644">
        <v>2.5632144094215463</v>
      </c>
    </row>
    <row r="645" spans="1:14" x14ac:dyDescent="0.2">
      <c r="A645">
        <v>488713</v>
      </c>
      <c r="B645">
        <v>100</v>
      </c>
      <c r="C645">
        <v>7</v>
      </c>
      <c r="D645">
        <v>3.15</v>
      </c>
      <c r="E645">
        <v>1.75</v>
      </c>
      <c r="F645">
        <v>3.15</v>
      </c>
      <c r="G645">
        <v>1.75</v>
      </c>
      <c r="H645">
        <v>9.7450000000000002E-3</v>
      </c>
      <c r="I645">
        <v>0.2438551968503937</v>
      </c>
      <c r="J645">
        <v>0.14326492814960634</v>
      </c>
      <c r="K645">
        <v>0.38712012500000004</v>
      </c>
      <c r="L645">
        <v>1.7021276595744677</v>
      </c>
      <c r="M645">
        <v>0.2438551968503937</v>
      </c>
      <c r="N645">
        <v>0.13220435314960632</v>
      </c>
    </row>
    <row r="646" spans="1:14" x14ac:dyDescent="0.2">
      <c r="B646">
        <v>100</v>
      </c>
      <c r="C646">
        <v>7</v>
      </c>
      <c r="D646">
        <v>3.05</v>
      </c>
      <c r="E646">
        <v>1.65</v>
      </c>
      <c r="F646">
        <v>3.05</v>
      </c>
      <c r="G646">
        <v>1.65</v>
      </c>
      <c r="H646">
        <v>9.7450000000000002E-3</v>
      </c>
      <c r="I646">
        <v>0.2438551968503937</v>
      </c>
      <c r="J646">
        <v>0.12114377814960633</v>
      </c>
      <c r="K646">
        <v>0.364998975</v>
      </c>
      <c r="L646">
        <v>2.0129403306973392</v>
      </c>
    </row>
    <row r="647" spans="1:14" x14ac:dyDescent="0.2">
      <c r="A647">
        <v>488714</v>
      </c>
      <c r="B647">
        <v>100</v>
      </c>
      <c r="C647">
        <v>8</v>
      </c>
      <c r="D647">
        <v>3.75</v>
      </c>
      <c r="E647">
        <v>1.85</v>
      </c>
      <c r="F647">
        <v>3.75</v>
      </c>
      <c r="G647">
        <v>1.85</v>
      </c>
      <c r="H647">
        <v>3.8630000000000001E-3</v>
      </c>
      <c r="I647">
        <v>0.13118991338582678</v>
      </c>
      <c r="J647">
        <v>3.1036771614173272E-2</v>
      </c>
      <c r="K647">
        <v>0.16222668500000004</v>
      </c>
      <c r="L647">
        <v>4.2269187986651779</v>
      </c>
      <c r="M647">
        <v>0.13464227952755908</v>
      </c>
      <c r="N647">
        <v>3.1968910472440965E-2</v>
      </c>
    </row>
    <row r="648" spans="1:14" x14ac:dyDescent="0.2">
      <c r="B648">
        <v>100</v>
      </c>
      <c r="C648">
        <v>8</v>
      </c>
      <c r="D648">
        <v>3.95</v>
      </c>
      <c r="E648">
        <v>1.95</v>
      </c>
      <c r="F648">
        <v>3.95</v>
      </c>
      <c r="G648">
        <v>1.95</v>
      </c>
      <c r="H648">
        <v>3.8630000000000001E-3</v>
      </c>
      <c r="I648">
        <v>0.13809464566929136</v>
      </c>
      <c r="J648">
        <v>3.290104933070865E-2</v>
      </c>
      <c r="K648">
        <v>0.170995695</v>
      </c>
      <c r="L648">
        <v>4.1972717733473264</v>
      </c>
    </row>
    <row r="649" spans="1:14" x14ac:dyDescent="0.2">
      <c r="A649">
        <v>488715</v>
      </c>
      <c r="B649">
        <v>100</v>
      </c>
      <c r="C649">
        <v>8</v>
      </c>
      <c r="D649">
        <v>4.25</v>
      </c>
      <c r="E649">
        <v>2.15</v>
      </c>
      <c r="F649">
        <v>4.25</v>
      </c>
      <c r="G649">
        <v>2.15</v>
      </c>
      <c r="H649">
        <v>3.8630000000000001E-3</v>
      </c>
      <c r="I649">
        <v>0.14499937795275591</v>
      </c>
      <c r="J649">
        <v>4.3534337047244069E-2</v>
      </c>
      <c r="K649">
        <v>0.18853371499999999</v>
      </c>
      <c r="L649">
        <v>3.3306899286280749</v>
      </c>
      <c r="M649">
        <v>0.13464227952755906</v>
      </c>
      <c r="N649">
        <v>4.0737920472440951E-2</v>
      </c>
    </row>
    <row r="650" spans="1:14" x14ac:dyDescent="0.2">
      <c r="B650">
        <v>100</v>
      </c>
      <c r="C650">
        <v>8</v>
      </c>
      <c r="D650">
        <v>3.65</v>
      </c>
      <c r="E650">
        <v>1.85</v>
      </c>
      <c r="F650">
        <v>3.65</v>
      </c>
      <c r="G650">
        <v>1.85</v>
      </c>
      <c r="H650">
        <v>3.8630000000000001E-3</v>
      </c>
      <c r="I650">
        <v>0.12428518110236218</v>
      </c>
      <c r="J650">
        <v>3.7941503897637834E-2</v>
      </c>
      <c r="K650">
        <v>0.16222668500000001</v>
      </c>
      <c r="L650">
        <v>3.2757051865332083</v>
      </c>
    </row>
    <row r="651" spans="1:14" x14ac:dyDescent="0.2">
      <c r="A651">
        <v>488716</v>
      </c>
      <c r="B651">
        <v>100</v>
      </c>
      <c r="C651">
        <v>8</v>
      </c>
      <c r="D651">
        <v>1.65</v>
      </c>
      <c r="E651">
        <v>1.25</v>
      </c>
      <c r="F651">
        <v>1.65</v>
      </c>
      <c r="G651">
        <v>1.25</v>
      </c>
      <c r="H651">
        <v>3.8630000000000001E-3</v>
      </c>
      <c r="I651">
        <v>2.7618929133858265E-2</v>
      </c>
      <c r="J651">
        <v>8.1993695866141733E-2</v>
      </c>
      <c r="K651">
        <v>0.10961262499999999</v>
      </c>
      <c r="L651">
        <v>0.33684210526315789</v>
      </c>
      <c r="M651">
        <v>2.7618929133858272E-2</v>
      </c>
      <c r="N651">
        <v>7.7609190866141736E-2</v>
      </c>
    </row>
    <row r="652" spans="1:14" x14ac:dyDescent="0.2">
      <c r="B652">
        <v>100</v>
      </c>
      <c r="C652">
        <v>8</v>
      </c>
      <c r="D652">
        <v>1.55</v>
      </c>
      <c r="E652">
        <v>1.1499999999999999</v>
      </c>
      <c r="F652">
        <v>1.55</v>
      </c>
      <c r="G652">
        <v>1.1499999999999999</v>
      </c>
      <c r="H652">
        <v>3.8630000000000001E-3</v>
      </c>
      <c r="I652">
        <v>2.7618929133858276E-2</v>
      </c>
      <c r="J652">
        <v>7.3224685866141725E-2</v>
      </c>
      <c r="K652">
        <v>0.100843615</v>
      </c>
      <c r="L652">
        <v>0.37718057520037734</v>
      </c>
    </row>
    <row r="653" spans="1:14" x14ac:dyDescent="0.2">
      <c r="A653">
        <v>488717</v>
      </c>
      <c r="B653">
        <v>100</v>
      </c>
      <c r="C653">
        <v>8</v>
      </c>
      <c r="D653">
        <v>1.85</v>
      </c>
      <c r="E653">
        <v>1.35</v>
      </c>
      <c r="F653">
        <v>1.85</v>
      </c>
      <c r="G653">
        <v>1.35</v>
      </c>
      <c r="H653">
        <v>3.8630000000000001E-3</v>
      </c>
      <c r="I653">
        <v>3.452366141732284E-2</v>
      </c>
      <c r="J653">
        <v>8.3857973582677173E-2</v>
      </c>
      <c r="K653">
        <v>0.11838163500000001</v>
      </c>
      <c r="L653">
        <v>0.41169205434335121</v>
      </c>
      <c r="M653">
        <v>3.452366141732284E-2</v>
      </c>
      <c r="N653">
        <v>8.3857973582677173E-2</v>
      </c>
    </row>
    <row r="654" spans="1:14" x14ac:dyDescent="0.2">
      <c r="B654">
        <v>100</v>
      </c>
      <c r="C654">
        <v>8</v>
      </c>
      <c r="D654">
        <v>1.85</v>
      </c>
      <c r="E654">
        <v>1.35</v>
      </c>
      <c r="F654">
        <v>1.85</v>
      </c>
      <c r="G654">
        <v>1.35</v>
      </c>
      <c r="H654">
        <v>3.8630000000000001E-3</v>
      </c>
      <c r="I654">
        <v>3.452366141732284E-2</v>
      </c>
      <c r="J654">
        <v>8.3857973582677173E-2</v>
      </c>
      <c r="K654">
        <v>0.11838163500000001</v>
      </c>
      <c r="L654">
        <v>0.41169205434335121</v>
      </c>
    </row>
    <row r="655" spans="1:14" x14ac:dyDescent="0.2">
      <c r="A655">
        <v>488718</v>
      </c>
      <c r="B655">
        <v>100</v>
      </c>
      <c r="C655">
        <v>8</v>
      </c>
      <c r="D655">
        <v>2.25</v>
      </c>
      <c r="E655">
        <v>1.55</v>
      </c>
      <c r="F655">
        <v>2.25</v>
      </c>
      <c r="G655">
        <v>1.55</v>
      </c>
      <c r="H655">
        <v>3.8630000000000001E-3</v>
      </c>
      <c r="I655">
        <v>4.8333125984251969E-2</v>
      </c>
      <c r="J655">
        <v>8.7586529015748038E-2</v>
      </c>
      <c r="K655">
        <v>0.135919655</v>
      </c>
      <c r="L655">
        <v>0.55183287347260546</v>
      </c>
      <c r="M655">
        <v>4.6606942913385824E-2</v>
      </c>
      <c r="N655">
        <v>9.3697217086614187E-2</v>
      </c>
    </row>
    <row r="656" spans="1:14" x14ac:dyDescent="0.2">
      <c r="B656">
        <v>100</v>
      </c>
      <c r="C656">
        <v>8</v>
      </c>
      <c r="D656">
        <v>2.2999999999999998</v>
      </c>
      <c r="E656">
        <v>1.65</v>
      </c>
      <c r="F656">
        <v>2.2999999999999998</v>
      </c>
      <c r="G656">
        <v>1.65</v>
      </c>
      <c r="H656">
        <v>3.8630000000000001E-3</v>
      </c>
      <c r="I656">
        <v>4.4880759842519685E-2</v>
      </c>
      <c r="J656">
        <v>9.9807905157480337E-2</v>
      </c>
      <c r="K656">
        <v>0.14468866500000002</v>
      </c>
      <c r="L656">
        <v>0.44967139398132122</v>
      </c>
    </row>
    <row r="657" spans="1:14" x14ac:dyDescent="0.2">
      <c r="A657">
        <v>488719</v>
      </c>
      <c r="B657">
        <v>100</v>
      </c>
      <c r="C657">
        <v>7</v>
      </c>
      <c r="D657">
        <v>5.45</v>
      </c>
      <c r="E657">
        <v>3.25</v>
      </c>
      <c r="F657">
        <v>5.45</v>
      </c>
      <c r="G657">
        <v>3.25</v>
      </c>
      <c r="H657">
        <v>9.7450000000000002E-3</v>
      </c>
      <c r="I657">
        <v>0.38320102362204733</v>
      </c>
      <c r="J657">
        <v>0.33573635137795288</v>
      </c>
      <c r="K657">
        <v>0.71893737500000021</v>
      </c>
      <c r="L657">
        <v>1.1413748378728923</v>
      </c>
      <c r="M657">
        <v>0.40061925196850395</v>
      </c>
      <c r="N657">
        <v>0.34043927303149624</v>
      </c>
    </row>
    <row r="658" spans="1:14" x14ac:dyDescent="0.2">
      <c r="B658">
        <v>100</v>
      </c>
      <c r="C658">
        <v>7</v>
      </c>
      <c r="D658">
        <v>5.85</v>
      </c>
      <c r="E658">
        <v>3.45</v>
      </c>
      <c r="F658">
        <v>5.85</v>
      </c>
      <c r="G658">
        <v>3.45</v>
      </c>
      <c r="H658">
        <v>9.7450000000000002E-3</v>
      </c>
      <c r="I658">
        <v>0.41803748031496057</v>
      </c>
      <c r="J658">
        <v>0.34514219468503959</v>
      </c>
      <c r="K658">
        <v>0.76317967500000017</v>
      </c>
      <c r="L658">
        <v>1.2112036336108998</v>
      </c>
    </row>
    <row r="659" spans="1:14" x14ac:dyDescent="0.2">
      <c r="A659">
        <v>488720</v>
      </c>
      <c r="B659">
        <v>100</v>
      </c>
      <c r="C659">
        <v>6</v>
      </c>
      <c r="D659">
        <v>2.2999999999999998</v>
      </c>
      <c r="E659">
        <v>1.3</v>
      </c>
      <c r="F659">
        <v>2.2999999999999998</v>
      </c>
      <c r="G659">
        <v>1.3</v>
      </c>
      <c r="H659">
        <v>3.5767E-2</v>
      </c>
      <c r="I659">
        <v>0.63929992125984247</v>
      </c>
      <c r="J659">
        <v>0.41618424874015764</v>
      </c>
      <c r="K659">
        <v>1.0554841700000002</v>
      </c>
      <c r="L659">
        <v>1.5360983102918579</v>
      </c>
      <c r="M659">
        <v>0.65528241929133868</v>
      </c>
      <c r="N659">
        <v>0.44079729570866144</v>
      </c>
    </row>
    <row r="660" spans="1:14" x14ac:dyDescent="0.2">
      <c r="B660">
        <v>100</v>
      </c>
      <c r="C660">
        <v>6</v>
      </c>
      <c r="D660">
        <v>2.4500000000000002</v>
      </c>
      <c r="E660">
        <v>1.4</v>
      </c>
      <c r="F660">
        <v>2.4500000000000002</v>
      </c>
      <c r="G660">
        <v>1.4</v>
      </c>
      <c r="H660">
        <v>3.5767E-2</v>
      </c>
      <c r="I660">
        <v>0.67126491732283489</v>
      </c>
      <c r="J660">
        <v>0.46541034267716519</v>
      </c>
      <c r="K660">
        <v>1.1366752600000001</v>
      </c>
      <c r="L660">
        <v>1.4423076923076934</v>
      </c>
    </row>
    <row r="661" spans="1:14" x14ac:dyDescent="0.2">
      <c r="A661">
        <v>488721</v>
      </c>
      <c r="B661">
        <v>100</v>
      </c>
      <c r="C661">
        <v>7</v>
      </c>
      <c r="D661">
        <v>3.1</v>
      </c>
      <c r="E661">
        <v>1.65</v>
      </c>
      <c r="F661">
        <v>3.1</v>
      </c>
      <c r="G661">
        <v>1.65</v>
      </c>
      <c r="H661">
        <v>9.7450000000000002E-3</v>
      </c>
      <c r="I661">
        <v>0.25256431102362209</v>
      </c>
      <c r="J661">
        <v>0.11243466397637798</v>
      </c>
      <c r="K661">
        <v>0.36499897500000006</v>
      </c>
      <c r="L661">
        <v>2.2463206816421377</v>
      </c>
      <c r="M661">
        <v>0.25256431102362203</v>
      </c>
      <c r="N661">
        <v>0.10690437647637802</v>
      </c>
    </row>
    <row r="662" spans="1:14" x14ac:dyDescent="0.2">
      <c r="B662">
        <v>100</v>
      </c>
      <c r="C662">
        <v>7</v>
      </c>
      <c r="D662">
        <v>3.05</v>
      </c>
      <c r="E662">
        <v>1.6</v>
      </c>
      <c r="F662">
        <v>3.05</v>
      </c>
      <c r="G662">
        <v>1.6</v>
      </c>
      <c r="H662">
        <v>9.7450000000000002E-3</v>
      </c>
      <c r="I662">
        <v>0.25256431102362198</v>
      </c>
      <c r="J662">
        <v>0.10137408897637804</v>
      </c>
      <c r="K662">
        <v>0.35393839999999999</v>
      </c>
      <c r="L662">
        <v>2.4914089347079011</v>
      </c>
    </row>
    <row r="663" spans="1:14" x14ac:dyDescent="0.2">
      <c r="A663">
        <v>488722</v>
      </c>
      <c r="B663">
        <v>100</v>
      </c>
      <c r="C663">
        <v>8</v>
      </c>
      <c r="D663">
        <v>4.55</v>
      </c>
      <c r="E663">
        <v>2.2999999999999998</v>
      </c>
      <c r="F663">
        <v>4.55</v>
      </c>
      <c r="G663">
        <v>2.2999999999999998</v>
      </c>
      <c r="H663">
        <v>3.8630000000000001E-3</v>
      </c>
      <c r="I663">
        <v>0.15535647637795277</v>
      </c>
      <c r="J663">
        <v>4.6330753622047229E-2</v>
      </c>
      <c r="K663">
        <v>0.20168723</v>
      </c>
      <c r="L663">
        <v>3.3532041728763056</v>
      </c>
      <c r="M663">
        <v>0.15880884251968508</v>
      </c>
      <c r="N663">
        <v>4.5070639980314964E-2</v>
      </c>
    </row>
    <row r="664" spans="1:14" x14ac:dyDescent="0.2">
      <c r="B664">
        <v>100</v>
      </c>
      <c r="C664">
        <v>8</v>
      </c>
      <c r="D664">
        <v>4.7</v>
      </c>
      <c r="E664">
        <v>2.35</v>
      </c>
      <c r="F664">
        <v>4.7</v>
      </c>
      <c r="G664">
        <v>2.35</v>
      </c>
      <c r="H664">
        <v>3.8630000000000001E-3</v>
      </c>
      <c r="I664">
        <v>0.16226120866141736</v>
      </c>
      <c r="J664">
        <v>4.3810526338582692E-2</v>
      </c>
      <c r="K664">
        <v>0.20607173500000003</v>
      </c>
      <c r="L664">
        <v>3.7037037037037033</v>
      </c>
    </row>
    <row r="665" spans="1:14" x14ac:dyDescent="0.2">
      <c r="A665">
        <v>488723</v>
      </c>
      <c r="B665">
        <v>100</v>
      </c>
      <c r="C665">
        <v>8</v>
      </c>
      <c r="D665">
        <v>3.65</v>
      </c>
      <c r="E665">
        <v>1.75</v>
      </c>
      <c r="F665">
        <v>3.65</v>
      </c>
      <c r="G665">
        <v>1.75</v>
      </c>
      <c r="H665">
        <v>3.8630000000000001E-3</v>
      </c>
      <c r="I665">
        <v>0.13118991338582678</v>
      </c>
      <c r="J665">
        <v>2.2267761614173227E-2</v>
      </c>
      <c r="K665">
        <v>0.15345767500000002</v>
      </c>
      <c r="L665">
        <v>5.891472868217055</v>
      </c>
      <c r="M665">
        <v>0.12946373031496061</v>
      </c>
      <c r="N665">
        <v>2.8378449685039393E-2</v>
      </c>
    </row>
    <row r="666" spans="1:14" x14ac:dyDescent="0.2">
      <c r="B666">
        <v>100</v>
      </c>
      <c r="C666">
        <v>8</v>
      </c>
      <c r="D666">
        <v>3.7</v>
      </c>
      <c r="E666">
        <v>1.85</v>
      </c>
      <c r="F666">
        <v>3.7</v>
      </c>
      <c r="G666">
        <v>1.85</v>
      </c>
      <c r="H666">
        <v>3.8630000000000001E-3</v>
      </c>
      <c r="I666">
        <v>0.12773754724409447</v>
      </c>
      <c r="J666">
        <v>3.4489137755905556E-2</v>
      </c>
      <c r="K666">
        <v>0.16222668500000004</v>
      </c>
      <c r="L666">
        <v>3.7037037037036984</v>
      </c>
    </row>
    <row r="667" spans="1:14" x14ac:dyDescent="0.2">
      <c r="A667">
        <v>488724</v>
      </c>
      <c r="B667">
        <v>100</v>
      </c>
      <c r="C667">
        <v>8</v>
      </c>
      <c r="D667">
        <v>1.85</v>
      </c>
      <c r="E667">
        <v>1.35</v>
      </c>
      <c r="F667">
        <v>1.85</v>
      </c>
      <c r="G667">
        <v>1.35</v>
      </c>
      <c r="H667">
        <v>3.8630000000000001E-3</v>
      </c>
      <c r="I667">
        <v>3.452366141732284E-2</v>
      </c>
      <c r="J667">
        <v>8.3857973582677173E-2</v>
      </c>
      <c r="K667">
        <v>0.11838163500000001</v>
      </c>
      <c r="L667">
        <v>0.41169205434335121</v>
      </c>
      <c r="M667">
        <v>2.7618929133858272E-2</v>
      </c>
      <c r="N667">
        <v>7.7609190866141736E-2</v>
      </c>
    </row>
    <row r="668" spans="1:14" x14ac:dyDescent="0.2">
      <c r="B668">
        <v>100</v>
      </c>
      <c r="C668">
        <v>8</v>
      </c>
      <c r="D668">
        <v>1.35</v>
      </c>
      <c r="E668">
        <v>1.05</v>
      </c>
      <c r="F668">
        <v>1.35</v>
      </c>
      <c r="G668">
        <v>1.05</v>
      </c>
      <c r="H668">
        <v>3.8630000000000001E-3</v>
      </c>
      <c r="I668">
        <v>2.0714196850393704E-2</v>
      </c>
      <c r="J668">
        <v>7.1360408149606314E-2</v>
      </c>
      <c r="K668">
        <v>9.2074605000000018E-2</v>
      </c>
      <c r="L668">
        <v>0.29027576197387517</v>
      </c>
    </row>
    <row r="669" spans="1:14" x14ac:dyDescent="0.2">
      <c r="A669">
        <v>488725</v>
      </c>
      <c r="B669">
        <v>100</v>
      </c>
      <c r="C669">
        <v>8</v>
      </c>
      <c r="D669">
        <v>1.25</v>
      </c>
      <c r="E669">
        <v>1</v>
      </c>
      <c r="F669">
        <v>1.25</v>
      </c>
      <c r="G669">
        <v>1</v>
      </c>
      <c r="H669">
        <v>3.8630000000000001E-3</v>
      </c>
      <c r="I669">
        <v>1.726183070866142E-2</v>
      </c>
      <c r="J669">
        <v>7.042826929133858E-2</v>
      </c>
      <c r="K669">
        <v>8.7690099999999993E-2</v>
      </c>
      <c r="L669">
        <v>0.24509803921568632</v>
      </c>
      <c r="M669">
        <v>1.5535647637795276E-2</v>
      </c>
      <c r="N669">
        <v>7.2154452362204718E-2</v>
      </c>
    </row>
    <row r="670" spans="1:14" x14ac:dyDescent="0.2">
      <c r="B670">
        <v>100</v>
      </c>
      <c r="C670">
        <v>8</v>
      </c>
      <c r="D670">
        <v>1.2</v>
      </c>
      <c r="E670">
        <v>1</v>
      </c>
      <c r="F670">
        <v>1.2</v>
      </c>
      <c r="G670">
        <v>1</v>
      </c>
      <c r="H670">
        <v>3.8630000000000001E-3</v>
      </c>
      <c r="I670">
        <v>1.3809464566929133E-2</v>
      </c>
      <c r="J670">
        <v>7.3880635433070871E-2</v>
      </c>
      <c r="K670">
        <v>8.7690100000000007E-2</v>
      </c>
      <c r="L670">
        <v>0.18691588785046725</v>
      </c>
    </row>
    <row r="671" spans="1:14" x14ac:dyDescent="0.2">
      <c r="A671">
        <v>488726</v>
      </c>
      <c r="B671">
        <v>100</v>
      </c>
      <c r="C671">
        <v>8</v>
      </c>
      <c r="D671">
        <v>3.25</v>
      </c>
      <c r="E671">
        <v>2.2999999999999998</v>
      </c>
      <c r="F671">
        <v>3.25</v>
      </c>
      <c r="G671">
        <v>2.2999999999999998</v>
      </c>
      <c r="H671">
        <v>3.8630000000000001E-3</v>
      </c>
      <c r="I671">
        <v>6.5594956692913403E-2</v>
      </c>
      <c r="J671">
        <v>0.13609227330708656</v>
      </c>
      <c r="K671">
        <v>0.20168722999999997</v>
      </c>
      <c r="L671">
        <v>0.48198883815322202</v>
      </c>
      <c r="M671">
        <v>6.3868773622047265E-2</v>
      </c>
      <c r="N671">
        <v>0.12685719387795272</v>
      </c>
    </row>
    <row r="672" spans="1:14" x14ac:dyDescent="0.2">
      <c r="B672">
        <v>100</v>
      </c>
      <c r="C672">
        <v>8</v>
      </c>
      <c r="D672">
        <v>2.95</v>
      </c>
      <c r="E672">
        <v>2.0499999999999998</v>
      </c>
      <c r="F672">
        <v>2.95</v>
      </c>
      <c r="G672">
        <v>2.0499999999999998</v>
      </c>
      <c r="H672">
        <v>3.8630000000000001E-3</v>
      </c>
      <c r="I672">
        <v>6.2142590551181126E-2</v>
      </c>
      <c r="J672">
        <v>0.11762211444881888</v>
      </c>
      <c r="K672">
        <v>0.17976470500000002</v>
      </c>
      <c r="L672">
        <v>0.5283240387437631</v>
      </c>
    </row>
    <row r="673" spans="1:14" x14ac:dyDescent="0.2">
      <c r="A673">
        <v>488727</v>
      </c>
      <c r="B673">
        <v>100</v>
      </c>
      <c r="C673">
        <v>8</v>
      </c>
      <c r="D673">
        <v>4.05</v>
      </c>
      <c r="E673">
        <v>2.75</v>
      </c>
      <c r="F673">
        <v>4.05</v>
      </c>
      <c r="G673">
        <v>2.75</v>
      </c>
      <c r="H673">
        <v>3.8630000000000001E-3</v>
      </c>
      <c r="I673">
        <v>8.976151968503937E-2</v>
      </c>
      <c r="J673">
        <v>0.15138625531496064</v>
      </c>
      <c r="K673">
        <v>0.24114777500000001</v>
      </c>
      <c r="L673">
        <v>0.59293044469783351</v>
      </c>
      <c r="M673">
        <v>9.3213885826771675E-2</v>
      </c>
      <c r="N673">
        <v>0.13916487917322837</v>
      </c>
    </row>
    <row r="674" spans="1:14" x14ac:dyDescent="0.2">
      <c r="B674">
        <v>100</v>
      </c>
      <c r="C674">
        <v>8</v>
      </c>
      <c r="D674">
        <v>3.95</v>
      </c>
      <c r="E674">
        <v>2.5499999999999998</v>
      </c>
      <c r="F674">
        <v>3.95</v>
      </c>
      <c r="G674">
        <v>2.5499999999999998</v>
      </c>
      <c r="H674">
        <v>3.8630000000000001E-3</v>
      </c>
      <c r="I674">
        <v>9.6666251968503966E-2</v>
      </c>
      <c r="J674">
        <v>0.1269435030314961</v>
      </c>
      <c r="K674">
        <v>0.22360975500000008</v>
      </c>
      <c r="L674">
        <v>0.76149034539026383</v>
      </c>
    </row>
    <row r="675" spans="1:14" x14ac:dyDescent="0.2">
      <c r="A675">
        <v>488728</v>
      </c>
      <c r="B675">
        <v>100</v>
      </c>
      <c r="C675">
        <v>7</v>
      </c>
      <c r="D675">
        <v>4.5</v>
      </c>
      <c r="E675">
        <v>2.8</v>
      </c>
      <c r="F675">
        <v>4.5</v>
      </c>
      <c r="G675">
        <v>2.8</v>
      </c>
      <c r="H675">
        <v>9.7450000000000002E-3</v>
      </c>
      <c r="I675">
        <v>0.29610988188976384</v>
      </c>
      <c r="J675">
        <v>0.32328231811023611</v>
      </c>
      <c r="K675">
        <v>0.61939219999999995</v>
      </c>
      <c r="L675">
        <v>0.91594827586206951</v>
      </c>
      <c r="M675">
        <v>0.30046443897637798</v>
      </c>
      <c r="N675">
        <v>0.30786718602362195</v>
      </c>
    </row>
    <row r="676" spans="1:14" x14ac:dyDescent="0.2">
      <c r="B676">
        <v>100</v>
      </c>
      <c r="C676">
        <v>7</v>
      </c>
      <c r="D676">
        <v>4.45</v>
      </c>
      <c r="E676">
        <v>2.7</v>
      </c>
      <c r="F676">
        <v>4.45</v>
      </c>
      <c r="G676">
        <v>2.7</v>
      </c>
      <c r="H676">
        <v>9.7450000000000002E-3</v>
      </c>
      <c r="I676">
        <v>0.30481899606299218</v>
      </c>
      <c r="J676">
        <v>0.29245205393700785</v>
      </c>
      <c r="K676">
        <v>0.59727105000000003</v>
      </c>
      <c r="L676">
        <v>1.0422870756402622</v>
      </c>
    </row>
    <row r="677" spans="1:14" x14ac:dyDescent="0.2">
      <c r="A677">
        <v>488729</v>
      </c>
      <c r="B677">
        <v>100</v>
      </c>
      <c r="C677">
        <v>6</v>
      </c>
      <c r="D677">
        <v>3.05</v>
      </c>
      <c r="E677">
        <v>1.65</v>
      </c>
      <c r="F677">
        <v>3.05</v>
      </c>
      <c r="G677">
        <v>1.65</v>
      </c>
      <c r="H677">
        <v>3.5767E-2</v>
      </c>
      <c r="I677">
        <v>0.89501988976377955</v>
      </c>
      <c r="J677">
        <v>0.44463309523622058</v>
      </c>
      <c r="K677">
        <v>1.3396529850000001</v>
      </c>
      <c r="L677">
        <v>2.0129403306973397</v>
      </c>
      <c r="M677">
        <v>0.86305489370078736</v>
      </c>
      <c r="N677">
        <v>0.43600254629921259</v>
      </c>
    </row>
    <row r="678" spans="1:14" x14ac:dyDescent="0.2">
      <c r="B678">
        <v>100</v>
      </c>
      <c r="C678">
        <v>6</v>
      </c>
      <c r="D678">
        <v>2.85</v>
      </c>
      <c r="E678">
        <v>1.55</v>
      </c>
      <c r="F678">
        <v>2.85</v>
      </c>
      <c r="G678">
        <v>1.55</v>
      </c>
      <c r="H678">
        <v>3.5767E-2</v>
      </c>
      <c r="I678">
        <v>0.83108989763779528</v>
      </c>
      <c r="J678">
        <v>0.4273719973622046</v>
      </c>
      <c r="K678">
        <v>1.2584618949999999</v>
      </c>
      <c r="L678">
        <v>1.9446522064323117</v>
      </c>
    </row>
    <row r="679" spans="1:14" x14ac:dyDescent="0.2">
      <c r="A679">
        <v>488730</v>
      </c>
      <c r="B679">
        <v>100</v>
      </c>
      <c r="C679">
        <v>7</v>
      </c>
      <c r="D679">
        <v>4.9000000000000004</v>
      </c>
      <c r="E679">
        <v>2.65</v>
      </c>
      <c r="F679">
        <v>4.9000000000000004</v>
      </c>
      <c r="G679">
        <v>2.65</v>
      </c>
      <c r="H679">
        <v>9.7450000000000002E-3</v>
      </c>
      <c r="I679">
        <v>0.39191013779527573</v>
      </c>
      <c r="J679">
        <v>0.19430033720472431</v>
      </c>
      <c r="K679">
        <v>0.58621047500000001</v>
      </c>
      <c r="L679">
        <v>2.0170327207530274</v>
      </c>
      <c r="M679">
        <v>0.39191013779527573</v>
      </c>
      <c r="N679">
        <v>0.19430033720472431</v>
      </c>
    </row>
    <row r="680" spans="1:14" x14ac:dyDescent="0.2">
      <c r="B680">
        <v>100</v>
      </c>
      <c r="C680">
        <v>7</v>
      </c>
      <c r="D680">
        <v>4.9000000000000004</v>
      </c>
      <c r="E680">
        <v>2.65</v>
      </c>
      <c r="F680">
        <v>4.9000000000000004</v>
      </c>
      <c r="G680">
        <v>2.65</v>
      </c>
      <c r="H680">
        <v>9.7450000000000002E-3</v>
      </c>
      <c r="I680">
        <v>0.39191013779527573</v>
      </c>
      <c r="J680">
        <v>0.19430033720472431</v>
      </c>
      <c r="K680">
        <v>0.58621047500000001</v>
      </c>
      <c r="L680">
        <v>2.0170327207530274</v>
      </c>
    </row>
    <row r="681" spans="1:14" x14ac:dyDescent="0.2">
      <c r="A681">
        <v>488731</v>
      </c>
      <c r="B681">
        <v>100</v>
      </c>
      <c r="C681">
        <v>7</v>
      </c>
      <c r="D681">
        <v>2.65</v>
      </c>
      <c r="E681">
        <v>1.35</v>
      </c>
      <c r="F681">
        <v>2.65</v>
      </c>
      <c r="G681">
        <v>1.35</v>
      </c>
      <c r="H681">
        <v>9.7450000000000002E-3</v>
      </c>
      <c r="I681">
        <v>0.22643696850393699</v>
      </c>
      <c r="J681">
        <v>7.2198556496063035E-2</v>
      </c>
      <c r="K681">
        <v>0.29863552500000001</v>
      </c>
      <c r="L681">
        <v>3.1363088057901063</v>
      </c>
      <c r="M681">
        <v>0.22643696850393702</v>
      </c>
      <c r="N681">
        <v>6.6668268996062999E-2</v>
      </c>
    </row>
    <row r="682" spans="1:14" x14ac:dyDescent="0.2">
      <c r="B682">
        <v>100</v>
      </c>
      <c r="C682">
        <v>7</v>
      </c>
      <c r="D682">
        <v>2.6</v>
      </c>
      <c r="E682">
        <v>1.3</v>
      </c>
      <c r="F682">
        <v>2.6</v>
      </c>
      <c r="G682">
        <v>1.3</v>
      </c>
      <c r="H682">
        <v>9.7450000000000002E-3</v>
      </c>
      <c r="I682">
        <v>0.22643696850393705</v>
      </c>
      <c r="J682">
        <v>6.1137981496062969E-2</v>
      </c>
      <c r="K682">
        <v>0.28757495</v>
      </c>
      <c r="L682">
        <v>3.7037037037037059</v>
      </c>
    </row>
    <row r="683" spans="1:14" x14ac:dyDescent="0.2">
      <c r="A683">
        <v>488732</v>
      </c>
      <c r="B683">
        <v>100</v>
      </c>
      <c r="C683">
        <v>7</v>
      </c>
      <c r="D683">
        <v>2.25</v>
      </c>
      <c r="E683">
        <v>1.1000000000000001</v>
      </c>
      <c r="F683">
        <v>2.25</v>
      </c>
      <c r="G683">
        <v>1.1000000000000001</v>
      </c>
      <c r="H683">
        <v>9.7450000000000002E-3</v>
      </c>
      <c r="I683">
        <v>0.20030962598425198</v>
      </c>
      <c r="J683">
        <v>4.3023024015748063E-2</v>
      </c>
      <c r="K683">
        <v>0.24333265000000004</v>
      </c>
      <c r="L683">
        <v>4.6558704453441262</v>
      </c>
      <c r="M683">
        <v>0.19160051181102361</v>
      </c>
      <c r="N683">
        <v>4.6201850688976392E-2</v>
      </c>
    </row>
    <row r="684" spans="1:14" x14ac:dyDescent="0.2">
      <c r="B684">
        <v>100</v>
      </c>
      <c r="C684">
        <v>7</v>
      </c>
      <c r="D684">
        <v>2.1</v>
      </c>
      <c r="E684">
        <v>1.05</v>
      </c>
      <c r="F684">
        <v>2.1</v>
      </c>
      <c r="G684">
        <v>1.05</v>
      </c>
      <c r="H684">
        <v>9.7450000000000002E-3</v>
      </c>
      <c r="I684">
        <v>0.18289139763779527</v>
      </c>
      <c r="J684">
        <v>4.9380677362204715E-2</v>
      </c>
      <c r="K684">
        <v>0.23227207499999999</v>
      </c>
      <c r="L684">
        <v>3.7037037037037042</v>
      </c>
    </row>
    <row r="685" spans="1:14" x14ac:dyDescent="0.2">
      <c r="A685">
        <v>488735</v>
      </c>
      <c r="B685">
        <v>100</v>
      </c>
      <c r="C685">
        <v>8</v>
      </c>
      <c r="D685">
        <v>0.25</v>
      </c>
      <c r="E685">
        <v>0.15</v>
      </c>
      <c r="F685">
        <v>0.25</v>
      </c>
      <c r="G685">
        <v>0.15</v>
      </c>
      <c r="H685">
        <v>3.8630000000000001E-3</v>
      </c>
      <c r="I685">
        <v>6.9047322834645672E-3</v>
      </c>
      <c r="J685">
        <v>6.2487827165354339E-3</v>
      </c>
      <c r="K685">
        <v>1.3153515000000001E-2</v>
      </c>
      <c r="L685">
        <v>1.1049723756906076</v>
      </c>
      <c r="M685">
        <v>6.9047322834645672E-3</v>
      </c>
      <c r="N685">
        <v>6.2487827165354339E-3</v>
      </c>
    </row>
    <row r="686" spans="1:14" x14ac:dyDescent="0.2">
      <c r="B686">
        <v>100</v>
      </c>
      <c r="C686">
        <v>8</v>
      </c>
      <c r="D686">
        <v>0.25</v>
      </c>
      <c r="E686">
        <v>0.15</v>
      </c>
      <c r="F686">
        <v>0.25</v>
      </c>
      <c r="G686">
        <v>0.15</v>
      </c>
      <c r="H686">
        <v>3.8630000000000001E-3</v>
      </c>
      <c r="I686">
        <v>6.9047322834645672E-3</v>
      </c>
      <c r="J686">
        <v>6.2487827165354339E-3</v>
      </c>
      <c r="K686">
        <v>1.3153515000000001E-2</v>
      </c>
      <c r="L686">
        <v>1.1049723756906076</v>
      </c>
    </row>
    <row r="687" spans="1:14" x14ac:dyDescent="0.2">
      <c r="A687">
        <v>488736</v>
      </c>
      <c r="B687">
        <v>100</v>
      </c>
      <c r="C687">
        <v>8</v>
      </c>
      <c r="D687">
        <v>0.65</v>
      </c>
      <c r="E687">
        <v>0.45</v>
      </c>
      <c r="F687">
        <v>0.65</v>
      </c>
      <c r="G687">
        <v>0.45</v>
      </c>
      <c r="H687">
        <v>3.8630000000000001E-3</v>
      </c>
      <c r="I687">
        <v>1.3809464566929134E-2</v>
      </c>
      <c r="J687">
        <v>2.5651080433070871E-2</v>
      </c>
      <c r="K687">
        <v>3.9460545000000007E-2</v>
      </c>
      <c r="L687">
        <v>0.53835800807537004</v>
      </c>
      <c r="M687">
        <v>1.3809464566929134E-2</v>
      </c>
      <c r="N687">
        <v>2.5651080433070871E-2</v>
      </c>
    </row>
    <row r="688" spans="1:14" x14ac:dyDescent="0.2">
      <c r="B688">
        <v>100</v>
      </c>
      <c r="C688">
        <v>8</v>
      </c>
      <c r="D688">
        <v>0.65</v>
      </c>
      <c r="E688">
        <v>0.45</v>
      </c>
      <c r="F688">
        <v>0.65</v>
      </c>
      <c r="G688">
        <v>0.45</v>
      </c>
      <c r="H688">
        <v>3.8630000000000001E-3</v>
      </c>
      <c r="I688">
        <v>1.3809464566929134E-2</v>
      </c>
      <c r="J688">
        <v>2.5651080433070871E-2</v>
      </c>
      <c r="K688">
        <v>3.9460545000000007E-2</v>
      </c>
      <c r="L688">
        <v>0.53835800807537004</v>
      </c>
    </row>
    <row r="689" spans="1:14" x14ac:dyDescent="0.2">
      <c r="A689">
        <v>488737</v>
      </c>
      <c r="B689">
        <v>100</v>
      </c>
      <c r="C689">
        <v>8</v>
      </c>
      <c r="D689">
        <v>2.65</v>
      </c>
      <c r="E689">
        <v>1.85</v>
      </c>
      <c r="F689">
        <v>2.65</v>
      </c>
      <c r="G689">
        <v>1.85</v>
      </c>
      <c r="H689">
        <v>3.8630000000000001E-3</v>
      </c>
      <c r="I689">
        <v>5.523785826771653E-2</v>
      </c>
      <c r="J689">
        <v>0.10698882673228349</v>
      </c>
      <c r="K689">
        <v>0.16222668500000004</v>
      </c>
      <c r="L689">
        <v>0.51629557921910274</v>
      </c>
      <c r="M689">
        <v>5.1785492125984253E-2</v>
      </c>
      <c r="N689">
        <v>0.10824894037401576</v>
      </c>
    </row>
    <row r="690" spans="1:14" x14ac:dyDescent="0.2">
      <c r="B690">
        <v>100</v>
      </c>
      <c r="C690">
        <v>8</v>
      </c>
      <c r="D690">
        <v>2.5</v>
      </c>
      <c r="E690">
        <v>1.8</v>
      </c>
      <c r="F690">
        <v>2.5</v>
      </c>
      <c r="G690">
        <v>1.8</v>
      </c>
      <c r="H690">
        <v>3.8630000000000001E-3</v>
      </c>
      <c r="I690">
        <v>4.8333125984251969E-2</v>
      </c>
      <c r="J690">
        <v>0.10950905401574804</v>
      </c>
      <c r="K690">
        <v>0.15784218</v>
      </c>
      <c r="L690">
        <v>0.44136191677175285</v>
      </c>
    </row>
    <row r="691" spans="1:14" x14ac:dyDescent="0.2">
      <c r="A691">
        <v>488738</v>
      </c>
      <c r="B691">
        <v>100</v>
      </c>
      <c r="C691">
        <v>8</v>
      </c>
      <c r="D691">
        <v>5.95</v>
      </c>
      <c r="E691">
        <v>4</v>
      </c>
      <c r="F691">
        <v>5.95</v>
      </c>
      <c r="G691">
        <v>4</v>
      </c>
      <c r="H691">
        <v>3.8630000000000001E-3</v>
      </c>
      <c r="I691">
        <v>0.13464227952755908</v>
      </c>
      <c r="J691">
        <v>0.21611812047244094</v>
      </c>
      <c r="K691">
        <v>0.35076040000000003</v>
      </c>
      <c r="L691">
        <v>0.62300319488817901</v>
      </c>
      <c r="M691">
        <v>0.1398208287401575</v>
      </c>
      <c r="N691">
        <v>0.22190083375984254</v>
      </c>
    </row>
    <row r="692" spans="1:14" x14ac:dyDescent="0.2">
      <c r="B692">
        <v>100</v>
      </c>
      <c r="C692">
        <v>8</v>
      </c>
      <c r="D692">
        <v>6.35</v>
      </c>
      <c r="E692">
        <v>4.25</v>
      </c>
      <c r="F692">
        <v>6.35</v>
      </c>
      <c r="G692">
        <v>4.25</v>
      </c>
      <c r="H692">
        <v>3.8630000000000001E-3</v>
      </c>
      <c r="I692">
        <v>0.14499937795275589</v>
      </c>
      <c r="J692">
        <v>0.22768354704724414</v>
      </c>
      <c r="K692">
        <v>0.372682925</v>
      </c>
      <c r="L692">
        <v>0.63684609552691407</v>
      </c>
    </row>
    <row r="693" spans="1:14" x14ac:dyDescent="0.2">
      <c r="A693">
        <v>488739</v>
      </c>
      <c r="B693">
        <v>100</v>
      </c>
      <c r="C693">
        <v>7</v>
      </c>
      <c r="D693">
        <v>3.95</v>
      </c>
      <c r="E693">
        <v>2.5</v>
      </c>
      <c r="F693">
        <v>3.95</v>
      </c>
      <c r="G693">
        <v>2.5</v>
      </c>
      <c r="H693">
        <v>9.7450000000000002E-3</v>
      </c>
      <c r="I693">
        <v>0.25256431102362209</v>
      </c>
      <c r="J693">
        <v>0.30046443897637803</v>
      </c>
      <c r="K693">
        <v>0.55302875000000018</v>
      </c>
      <c r="L693">
        <v>0.84057971014492749</v>
      </c>
      <c r="M693">
        <v>0.2438551968503937</v>
      </c>
      <c r="N693">
        <v>0.30364326564960642</v>
      </c>
    </row>
    <row r="694" spans="1:14" x14ac:dyDescent="0.2">
      <c r="B694">
        <v>100</v>
      </c>
      <c r="C694">
        <v>7</v>
      </c>
      <c r="D694">
        <v>3.8</v>
      </c>
      <c r="E694">
        <v>2.4500000000000002</v>
      </c>
      <c r="F694">
        <v>3.8</v>
      </c>
      <c r="G694">
        <v>2.4500000000000002</v>
      </c>
      <c r="H694">
        <v>9.7450000000000002E-3</v>
      </c>
      <c r="I694">
        <v>0.23514608267716533</v>
      </c>
      <c r="J694">
        <v>0.30682209232283486</v>
      </c>
      <c r="K694">
        <v>0.54196817500000016</v>
      </c>
      <c r="L694">
        <v>0.76639227930740783</v>
      </c>
    </row>
    <row r="695" spans="1:14" x14ac:dyDescent="0.2">
      <c r="A695">
        <v>488740</v>
      </c>
      <c r="B695">
        <v>100</v>
      </c>
      <c r="C695">
        <v>8</v>
      </c>
      <c r="D695">
        <v>5.3</v>
      </c>
      <c r="E695">
        <v>2.7</v>
      </c>
      <c r="F695">
        <v>5.3</v>
      </c>
      <c r="G695">
        <v>2.7</v>
      </c>
      <c r="H695">
        <v>3.8630000000000001E-3</v>
      </c>
      <c r="I695">
        <v>0.17952303937007874</v>
      </c>
      <c r="J695">
        <v>5.7240230629921285E-2</v>
      </c>
      <c r="K695">
        <v>0.23676327000000003</v>
      </c>
      <c r="L695">
        <v>3.1363088057901072</v>
      </c>
      <c r="M695">
        <v>0.17607067322834644</v>
      </c>
      <c r="N695">
        <v>5.6308091771653579E-2</v>
      </c>
    </row>
    <row r="696" spans="1:14" x14ac:dyDescent="0.2">
      <c r="B696">
        <v>100</v>
      </c>
      <c r="C696">
        <v>8</v>
      </c>
      <c r="D696">
        <v>5.0999999999999996</v>
      </c>
      <c r="E696">
        <v>2.6</v>
      </c>
      <c r="F696">
        <v>5.0999999999999996</v>
      </c>
      <c r="G696">
        <v>2.6</v>
      </c>
      <c r="H696">
        <v>3.8630000000000001E-3</v>
      </c>
      <c r="I696">
        <v>0.17261830708661413</v>
      </c>
      <c r="J696">
        <v>5.5375952913385873E-2</v>
      </c>
      <c r="K696">
        <v>0.22799426</v>
      </c>
      <c r="L696">
        <v>3.1172069825436375</v>
      </c>
    </row>
    <row r="697" spans="1:14" x14ac:dyDescent="0.2">
      <c r="A697">
        <v>488742</v>
      </c>
      <c r="B697">
        <v>100</v>
      </c>
      <c r="C697">
        <v>8</v>
      </c>
      <c r="D697">
        <v>3.75</v>
      </c>
      <c r="E697">
        <v>1.8</v>
      </c>
      <c r="F697">
        <v>3.75</v>
      </c>
      <c r="G697">
        <v>1.8</v>
      </c>
      <c r="H697">
        <v>3.8630000000000001E-3</v>
      </c>
      <c r="I697">
        <v>0.13464227952755906</v>
      </c>
      <c r="J697">
        <v>2.3199900472440978E-2</v>
      </c>
      <c r="K697">
        <v>0.15784218000000003</v>
      </c>
      <c r="L697">
        <v>5.8035714285714199</v>
      </c>
      <c r="M697">
        <v>0.13291609645669294</v>
      </c>
      <c r="N697">
        <v>3.1502841043307084E-2</v>
      </c>
    </row>
    <row r="698" spans="1:14" x14ac:dyDescent="0.2">
      <c r="B698">
        <v>100</v>
      </c>
      <c r="C698">
        <v>8</v>
      </c>
      <c r="D698">
        <v>3.85</v>
      </c>
      <c r="E698">
        <v>1.95</v>
      </c>
      <c r="F698">
        <v>3.85</v>
      </c>
      <c r="G698">
        <v>1.95</v>
      </c>
      <c r="H698">
        <v>3.8630000000000001E-3</v>
      </c>
      <c r="I698">
        <v>0.13118991338582681</v>
      </c>
      <c r="J698">
        <v>3.9805781614173197E-2</v>
      </c>
      <c r="K698">
        <v>0.170995695</v>
      </c>
      <c r="L698">
        <v>3.2957502168256756</v>
      </c>
    </row>
    <row r="699" spans="1:14" x14ac:dyDescent="0.2">
      <c r="A699">
        <v>488743</v>
      </c>
      <c r="B699">
        <v>100</v>
      </c>
      <c r="C699">
        <v>8</v>
      </c>
      <c r="D699">
        <v>3.25</v>
      </c>
      <c r="E699">
        <v>1.6</v>
      </c>
      <c r="F699">
        <v>3.25</v>
      </c>
      <c r="G699">
        <v>1.6</v>
      </c>
      <c r="H699">
        <v>3.8630000000000001E-3</v>
      </c>
      <c r="I699">
        <v>0.11392808267716535</v>
      </c>
      <c r="J699">
        <v>2.6376077322834663E-2</v>
      </c>
      <c r="K699">
        <v>0.14030416000000001</v>
      </c>
      <c r="L699">
        <v>4.3193717277486883</v>
      </c>
      <c r="M699">
        <v>0.12255899803149606</v>
      </c>
      <c r="N699">
        <v>3.0898676968503964E-2</v>
      </c>
    </row>
    <row r="700" spans="1:14" x14ac:dyDescent="0.2">
      <c r="B700">
        <v>100</v>
      </c>
      <c r="C700">
        <v>8</v>
      </c>
      <c r="D700">
        <v>3.8</v>
      </c>
      <c r="E700">
        <v>1.9</v>
      </c>
      <c r="F700">
        <v>3.8</v>
      </c>
      <c r="G700">
        <v>1.9</v>
      </c>
      <c r="H700">
        <v>3.8630000000000001E-3</v>
      </c>
      <c r="I700">
        <v>0.13118991338582678</v>
      </c>
      <c r="J700">
        <v>3.5421276614173262E-2</v>
      </c>
      <c r="K700">
        <v>0.16661119000000005</v>
      </c>
      <c r="L700">
        <v>3.7037037037037002</v>
      </c>
    </row>
    <row r="701" spans="1:14" x14ac:dyDescent="0.2">
      <c r="A701">
        <v>488751</v>
      </c>
      <c r="B701">
        <v>100</v>
      </c>
      <c r="C701">
        <v>8</v>
      </c>
      <c r="D701">
        <v>0.7</v>
      </c>
      <c r="E701">
        <v>0.5</v>
      </c>
      <c r="F701">
        <v>0.7</v>
      </c>
      <c r="G701">
        <v>0.5</v>
      </c>
      <c r="H701">
        <v>3.8630000000000001E-3</v>
      </c>
      <c r="I701">
        <v>1.3809464566929133E-2</v>
      </c>
      <c r="J701">
        <v>3.0035585433070874E-2</v>
      </c>
      <c r="K701">
        <v>4.384505000000001E-2</v>
      </c>
      <c r="L701">
        <v>0.45977011494252856</v>
      </c>
      <c r="M701">
        <v>1.3809464566929133E-2</v>
      </c>
      <c r="N701">
        <v>3.0035585433070874E-2</v>
      </c>
    </row>
    <row r="702" spans="1:14" x14ac:dyDescent="0.2">
      <c r="B702">
        <v>100</v>
      </c>
      <c r="C702">
        <v>8</v>
      </c>
      <c r="D702">
        <v>0.7</v>
      </c>
      <c r="E702">
        <v>0.5</v>
      </c>
      <c r="F702">
        <v>0.7</v>
      </c>
      <c r="G702">
        <v>0.5</v>
      </c>
      <c r="H702">
        <v>3.8630000000000001E-3</v>
      </c>
      <c r="I702">
        <v>1.3809464566929133E-2</v>
      </c>
      <c r="J702">
        <v>3.0035585433070874E-2</v>
      </c>
      <c r="K702">
        <v>4.384505000000001E-2</v>
      </c>
      <c r="L702">
        <v>0.45977011494252856</v>
      </c>
    </row>
    <row r="703" spans="1:14" x14ac:dyDescent="0.2">
      <c r="A703">
        <v>488752</v>
      </c>
      <c r="B703">
        <v>100</v>
      </c>
      <c r="C703">
        <v>8</v>
      </c>
      <c r="D703">
        <v>1.1499999999999999</v>
      </c>
      <c r="E703">
        <v>0.8</v>
      </c>
      <c r="F703">
        <v>1.1499999999999999</v>
      </c>
      <c r="G703">
        <v>0.8</v>
      </c>
      <c r="H703">
        <v>3.8630000000000001E-3</v>
      </c>
      <c r="I703">
        <v>2.4166562992125974E-2</v>
      </c>
      <c r="J703">
        <v>4.5985517007874031E-2</v>
      </c>
      <c r="K703">
        <v>7.0152080000000006E-2</v>
      </c>
      <c r="L703">
        <v>0.52552552552552512</v>
      </c>
      <c r="M703">
        <v>2.2440379921259839E-2</v>
      </c>
      <c r="N703">
        <v>4.7711700078740163E-2</v>
      </c>
    </row>
    <row r="704" spans="1:14" x14ac:dyDescent="0.2">
      <c r="B704">
        <v>100</v>
      </c>
      <c r="C704">
        <v>8</v>
      </c>
      <c r="D704">
        <v>1.1000000000000001</v>
      </c>
      <c r="E704">
        <v>0.8</v>
      </c>
      <c r="F704">
        <v>1.1000000000000001</v>
      </c>
      <c r="G704">
        <v>0.8</v>
      </c>
      <c r="H704">
        <v>3.8630000000000001E-3</v>
      </c>
      <c r="I704">
        <v>2.0714196850393704E-2</v>
      </c>
      <c r="J704">
        <v>4.9437883149606295E-2</v>
      </c>
      <c r="K704">
        <v>7.0152080000000006E-2</v>
      </c>
      <c r="L704">
        <v>0.41899441340782134</v>
      </c>
    </row>
    <row r="705" spans="1:14" x14ac:dyDescent="0.2">
      <c r="A705">
        <v>488753</v>
      </c>
      <c r="B705">
        <v>100</v>
      </c>
      <c r="C705">
        <v>8</v>
      </c>
      <c r="D705">
        <v>4.05</v>
      </c>
      <c r="E705">
        <v>2.75</v>
      </c>
      <c r="F705">
        <v>4.05</v>
      </c>
      <c r="G705">
        <v>2.75</v>
      </c>
      <c r="H705">
        <v>3.8630000000000001E-3</v>
      </c>
      <c r="I705">
        <v>8.976151968503937E-2</v>
      </c>
      <c r="J705">
        <v>0.15138625531496064</v>
      </c>
      <c r="K705">
        <v>0.24114777500000001</v>
      </c>
      <c r="L705">
        <v>0.59293044469783351</v>
      </c>
      <c r="M705">
        <v>8.976151968503937E-2</v>
      </c>
      <c r="N705">
        <v>0.15138625531496064</v>
      </c>
    </row>
    <row r="706" spans="1:14" x14ac:dyDescent="0.2">
      <c r="B706">
        <v>100</v>
      </c>
      <c r="C706">
        <v>8</v>
      </c>
      <c r="D706">
        <v>4.05</v>
      </c>
      <c r="E706">
        <v>2.75</v>
      </c>
      <c r="F706">
        <v>4.05</v>
      </c>
      <c r="G706">
        <v>2.75</v>
      </c>
      <c r="H706">
        <v>3.8630000000000001E-3</v>
      </c>
      <c r="I706">
        <v>8.976151968503937E-2</v>
      </c>
      <c r="J706">
        <v>0.15138625531496064</v>
      </c>
      <c r="K706">
        <v>0.24114777500000001</v>
      </c>
      <c r="L706">
        <v>0.59293044469783351</v>
      </c>
    </row>
    <row r="707" spans="1:14" x14ac:dyDescent="0.2">
      <c r="A707">
        <v>488754</v>
      </c>
      <c r="B707">
        <v>100</v>
      </c>
      <c r="C707">
        <v>8</v>
      </c>
      <c r="D707">
        <v>5.05</v>
      </c>
      <c r="E707">
        <v>3.4</v>
      </c>
      <c r="F707">
        <v>5.05</v>
      </c>
      <c r="G707">
        <v>3.4</v>
      </c>
      <c r="H707">
        <v>3.8630000000000001E-3</v>
      </c>
      <c r="I707">
        <v>0.11392808267716535</v>
      </c>
      <c r="J707">
        <v>0.1842182573228347</v>
      </c>
      <c r="K707">
        <v>0.29814634000000007</v>
      </c>
      <c r="L707">
        <v>0.61844077961019472</v>
      </c>
      <c r="M707">
        <v>0.11047571653543306</v>
      </c>
      <c r="N707">
        <v>0.181093865964567</v>
      </c>
    </row>
    <row r="708" spans="1:14" x14ac:dyDescent="0.2">
      <c r="B708">
        <v>100</v>
      </c>
      <c r="C708">
        <v>8</v>
      </c>
      <c r="D708">
        <v>4.8</v>
      </c>
      <c r="E708">
        <v>3.25</v>
      </c>
      <c r="F708">
        <v>4.8</v>
      </c>
      <c r="G708">
        <v>3.25</v>
      </c>
      <c r="H708">
        <v>3.8630000000000001E-3</v>
      </c>
      <c r="I708">
        <v>0.10702335039370078</v>
      </c>
      <c r="J708">
        <v>0.17796947460629928</v>
      </c>
      <c r="K708">
        <v>0.28499282500000006</v>
      </c>
      <c r="L708">
        <v>0.60135790494665353</v>
      </c>
    </row>
    <row r="709" spans="1:14" x14ac:dyDescent="0.2">
      <c r="A709">
        <v>488755</v>
      </c>
      <c r="B709">
        <v>100</v>
      </c>
      <c r="C709">
        <v>6</v>
      </c>
      <c r="D709">
        <v>3.6</v>
      </c>
      <c r="E709">
        <v>1.9</v>
      </c>
      <c r="F709">
        <v>3.6</v>
      </c>
      <c r="G709">
        <v>1.9</v>
      </c>
      <c r="H709">
        <v>3.5767E-2</v>
      </c>
      <c r="I709">
        <v>1.0868098661417325</v>
      </c>
      <c r="J709">
        <v>0.45582084385826777</v>
      </c>
      <c r="K709">
        <v>1.5426307100000003</v>
      </c>
      <c r="L709">
        <v>2.3842917251051894</v>
      </c>
      <c r="M709">
        <v>1.0708273681102365</v>
      </c>
      <c r="N709">
        <v>0.43120779688976374</v>
      </c>
    </row>
    <row r="710" spans="1:14" x14ac:dyDescent="0.2">
      <c r="B710">
        <v>100</v>
      </c>
      <c r="C710">
        <v>6</v>
      </c>
      <c r="D710">
        <v>3.45</v>
      </c>
      <c r="E710">
        <v>1.8</v>
      </c>
      <c r="F710">
        <v>3.45</v>
      </c>
      <c r="G710">
        <v>1.8</v>
      </c>
      <c r="H710">
        <v>3.5767E-2</v>
      </c>
      <c r="I710">
        <v>1.0548448700787403</v>
      </c>
      <c r="J710">
        <v>0.40659474992125977</v>
      </c>
      <c r="K710">
        <v>1.4614396200000002</v>
      </c>
      <c r="L710">
        <v>2.5943396226415101</v>
      </c>
    </row>
    <row r="711" spans="1:14" x14ac:dyDescent="0.2">
      <c r="A711">
        <v>488757</v>
      </c>
      <c r="B711">
        <v>100</v>
      </c>
      <c r="C711">
        <v>7</v>
      </c>
      <c r="D711">
        <v>2.85</v>
      </c>
      <c r="E711">
        <v>1.45</v>
      </c>
      <c r="F711">
        <v>2.85</v>
      </c>
      <c r="G711">
        <v>1.45</v>
      </c>
      <c r="H711">
        <v>9.7450000000000002E-3</v>
      </c>
      <c r="I711">
        <v>0.24385519685039372</v>
      </c>
      <c r="J711">
        <v>7.6901478149606281E-2</v>
      </c>
      <c r="K711">
        <v>0.32075667499999999</v>
      </c>
      <c r="L711">
        <v>3.17100792751982</v>
      </c>
      <c r="M711">
        <v>0.23950063976377955</v>
      </c>
      <c r="N711">
        <v>8.1256035236220492E-2</v>
      </c>
    </row>
    <row r="712" spans="1:14" x14ac:dyDescent="0.2">
      <c r="B712">
        <v>100</v>
      </c>
      <c r="C712">
        <v>7</v>
      </c>
      <c r="D712">
        <v>2.8</v>
      </c>
      <c r="E712">
        <v>1.45</v>
      </c>
      <c r="F712">
        <v>2.8</v>
      </c>
      <c r="G712">
        <v>1.45</v>
      </c>
      <c r="H712">
        <v>9.7450000000000002E-3</v>
      </c>
      <c r="I712">
        <v>0.23514608267716536</v>
      </c>
      <c r="J712">
        <v>8.5610592322834703E-2</v>
      </c>
      <c r="K712">
        <v>0.32075667500000005</v>
      </c>
      <c r="L712">
        <v>2.7466937945066108</v>
      </c>
    </row>
    <row r="713" spans="1:14" x14ac:dyDescent="0.2">
      <c r="A713">
        <v>488758</v>
      </c>
      <c r="B713">
        <v>100</v>
      </c>
      <c r="C713">
        <v>8</v>
      </c>
      <c r="D713">
        <v>4</v>
      </c>
      <c r="E713">
        <v>1.95</v>
      </c>
      <c r="F713">
        <v>4</v>
      </c>
      <c r="G713">
        <v>1.95</v>
      </c>
      <c r="H713">
        <v>3.8630000000000001E-3</v>
      </c>
      <c r="I713">
        <v>0.14154701181102361</v>
      </c>
      <c r="J713">
        <v>2.9448683188976373E-2</v>
      </c>
      <c r="K713">
        <v>0.17099569499999998</v>
      </c>
      <c r="L713">
        <v>4.8065650644783124</v>
      </c>
      <c r="M713">
        <v>0.14327319488188975</v>
      </c>
      <c r="N713">
        <v>2.9914752618110246E-2</v>
      </c>
    </row>
    <row r="714" spans="1:14" x14ac:dyDescent="0.2">
      <c r="B714">
        <v>100</v>
      </c>
      <c r="C714">
        <v>8</v>
      </c>
      <c r="D714">
        <v>4.0999999999999996</v>
      </c>
      <c r="E714">
        <v>2</v>
      </c>
      <c r="F714">
        <v>4.0999999999999996</v>
      </c>
      <c r="G714">
        <v>2</v>
      </c>
      <c r="H714">
        <v>3.8630000000000001E-3</v>
      </c>
      <c r="I714">
        <v>0.14499937795275589</v>
      </c>
      <c r="J714">
        <v>3.0380822047244117E-2</v>
      </c>
      <c r="K714">
        <v>0.17538020000000001</v>
      </c>
      <c r="L714">
        <v>4.7727272727272689</v>
      </c>
    </row>
    <row r="715" spans="1:14" x14ac:dyDescent="0.2">
      <c r="A715">
        <v>488759</v>
      </c>
      <c r="B715">
        <v>100</v>
      </c>
      <c r="C715">
        <v>8</v>
      </c>
      <c r="D715">
        <v>3.85</v>
      </c>
      <c r="E715">
        <v>1.85</v>
      </c>
      <c r="F715">
        <v>3.85</v>
      </c>
      <c r="G715">
        <v>1.85</v>
      </c>
      <c r="H715">
        <v>3.8630000000000001E-3</v>
      </c>
      <c r="I715">
        <v>0.13809464566929136</v>
      </c>
      <c r="J715">
        <v>2.413203933070868E-2</v>
      </c>
      <c r="K715">
        <v>0.16222668500000004</v>
      </c>
      <c r="L715">
        <v>5.722460658082972</v>
      </c>
      <c r="M715">
        <v>0.13809464566929136</v>
      </c>
      <c r="N715">
        <v>2.1939786830708689E-2</v>
      </c>
    </row>
    <row r="716" spans="1:14" x14ac:dyDescent="0.2">
      <c r="B716">
        <v>100</v>
      </c>
      <c r="C716">
        <v>8</v>
      </c>
      <c r="D716">
        <v>3.8</v>
      </c>
      <c r="E716">
        <v>1.8</v>
      </c>
      <c r="F716">
        <v>3.8</v>
      </c>
      <c r="G716">
        <v>1.8</v>
      </c>
      <c r="H716">
        <v>3.8630000000000001E-3</v>
      </c>
      <c r="I716">
        <v>0.13809464566929133</v>
      </c>
      <c r="J716">
        <v>1.9747534330708697E-2</v>
      </c>
      <c r="K716">
        <v>0.15784218000000003</v>
      </c>
      <c r="L716">
        <v>6.99300699300698</v>
      </c>
    </row>
    <row r="717" spans="1:14" x14ac:dyDescent="0.2">
      <c r="A717">
        <v>488256</v>
      </c>
      <c r="B717">
        <v>100</v>
      </c>
      <c r="C717">
        <v>8</v>
      </c>
      <c r="D717">
        <v>3.7</v>
      </c>
      <c r="E717">
        <v>1.95</v>
      </c>
      <c r="F717">
        <v>3.7</v>
      </c>
      <c r="G717">
        <v>1.95</v>
      </c>
      <c r="H717">
        <v>3.8630000000000001E-3</v>
      </c>
      <c r="I717">
        <v>0.12083281496062995</v>
      </c>
      <c r="J717">
        <v>5.0162880039370077E-2</v>
      </c>
      <c r="K717">
        <v>0.17099569500000003</v>
      </c>
      <c r="L717">
        <v>2.4088093599449421</v>
      </c>
      <c r="M717">
        <v>0.12083281496062995</v>
      </c>
      <c r="N717">
        <v>4.7970627539370092E-2</v>
      </c>
    </row>
    <row r="718" spans="1:14" x14ac:dyDescent="0.2">
      <c r="B718">
        <v>100</v>
      </c>
      <c r="C718">
        <v>8</v>
      </c>
      <c r="D718">
        <v>3.65</v>
      </c>
      <c r="E718">
        <v>1.9</v>
      </c>
      <c r="F718">
        <v>3.65</v>
      </c>
      <c r="G718">
        <v>1.9</v>
      </c>
      <c r="H718">
        <v>3.8630000000000001E-3</v>
      </c>
      <c r="I718">
        <v>0.12083281496062993</v>
      </c>
      <c r="J718">
        <v>4.5778375039370101E-2</v>
      </c>
      <c r="K718">
        <v>0.16661119000000002</v>
      </c>
      <c r="L718">
        <v>2.6395173453996974</v>
      </c>
    </row>
    <row r="719" spans="1:14" x14ac:dyDescent="0.2">
      <c r="A719">
        <v>488767</v>
      </c>
      <c r="B719">
        <v>100</v>
      </c>
      <c r="C719">
        <v>8</v>
      </c>
      <c r="D719">
        <v>0.45</v>
      </c>
      <c r="E719">
        <v>0.3</v>
      </c>
      <c r="F719">
        <v>0.45</v>
      </c>
      <c r="G719">
        <v>0.3</v>
      </c>
      <c r="H719">
        <v>3.8630000000000001E-3</v>
      </c>
      <c r="I719">
        <v>1.0357098425196852E-2</v>
      </c>
      <c r="J719">
        <v>1.594993157480315E-2</v>
      </c>
      <c r="K719">
        <v>2.6307030000000002E-2</v>
      </c>
      <c r="L719">
        <v>0.64935064935064946</v>
      </c>
      <c r="M719">
        <v>1.0357098425196852E-2</v>
      </c>
      <c r="N719">
        <v>1.8142184074803148E-2</v>
      </c>
    </row>
    <row r="720" spans="1:14" x14ac:dyDescent="0.2">
      <c r="B720">
        <v>100</v>
      </c>
      <c r="C720">
        <v>8</v>
      </c>
      <c r="D720">
        <v>0.5</v>
      </c>
      <c r="E720">
        <v>0.35</v>
      </c>
      <c r="F720">
        <v>0.5</v>
      </c>
      <c r="G720">
        <v>0.35</v>
      </c>
      <c r="H720">
        <v>3.8630000000000001E-3</v>
      </c>
      <c r="I720">
        <v>1.0357098425196852E-2</v>
      </c>
      <c r="J720">
        <v>2.0334436574803147E-2</v>
      </c>
      <c r="K720">
        <v>3.0691534999999999E-2</v>
      </c>
      <c r="L720">
        <v>0.50933786078098486</v>
      </c>
    </row>
    <row r="721" spans="1:14" x14ac:dyDescent="0.2">
      <c r="A721">
        <v>488768</v>
      </c>
      <c r="B721">
        <v>100</v>
      </c>
      <c r="C721">
        <v>8</v>
      </c>
      <c r="D721">
        <v>1.85</v>
      </c>
      <c r="E721">
        <v>1.3</v>
      </c>
      <c r="F721">
        <v>1.85</v>
      </c>
      <c r="G721">
        <v>1.3</v>
      </c>
      <c r="H721">
        <v>3.8630000000000001E-3</v>
      </c>
      <c r="I721">
        <v>3.7976027559055124E-2</v>
      </c>
      <c r="J721">
        <v>7.6021102440944885E-2</v>
      </c>
      <c r="K721">
        <v>0.11399713</v>
      </c>
      <c r="L721">
        <v>0.49954586739327889</v>
      </c>
      <c r="M721">
        <v>3.7976027559055124E-2</v>
      </c>
      <c r="N721">
        <v>7.382884994094488E-2</v>
      </c>
    </row>
    <row r="722" spans="1:14" x14ac:dyDescent="0.2">
      <c r="B722">
        <v>100</v>
      </c>
      <c r="C722">
        <v>8</v>
      </c>
      <c r="D722">
        <v>1.8</v>
      </c>
      <c r="E722">
        <v>1.25</v>
      </c>
      <c r="F722">
        <v>1.8</v>
      </c>
      <c r="G722">
        <v>1.25</v>
      </c>
      <c r="H722">
        <v>3.8630000000000001E-3</v>
      </c>
      <c r="I722">
        <v>3.7976027559055124E-2</v>
      </c>
      <c r="J722">
        <v>7.1636597440944888E-2</v>
      </c>
      <c r="K722">
        <v>0.10961262500000002</v>
      </c>
      <c r="L722">
        <v>0.53012048192771088</v>
      </c>
    </row>
    <row r="723" spans="1:14" x14ac:dyDescent="0.2">
      <c r="A723">
        <v>488769</v>
      </c>
      <c r="B723">
        <v>100</v>
      </c>
      <c r="C723">
        <v>8</v>
      </c>
      <c r="D723">
        <v>3.9</v>
      </c>
      <c r="E723">
        <v>2.5</v>
      </c>
      <c r="F723">
        <v>3.9</v>
      </c>
      <c r="G723">
        <v>2.5</v>
      </c>
      <c r="H723">
        <v>3.8630000000000001E-3</v>
      </c>
      <c r="I723">
        <v>9.6666251968503938E-2</v>
      </c>
      <c r="J723">
        <v>0.12255899803149609</v>
      </c>
      <c r="K723">
        <v>0.21922525000000004</v>
      </c>
      <c r="L723">
        <v>0.78873239436619702</v>
      </c>
      <c r="M723">
        <v>9.6666251968503952E-2</v>
      </c>
      <c r="N723">
        <v>0.12475125053149609</v>
      </c>
    </row>
    <row r="724" spans="1:14" x14ac:dyDescent="0.2">
      <c r="B724">
        <v>100</v>
      </c>
      <c r="C724">
        <v>8</v>
      </c>
      <c r="D724">
        <v>3.95</v>
      </c>
      <c r="E724">
        <v>2.5499999999999998</v>
      </c>
      <c r="F724">
        <v>3.95</v>
      </c>
      <c r="G724">
        <v>2.5499999999999998</v>
      </c>
      <c r="H724">
        <v>3.8630000000000001E-3</v>
      </c>
      <c r="I724">
        <v>9.6666251968503966E-2</v>
      </c>
      <c r="J724">
        <v>0.1269435030314961</v>
      </c>
      <c r="K724">
        <v>0.22360975500000008</v>
      </c>
      <c r="L724">
        <v>0.76149034539026383</v>
      </c>
    </row>
    <row r="725" spans="1:14" x14ac:dyDescent="0.2">
      <c r="A725">
        <v>488770</v>
      </c>
      <c r="B725">
        <v>100</v>
      </c>
      <c r="C725">
        <v>7</v>
      </c>
      <c r="D725">
        <v>4.9000000000000004</v>
      </c>
      <c r="E725">
        <v>2.95</v>
      </c>
      <c r="F725">
        <v>4.9000000000000004</v>
      </c>
      <c r="G725">
        <v>2.95</v>
      </c>
      <c r="H725">
        <v>9.7450000000000002E-3</v>
      </c>
      <c r="I725">
        <v>0.33965545275590558</v>
      </c>
      <c r="J725">
        <v>0.31291847224409469</v>
      </c>
      <c r="K725">
        <v>0.65257392500000022</v>
      </c>
      <c r="L725">
        <v>1.0854439187308651</v>
      </c>
      <c r="M725">
        <v>0.34836456692913387</v>
      </c>
      <c r="N725">
        <v>0.30420935807086635</v>
      </c>
    </row>
    <row r="726" spans="1:14" x14ac:dyDescent="0.2">
      <c r="B726">
        <v>100</v>
      </c>
      <c r="C726">
        <v>7</v>
      </c>
      <c r="D726">
        <v>5</v>
      </c>
      <c r="E726">
        <v>2.95</v>
      </c>
      <c r="F726">
        <v>5</v>
      </c>
      <c r="G726">
        <v>2.95</v>
      </c>
      <c r="H726">
        <v>9.7450000000000002E-3</v>
      </c>
      <c r="I726">
        <v>0.35707368110236215</v>
      </c>
      <c r="J726">
        <v>0.29550024389763796</v>
      </c>
      <c r="K726">
        <v>0.65257392500000011</v>
      </c>
      <c r="L726">
        <v>1.2083701738874144</v>
      </c>
    </row>
    <row r="727" spans="1:14" x14ac:dyDescent="0.2">
      <c r="A727">
        <v>488771</v>
      </c>
      <c r="B727">
        <v>100</v>
      </c>
      <c r="C727">
        <v>6</v>
      </c>
      <c r="D727">
        <v>3.15</v>
      </c>
      <c r="E727">
        <v>1.8</v>
      </c>
      <c r="F727">
        <v>3.15</v>
      </c>
      <c r="G727">
        <v>1.8</v>
      </c>
      <c r="H727">
        <v>3.5767E-2</v>
      </c>
      <c r="I727">
        <v>0.86305489370078736</v>
      </c>
      <c r="J727">
        <v>0.5983847262992128</v>
      </c>
      <c r="K727">
        <v>1.4614396200000002</v>
      </c>
      <c r="L727">
        <v>1.4423076923076918</v>
      </c>
      <c r="M727">
        <v>0.86305489370078736</v>
      </c>
      <c r="N727">
        <v>0.57808695379921271</v>
      </c>
    </row>
    <row r="728" spans="1:14" x14ac:dyDescent="0.2">
      <c r="B728">
        <v>100</v>
      </c>
      <c r="C728">
        <v>6</v>
      </c>
      <c r="D728">
        <v>3.1</v>
      </c>
      <c r="E728">
        <v>1.75</v>
      </c>
      <c r="F728">
        <v>3.1</v>
      </c>
      <c r="G728">
        <v>1.75</v>
      </c>
      <c r="H728">
        <v>3.5767E-2</v>
      </c>
      <c r="I728">
        <v>0.86305489370078747</v>
      </c>
      <c r="J728">
        <v>0.55778918129921262</v>
      </c>
      <c r="K728">
        <v>1.4208440750000002</v>
      </c>
      <c r="L728">
        <v>1.5472779369627507</v>
      </c>
    </row>
    <row r="729" spans="1:14" x14ac:dyDescent="0.2">
      <c r="A729">
        <v>488772</v>
      </c>
      <c r="B729">
        <v>100</v>
      </c>
      <c r="C729">
        <v>7</v>
      </c>
      <c r="D729">
        <v>4.75</v>
      </c>
      <c r="E729">
        <v>2.65</v>
      </c>
      <c r="F729">
        <v>4.75</v>
      </c>
      <c r="G729">
        <v>2.65</v>
      </c>
      <c r="H729">
        <v>9.7450000000000002E-3</v>
      </c>
      <c r="I729">
        <v>0.36578279527559054</v>
      </c>
      <c r="J729">
        <v>0.22042767972440941</v>
      </c>
      <c r="K729">
        <v>0.5862104749999999</v>
      </c>
      <c r="L729">
        <v>1.6594231529039909</v>
      </c>
      <c r="M729">
        <v>0.37449190944881894</v>
      </c>
      <c r="N729">
        <v>0.20065799055118111</v>
      </c>
    </row>
    <row r="730" spans="1:14" x14ac:dyDescent="0.2">
      <c r="B730">
        <v>100</v>
      </c>
      <c r="C730">
        <v>7</v>
      </c>
      <c r="D730">
        <v>4.75</v>
      </c>
      <c r="E730">
        <v>2.5499999999999998</v>
      </c>
      <c r="F730">
        <v>4.75</v>
      </c>
      <c r="G730">
        <v>2.5499999999999998</v>
      </c>
      <c r="H730">
        <v>9.7450000000000002E-3</v>
      </c>
      <c r="I730">
        <v>0.38320102362204733</v>
      </c>
      <c r="J730">
        <v>0.18088830137795281</v>
      </c>
      <c r="K730">
        <v>0.56408932500000009</v>
      </c>
      <c r="L730">
        <v>2.1184400577756377</v>
      </c>
    </row>
    <row r="731" spans="1:14" x14ac:dyDescent="0.2">
      <c r="A731">
        <v>488773</v>
      </c>
      <c r="B731">
        <v>100</v>
      </c>
      <c r="C731">
        <v>8</v>
      </c>
      <c r="D731">
        <v>5.25</v>
      </c>
      <c r="E731">
        <v>2.7</v>
      </c>
      <c r="F731">
        <v>5.25</v>
      </c>
      <c r="G731">
        <v>2.7</v>
      </c>
      <c r="H731">
        <v>3.8630000000000001E-3</v>
      </c>
      <c r="I731">
        <v>0.17607067322834646</v>
      </c>
      <c r="J731">
        <v>6.0692596771653562E-2</v>
      </c>
      <c r="K731">
        <v>0.23676327000000003</v>
      </c>
      <c r="L731">
        <v>2.9010238907849821</v>
      </c>
      <c r="M731">
        <v>0.17952303937007874</v>
      </c>
      <c r="N731">
        <v>6.1624735629921268E-2</v>
      </c>
    </row>
    <row r="732" spans="1:14" x14ac:dyDescent="0.2">
      <c r="B732">
        <v>100</v>
      </c>
      <c r="C732">
        <v>8</v>
      </c>
      <c r="D732">
        <v>5.45</v>
      </c>
      <c r="E732">
        <v>2.8</v>
      </c>
      <c r="F732">
        <v>5.45</v>
      </c>
      <c r="G732">
        <v>2.8</v>
      </c>
      <c r="H732">
        <v>3.8630000000000001E-3</v>
      </c>
      <c r="I732">
        <v>0.18297540551181105</v>
      </c>
      <c r="J732">
        <v>6.2556874488188974E-2</v>
      </c>
      <c r="K732">
        <v>0.24553228000000002</v>
      </c>
      <c r="L732">
        <v>2.9249448123620314</v>
      </c>
    </row>
    <row r="733" spans="1:14" x14ac:dyDescent="0.2">
      <c r="A733">
        <v>488774</v>
      </c>
      <c r="B733">
        <v>100</v>
      </c>
      <c r="C733">
        <v>8</v>
      </c>
      <c r="D733">
        <v>3.8</v>
      </c>
      <c r="E733">
        <v>1.85</v>
      </c>
      <c r="F733">
        <v>3.8</v>
      </c>
      <c r="G733">
        <v>1.85</v>
      </c>
      <c r="H733">
        <v>3.8630000000000001E-3</v>
      </c>
      <c r="I733">
        <v>0.13464227952755903</v>
      </c>
      <c r="J733">
        <v>2.7584405472440999E-2</v>
      </c>
      <c r="K733">
        <v>0.16222668500000004</v>
      </c>
      <c r="L733">
        <v>4.8811013767208902</v>
      </c>
      <c r="M733">
        <v>0.1380946456692913</v>
      </c>
      <c r="N733">
        <v>3.07087968307087E-2</v>
      </c>
    </row>
    <row r="734" spans="1:14" x14ac:dyDescent="0.2">
      <c r="B734">
        <v>100</v>
      </c>
      <c r="C734">
        <v>8</v>
      </c>
      <c r="D734">
        <v>4.05</v>
      </c>
      <c r="E734">
        <v>2</v>
      </c>
      <c r="F734">
        <v>4.05</v>
      </c>
      <c r="G734">
        <v>2</v>
      </c>
      <c r="H734">
        <v>3.8630000000000001E-3</v>
      </c>
      <c r="I734">
        <v>0.14154701181102361</v>
      </c>
      <c r="J734">
        <v>3.3833188188976397E-2</v>
      </c>
      <c r="K734">
        <v>0.17538020000000001</v>
      </c>
      <c r="L734">
        <v>4.1836734693877524</v>
      </c>
    </row>
    <row r="735" spans="1:14" x14ac:dyDescent="0.2">
      <c r="A735">
        <v>488775</v>
      </c>
      <c r="B735">
        <v>100</v>
      </c>
      <c r="C735">
        <v>8</v>
      </c>
      <c r="D735">
        <v>3.7</v>
      </c>
      <c r="E735">
        <v>1.85</v>
      </c>
      <c r="F735">
        <v>3.7</v>
      </c>
      <c r="G735">
        <v>1.85</v>
      </c>
      <c r="H735">
        <v>3.8630000000000001E-3</v>
      </c>
      <c r="I735">
        <v>0.12773754724409447</v>
      </c>
      <c r="J735">
        <v>3.4489137755905556E-2</v>
      </c>
      <c r="K735">
        <v>0.16222668500000004</v>
      </c>
      <c r="L735">
        <v>3.7037037037036984</v>
      </c>
      <c r="M735">
        <v>0.12773754724409447</v>
      </c>
      <c r="N735">
        <v>3.2296885255905544E-2</v>
      </c>
    </row>
    <row r="736" spans="1:14" x14ac:dyDescent="0.2">
      <c r="B736">
        <v>100</v>
      </c>
      <c r="C736">
        <v>8</v>
      </c>
      <c r="D736">
        <v>3.65</v>
      </c>
      <c r="E736">
        <v>1.8</v>
      </c>
      <c r="F736">
        <v>3.65</v>
      </c>
      <c r="G736">
        <v>1.8</v>
      </c>
      <c r="H736">
        <v>3.8630000000000001E-3</v>
      </c>
      <c r="I736">
        <v>0.12773754724409447</v>
      </c>
      <c r="J736">
        <v>3.0104632755905532E-2</v>
      </c>
      <c r="K736">
        <v>0.15784218</v>
      </c>
      <c r="L736">
        <v>4.243119266055043</v>
      </c>
    </row>
    <row r="737" spans="1:14" x14ac:dyDescent="0.2">
      <c r="A737">
        <v>488786</v>
      </c>
      <c r="B737">
        <v>100</v>
      </c>
      <c r="C737">
        <v>8</v>
      </c>
      <c r="D737">
        <v>0.65</v>
      </c>
      <c r="E737">
        <v>0.45</v>
      </c>
      <c r="F737">
        <v>0.65</v>
      </c>
      <c r="G737">
        <v>0.45</v>
      </c>
      <c r="H737">
        <v>3.8630000000000001E-3</v>
      </c>
      <c r="I737">
        <v>1.3809464566929134E-2</v>
      </c>
      <c r="J737">
        <v>2.5651080433070871E-2</v>
      </c>
      <c r="K737">
        <v>3.9460545000000007E-2</v>
      </c>
      <c r="L737">
        <v>0.53835800807537004</v>
      </c>
      <c r="M737">
        <v>1.2083281496062994E-2</v>
      </c>
      <c r="N737">
        <v>2.9569516003937011E-2</v>
      </c>
    </row>
    <row r="738" spans="1:14" x14ac:dyDescent="0.2">
      <c r="B738">
        <v>100</v>
      </c>
      <c r="C738">
        <v>8</v>
      </c>
      <c r="D738">
        <v>0.65</v>
      </c>
      <c r="E738">
        <v>0.5</v>
      </c>
      <c r="F738">
        <v>0.65</v>
      </c>
      <c r="G738">
        <v>0.5</v>
      </c>
      <c r="H738">
        <v>3.8630000000000001E-3</v>
      </c>
      <c r="I738">
        <v>1.0357098425196852E-2</v>
      </c>
      <c r="J738">
        <v>3.3487951574803151E-2</v>
      </c>
      <c r="K738">
        <v>4.3845050000000003E-2</v>
      </c>
      <c r="L738">
        <v>0.30927835051546393</v>
      </c>
    </row>
    <row r="739" spans="1:14" x14ac:dyDescent="0.2">
      <c r="A739">
        <v>488787</v>
      </c>
      <c r="B739">
        <v>100</v>
      </c>
      <c r="C739">
        <v>8</v>
      </c>
      <c r="D739">
        <v>3.25</v>
      </c>
      <c r="E739">
        <v>2.2000000000000002</v>
      </c>
      <c r="F739">
        <v>3.25</v>
      </c>
      <c r="G739">
        <v>2.2000000000000002</v>
      </c>
      <c r="H739">
        <v>3.8630000000000001E-3</v>
      </c>
      <c r="I739">
        <v>7.2499688976377943E-2</v>
      </c>
      <c r="J739">
        <v>0.12041853102362207</v>
      </c>
      <c r="K739">
        <v>0.19291822000000003</v>
      </c>
      <c r="L739">
        <v>0.60206422018348604</v>
      </c>
      <c r="M739">
        <v>7.2499688976377943E-2</v>
      </c>
      <c r="N739">
        <v>0.11603402602362207</v>
      </c>
    </row>
    <row r="740" spans="1:14" x14ac:dyDescent="0.2">
      <c r="B740">
        <v>100</v>
      </c>
      <c r="C740">
        <v>8</v>
      </c>
      <c r="D740">
        <v>3.15</v>
      </c>
      <c r="E740">
        <v>2.1</v>
      </c>
      <c r="F740">
        <v>3.15</v>
      </c>
      <c r="G740">
        <v>2.1</v>
      </c>
      <c r="H740">
        <v>3.8630000000000001E-3</v>
      </c>
      <c r="I740">
        <v>7.2499688976377943E-2</v>
      </c>
      <c r="J740">
        <v>0.11164952102362208</v>
      </c>
      <c r="K740">
        <v>0.18414921000000001</v>
      </c>
      <c r="L740">
        <v>0.64935064935064912</v>
      </c>
    </row>
    <row r="741" spans="1:14" x14ac:dyDescent="0.2">
      <c r="A741">
        <v>488789</v>
      </c>
      <c r="B741">
        <v>100</v>
      </c>
      <c r="C741">
        <v>6</v>
      </c>
      <c r="D741">
        <v>3.3</v>
      </c>
      <c r="E741">
        <v>1.85</v>
      </c>
      <c r="F741">
        <v>3.3</v>
      </c>
      <c r="G741">
        <v>1.85</v>
      </c>
      <c r="H741">
        <v>3.5767E-2</v>
      </c>
      <c r="I741">
        <v>0.92698488582677152</v>
      </c>
      <c r="J741">
        <v>0.5750502791732286</v>
      </c>
      <c r="K741">
        <v>1.5020351650000001</v>
      </c>
      <c r="L741">
        <v>1.6120066703724283</v>
      </c>
      <c r="M741">
        <v>0.94296738385826762</v>
      </c>
      <c r="N741">
        <v>0.57936555364173248</v>
      </c>
    </row>
    <row r="742" spans="1:14" x14ac:dyDescent="0.2">
      <c r="B742">
        <v>100</v>
      </c>
      <c r="C742">
        <v>6</v>
      </c>
      <c r="D742">
        <v>3.4</v>
      </c>
      <c r="E742">
        <v>1.9</v>
      </c>
      <c r="F742">
        <v>3.4</v>
      </c>
      <c r="G742">
        <v>1.9</v>
      </c>
      <c r="H742">
        <v>3.5767E-2</v>
      </c>
      <c r="I742">
        <v>0.95894988188976371</v>
      </c>
      <c r="J742">
        <v>0.58368082811023636</v>
      </c>
      <c r="K742">
        <v>1.5426307100000001</v>
      </c>
      <c r="L742">
        <v>1.6429353778751363</v>
      </c>
    </row>
    <row r="743" spans="1:14" x14ac:dyDescent="0.2">
      <c r="A743">
        <v>488790</v>
      </c>
      <c r="B743">
        <v>100</v>
      </c>
      <c r="C743">
        <v>6</v>
      </c>
      <c r="D743">
        <v>2.25</v>
      </c>
      <c r="E743">
        <v>1.2</v>
      </c>
      <c r="F743">
        <v>2.25</v>
      </c>
      <c r="G743">
        <v>1.2</v>
      </c>
      <c r="H743">
        <v>3.5767E-2</v>
      </c>
      <c r="I743">
        <v>0.67126491732283466</v>
      </c>
      <c r="J743">
        <v>0.30302816267716526</v>
      </c>
      <c r="K743">
        <v>0.97429307999999992</v>
      </c>
      <c r="L743">
        <v>2.2151898734177222</v>
      </c>
      <c r="M743">
        <v>0.65528241929133868</v>
      </c>
      <c r="N743">
        <v>0.33930843320866139</v>
      </c>
    </row>
    <row r="744" spans="1:14" x14ac:dyDescent="0.2">
      <c r="B744">
        <v>100</v>
      </c>
      <c r="C744">
        <v>6</v>
      </c>
      <c r="D744">
        <v>2.25</v>
      </c>
      <c r="E744">
        <v>1.25</v>
      </c>
      <c r="F744">
        <v>2.25</v>
      </c>
      <c r="G744">
        <v>1.25</v>
      </c>
      <c r="H744">
        <v>3.5767E-2</v>
      </c>
      <c r="I744">
        <v>0.63929992125984259</v>
      </c>
      <c r="J744">
        <v>0.37558870374015751</v>
      </c>
      <c r="K744">
        <v>1.0148886250000002</v>
      </c>
      <c r="L744">
        <v>1.7021276595744681</v>
      </c>
    </row>
    <row r="745" spans="1:14" x14ac:dyDescent="0.2">
      <c r="A745">
        <v>488791</v>
      </c>
      <c r="B745">
        <v>100</v>
      </c>
      <c r="C745">
        <v>7</v>
      </c>
      <c r="D745">
        <v>3.25</v>
      </c>
      <c r="E745">
        <v>1.7</v>
      </c>
      <c r="F745">
        <v>3.25</v>
      </c>
      <c r="G745">
        <v>1.7</v>
      </c>
      <c r="H745">
        <v>9.7450000000000002E-3</v>
      </c>
      <c r="I745">
        <v>0.26998253937007877</v>
      </c>
      <c r="J745">
        <v>0.1060770106299213</v>
      </c>
      <c r="K745">
        <v>0.37605955000000008</v>
      </c>
      <c r="L745">
        <v>2.5451559934318548</v>
      </c>
      <c r="M745">
        <v>0.26562798228346463</v>
      </c>
      <c r="N745">
        <v>0.11596185521653546</v>
      </c>
    </row>
    <row r="746" spans="1:14" x14ac:dyDescent="0.2">
      <c r="B746">
        <v>100</v>
      </c>
      <c r="C746">
        <v>7</v>
      </c>
      <c r="D746">
        <v>3.25</v>
      </c>
      <c r="E746">
        <v>1.75</v>
      </c>
      <c r="F746">
        <v>3.25</v>
      </c>
      <c r="G746">
        <v>1.75</v>
      </c>
      <c r="H746">
        <v>9.7450000000000002E-3</v>
      </c>
      <c r="I746">
        <v>0.26127342519685043</v>
      </c>
      <c r="J746">
        <v>0.12584669980314961</v>
      </c>
      <c r="K746">
        <v>0.38712012500000004</v>
      </c>
      <c r="L746">
        <v>2.0761245674740487</v>
      </c>
    </row>
    <row r="747" spans="1:14" x14ac:dyDescent="0.2">
      <c r="A747">
        <v>488792</v>
      </c>
      <c r="B747">
        <v>100</v>
      </c>
      <c r="C747">
        <v>7</v>
      </c>
      <c r="D747">
        <v>2.35</v>
      </c>
      <c r="E747">
        <v>1.2</v>
      </c>
      <c r="F747">
        <v>2.35</v>
      </c>
      <c r="G747">
        <v>1.2</v>
      </c>
      <c r="H747">
        <v>9.7450000000000002E-3</v>
      </c>
      <c r="I747">
        <v>0.200309625984252</v>
      </c>
      <c r="J747">
        <v>6.5144174015748041E-2</v>
      </c>
      <c r="K747">
        <v>0.26545380000000007</v>
      </c>
      <c r="L747">
        <v>3.0748663101604281</v>
      </c>
      <c r="M747">
        <v>0.200309625984252</v>
      </c>
      <c r="N747">
        <v>6.5144174015748041E-2</v>
      </c>
    </row>
    <row r="748" spans="1:14" x14ac:dyDescent="0.2">
      <c r="B748">
        <v>100</v>
      </c>
      <c r="C748">
        <v>7</v>
      </c>
      <c r="D748">
        <v>2.35</v>
      </c>
      <c r="E748">
        <v>1.2</v>
      </c>
      <c r="F748">
        <v>2.35</v>
      </c>
      <c r="G748">
        <v>1.2</v>
      </c>
      <c r="H748">
        <v>9.7450000000000002E-3</v>
      </c>
      <c r="I748">
        <v>0.200309625984252</v>
      </c>
      <c r="J748">
        <v>6.5144174015748041E-2</v>
      </c>
      <c r="K748">
        <v>0.26545380000000007</v>
      </c>
      <c r="L748">
        <v>3.0748663101604281</v>
      </c>
    </row>
    <row r="749" spans="1:14" x14ac:dyDescent="0.2">
      <c r="A749">
        <v>488793</v>
      </c>
      <c r="B749">
        <v>100</v>
      </c>
      <c r="C749">
        <v>8</v>
      </c>
      <c r="D749">
        <v>4.8</v>
      </c>
      <c r="E749">
        <v>2.4500000000000002</v>
      </c>
      <c r="F749">
        <v>4.8</v>
      </c>
      <c r="G749">
        <v>2.4500000000000002</v>
      </c>
      <c r="H749">
        <v>3.8630000000000001E-3</v>
      </c>
      <c r="I749">
        <v>0.1622612086614173</v>
      </c>
      <c r="J749">
        <v>5.2579536338582748E-2</v>
      </c>
      <c r="K749">
        <v>0.21484074500000006</v>
      </c>
      <c r="L749">
        <v>3.0860144451739941</v>
      </c>
      <c r="M749">
        <v>0.16053502559055116</v>
      </c>
      <c r="N749">
        <v>5.6497971909448885E-2</v>
      </c>
    </row>
    <row r="750" spans="1:14" x14ac:dyDescent="0.2">
      <c r="B750">
        <v>100</v>
      </c>
      <c r="C750">
        <v>8</v>
      </c>
      <c r="D750">
        <v>4.8</v>
      </c>
      <c r="E750">
        <v>2.5</v>
      </c>
      <c r="F750">
        <v>4.8</v>
      </c>
      <c r="G750">
        <v>2.5</v>
      </c>
      <c r="H750">
        <v>3.8630000000000001E-3</v>
      </c>
      <c r="I750">
        <v>0.15880884251968502</v>
      </c>
      <c r="J750">
        <v>6.0416407480315015E-2</v>
      </c>
      <c r="K750">
        <v>0.21922525000000004</v>
      </c>
      <c r="L750">
        <v>2.6285714285714259</v>
      </c>
    </row>
    <row r="751" spans="1:14" x14ac:dyDescent="0.2">
      <c r="A751">
        <v>488794</v>
      </c>
      <c r="B751">
        <v>100</v>
      </c>
      <c r="C751">
        <v>8</v>
      </c>
      <c r="D751">
        <v>4.55</v>
      </c>
      <c r="E751">
        <v>2.25</v>
      </c>
      <c r="F751">
        <v>4.55</v>
      </c>
      <c r="G751">
        <v>2.25</v>
      </c>
      <c r="H751">
        <v>3.8630000000000001E-3</v>
      </c>
      <c r="I751">
        <v>0.15880884251968502</v>
      </c>
      <c r="J751">
        <v>3.8493882480314968E-2</v>
      </c>
      <c r="K751">
        <v>0.19730272499999998</v>
      </c>
      <c r="L751">
        <v>4.1255605381165905</v>
      </c>
      <c r="M751">
        <v>0.20714196850393699</v>
      </c>
      <c r="N751">
        <v>3.8390311496063055E-2</v>
      </c>
    </row>
    <row r="752" spans="1:14" x14ac:dyDescent="0.2">
      <c r="B752">
        <v>100</v>
      </c>
      <c r="C752">
        <v>8</v>
      </c>
      <c r="D752">
        <v>7.05</v>
      </c>
      <c r="E752">
        <v>3.35</v>
      </c>
      <c r="F752">
        <v>7.05</v>
      </c>
      <c r="G752">
        <v>3.35</v>
      </c>
      <c r="H752">
        <v>3.8630000000000001E-3</v>
      </c>
      <c r="I752">
        <v>0.25547509448818895</v>
      </c>
      <c r="J752">
        <v>3.8286740511811142E-2</v>
      </c>
      <c r="K752">
        <v>0.29376183500000008</v>
      </c>
      <c r="L752">
        <v>6.6726780883678778</v>
      </c>
    </row>
    <row r="753" spans="1:14" x14ac:dyDescent="0.2">
      <c r="A753">
        <v>488805</v>
      </c>
      <c r="B753">
        <v>100</v>
      </c>
      <c r="C753">
        <v>8</v>
      </c>
      <c r="D753">
        <v>0.45</v>
      </c>
      <c r="E753">
        <v>0.3</v>
      </c>
      <c r="F753">
        <v>0.45</v>
      </c>
      <c r="G753">
        <v>0.3</v>
      </c>
      <c r="H753">
        <v>3.8630000000000001E-3</v>
      </c>
      <c r="I753">
        <v>1.0357098425196852E-2</v>
      </c>
      <c r="J753">
        <v>1.594993157480315E-2</v>
      </c>
      <c r="K753">
        <v>2.6307030000000002E-2</v>
      </c>
      <c r="L753">
        <v>0.64935064935064946</v>
      </c>
      <c r="M753">
        <v>1.3809464566929136E-2</v>
      </c>
      <c r="N753">
        <v>1.4689817933070868E-2</v>
      </c>
    </row>
    <row r="754" spans="1:14" x14ac:dyDescent="0.2">
      <c r="B754">
        <v>100</v>
      </c>
      <c r="C754">
        <v>8</v>
      </c>
      <c r="D754">
        <v>0.6</v>
      </c>
      <c r="E754">
        <v>0.35</v>
      </c>
      <c r="F754">
        <v>0.6</v>
      </c>
      <c r="G754">
        <v>0.35</v>
      </c>
      <c r="H754">
        <v>3.8630000000000001E-3</v>
      </c>
      <c r="I754">
        <v>1.726183070866142E-2</v>
      </c>
      <c r="J754">
        <v>1.3429704291338584E-2</v>
      </c>
      <c r="K754">
        <v>3.0691535000000006E-2</v>
      </c>
      <c r="L754">
        <v>1.2853470437017995</v>
      </c>
    </row>
    <row r="755" spans="1:14" x14ac:dyDescent="0.2">
      <c r="A755">
        <v>488809</v>
      </c>
      <c r="B755">
        <v>100</v>
      </c>
      <c r="C755">
        <v>7</v>
      </c>
      <c r="D755">
        <v>5</v>
      </c>
      <c r="E755">
        <v>2.9</v>
      </c>
      <c r="F755">
        <v>5</v>
      </c>
      <c r="G755">
        <v>2.9</v>
      </c>
      <c r="H755">
        <v>9.7450000000000002E-3</v>
      </c>
      <c r="I755">
        <v>0.36578279527559054</v>
      </c>
      <c r="J755">
        <v>0.27573055472440949</v>
      </c>
      <c r="K755">
        <v>0.64151335000000009</v>
      </c>
      <c r="L755">
        <v>1.3265950726468727</v>
      </c>
      <c r="M755">
        <v>0.36142823818897635</v>
      </c>
      <c r="N755">
        <v>0.2911456868110236</v>
      </c>
    </row>
    <row r="756" spans="1:14" x14ac:dyDescent="0.2">
      <c r="B756">
        <v>100</v>
      </c>
      <c r="C756">
        <v>7</v>
      </c>
      <c r="D756">
        <v>5.05</v>
      </c>
      <c r="E756">
        <v>3</v>
      </c>
      <c r="F756">
        <v>5.05</v>
      </c>
      <c r="G756">
        <v>3</v>
      </c>
      <c r="H756">
        <v>9.7450000000000002E-3</v>
      </c>
      <c r="I756">
        <v>0.35707368110236215</v>
      </c>
      <c r="J756">
        <v>0.30656081889763775</v>
      </c>
      <c r="K756">
        <v>0.66363449999999991</v>
      </c>
      <c r="L756">
        <v>1.1647727272727273</v>
      </c>
    </row>
    <row r="757" spans="1:14" x14ac:dyDescent="0.2">
      <c r="A757">
        <v>488810</v>
      </c>
      <c r="B757">
        <v>100</v>
      </c>
      <c r="C757">
        <v>7</v>
      </c>
      <c r="D757">
        <v>4.5</v>
      </c>
      <c r="E757">
        <v>2.6</v>
      </c>
      <c r="F757">
        <v>4.5</v>
      </c>
      <c r="G757">
        <v>2.6</v>
      </c>
      <c r="H757">
        <v>9.7450000000000002E-3</v>
      </c>
      <c r="I757">
        <v>0.33094633858267719</v>
      </c>
      <c r="J757">
        <v>0.24420356141732277</v>
      </c>
      <c r="K757">
        <v>0.57514989999999999</v>
      </c>
      <c r="L757">
        <v>1.3552068473609133</v>
      </c>
      <c r="M757">
        <v>0.32659178149606305</v>
      </c>
      <c r="N757">
        <v>0.26514898100393702</v>
      </c>
    </row>
    <row r="758" spans="1:14" x14ac:dyDescent="0.2">
      <c r="B758">
        <v>100</v>
      </c>
      <c r="C758">
        <v>7</v>
      </c>
      <c r="D758">
        <v>4.5999999999999996</v>
      </c>
      <c r="E758">
        <v>2.75</v>
      </c>
      <c r="F758">
        <v>4.5999999999999996</v>
      </c>
      <c r="G758">
        <v>2.75</v>
      </c>
      <c r="H758">
        <v>9.7450000000000002E-3</v>
      </c>
      <c r="I758">
        <v>0.32223722440944885</v>
      </c>
      <c r="J758">
        <v>0.2860944005905513</v>
      </c>
      <c r="K758">
        <v>0.60833162500000015</v>
      </c>
      <c r="L758">
        <v>1.1263318112633178</v>
      </c>
    </row>
    <row r="759" spans="1:14" x14ac:dyDescent="0.2">
      <c r="A759">
        <v>488811</v>
      </c>
      <c r="B759">
        <v>100</v>
      </c>
      <c r="C759">
        <v>7</v>
      </c>
      <c r="D759">
        <v>2.2000000000000002</v>
      </c>
      <c r="E759">
        <v>1.1499999999999999</v>
      </c>
      <c r="F759">
        <v>2.2000000000000002</v>
      </c>
      <c r="G759">
        <v>1.1499999999999999</v>
      </c>
      <c r="H759">
        <v>9.7450000000000002E-3</v>
      </c>
      <c r="I759">
        <v>0.1828913976377953</v>
      </c>
      <c r="J759">
        <v>7.1501827362204645E-2</v>
      </c>
      <c r="K759">
        <v>0.25439322499999995</v>
      </c>
      <c r="L759">
        <v>2.5578562728380057</v>
      </c>
      <c r="M759">
        <v>0.17418228346456696</v>
      </c>
      <c r="N759">
        <v>8.0210941535433011E-2</v>
      </c>
    </row>
    <row r="760" spans="1:14" x14ac:dyDescent="0.2">
      <c r="B760">
        <v>100</v>
      </c>
      <c r="C760">
        <v>7</v>
      </c>
      <c r="D760">
        <v>2.1</v>
      </c>
      <c r="E760">
        <v>1.1499999999999999</v>
      </c>
      <c r="F760">
        <v>2.1</v>
      </c>
      <c r="G760">
        <v>1.1499999999999999</v>
      </c>
      <c r="H760">
        <v>9.7450000000000002E-3</v>
      </c>
      <c r="I760">
        <v>0.16547316929133862</v>
      </c>
      <c r="J760">
        <v>8.8920055708661364E-2</v>
      </c>
      <c r="K760">
        <v>0.254393225</v>
      </c>
      <c r="L760">
        <v>1.8609206660137136</v>
      </c>
    </row>
    <row r="761" spans="1:14" x14ac:dyDescent="0.2">
      <c r="A761">
        <v>488812</v>
      </c>
      <c r="B761">
        <v>100</v>
      </c>
      <c r="C761">
        <v>8</v>
      </c>
      <c r="D761">
        <v>3.65</v>
      </c>
      <c r="E761">
        <v>1.85</v>
      </c>
      <c r="F761">
        <v>3.65</v>
      </c>
      <c r="G761">
        <v>1.85</v>
      </c>
      <c r="H761">
        <v>3.8630000000000001E-3</v>
      </c>
      <c r="I761">
        <v>0.12428518110236218</v>
      </c>
      <c r="J761">
        <v>3.7941503897637834E-2</v>
      </c>
      <c r="K761">
        <v>0.16222668500000001</v>
      </c>
      <c r="L761">
        <v>3.2757051865332083</v>
      </c>
      <c r="M761">
        <v>0.12601136417322834</v>
      </c>
      <c r="N761">
        <v>4.0599825826771678E-2</v>
      </c>
    </row>
    <row r="762" spans="1:14" x14ac:dyDescent="0.2">
      <c r="B762">
        <v>100</v>
      </c>
      <c r="C762">
        <v>8</v>
      </c>
      <c r="D762">
        <v>3.8</v>
      </c>
      <c r="E762">
        <v>1.95</v>
      </c>
      <c r="F762">
        <v>3.8</v>
      </c>
      <c r="G762">
        <v>1.95</v>
      </c>
      <c r="H762">
        <v>3.8630000000000001E-3</v>
      </c>
      <c r="I762">
        <v>0.12773754724409447</v>
      </c>
      <c r="J762">
        <v>4.3258147755905522E-2</v>
      </c>
      <c r="K762">
        <v>0.170995695</v>
      </c>
      <c r="L762">
        <v>2.9529130087789297</v>
      </c>
    </row>
    <row r="763" spans="1:14" x14ac:dyDescent="0.2">
      <c r="A763">
        <v>488813</v>
      </c>
      <c r="B763">
        <v>100</v>
      </c>
      <c r="C763">
        <v>8</v>
      </c>
      <c r="D763">
        <v>4.5999999999999996</v>
      </c>
      <c r="E763">
        <v>2.25</v>
      </c>
      <c r="F763">
        <v>4.5999999999999996</v>
      </c>
      <c r="G763">
        <v>2.25</v>
      </c>
      <c r="H763">
        <v>3.8630000000000001E-3</v>
      </c>
      <c r="I763">
        <v>0.1622612086614173</v>
      </c>
      <c r="J763">
        <v>3.5041516338582698E-2</v>
      </c>
      <c r="K763">
        <v>0.19730272500000001</v>
      </c>
      <c r="L763">
        <v>4.6305418719211788</v>
      </c>
      <c r="M763">
        <v>0.16226120866141733</v>
      </c>
      <c r="N763">
        <v>3.9426021338582695E-2</v>
      </c>
    </row>
    <row r="764" spans="1:14" x14ac:dyDescent="0.2">
      <c r="B764">
        <v>100</v>
      </c>
      <c r="C764">
        <v>8</v>
      </c>
      <c r="D764">
        <v>4.7</v>
      </c>
      <c r="E764">
        <v>2.35</v>
      </c>
      <c r="F764">
        <v>4.7</v>
      </c>
      <c r="G764">
        <v>2.35</v>
      </c>
      <c r="H764">
        <v>3.8630000000000001E-3</v>
      </c>
      <c r="I764">
        <v>0.16226120866141736</v>
      </c>
      <c r="J764">
        <v>4.3810526338582692E-2</v>
      </c>
      <c r="K764">
        <v>0.20607173500000003</v>
      </c>
      <c r="L764">
        <v>3.7037037037037033</v>
      </c>
    </row>
    <row r="765" spans="1:14" x14ac:dyDescent="0.2">
      <c r="A765">
        <v>488825</v>
      </c>
      <c r="B765">
        <v>100</v>
      </c>
      <c r="C765">
        <v>8</v>
      </c>
      <c r="D765">
        <v>1.3</v>
      </c>
      <c r="E765">
        <v>0.85</v>
      </c>
      <c r="F765">
        <v>1.3</v>
      </c>
      <c r="G765">
        <v>0.85</v>
      </c>
      <c r="H765">
        <v>3.8630000000000001E-3</v>
      </c>
      <c r="I765">
        <v>3.1071295275590556E-2</v>
      </c>
      <c r="J765">
        <v>4.346528972440946E-2</v>
      </c>
      <c r="K765">
        <v>7.4536585000000016E-2</v>
      </c>
      <c r="L765">
        <v>0.71485305798252574</v>
      </c>
      <c r="M765">
        <v>2.9345112204724411E-2</v>
      </c>
      <c r="N765">
        <v>3.6422462795275591E-2</v>
      </c>
    </row>
    <row r="766" spans="1:14" x14ac:dyDescent="0.2">
      <c r="B766">
        <v>100</v>
      </c>
      <c r="C766">
        <v>8</v>
      </c>
      <c r="D766">
        <v>1.05</v>
      </c>
      <c r="E766">
        <v>0.65</v>
      </c>
      <c r="F766">
        <v>1.05</v>
      </c>
      <c r="G766">
        <v>0.65</v>
      </c>
      <c r="H766">
        <v>3.8630000000000001E-3</v>
      </c>
      <c r="I766">
        <v>2.7618929133858269E-2</v>
      </c>
      <c r="J766">
        <v>2.9379635866141725E-2</v>
      </c>
      <c r="K766">
        <v>5.6998564999999994E-2</v>
      </c>
      <c r="L766">
        <v>0.94007050528789682</v>
      </c>
    </row>
    <row r="767" spans="1:14" x14ac:dyDescent="0.2">
      <c r="A767">
        <v>488826</v>
      </c>
      <c r="B767">
        <v>100</v>
      </c>
      <c r="C767">
        <v>8</v>
      </c>
      <c r="D767">
        <v>3.35</v>
      </c>
      <c r="E767">
        <v>2.2999999999999998</v>
      </c>
      <c r="F767">
        <v>3.35</v>
      </c>
      <c r="G767">
        <v>2.2999999999999998</v>
      </c>
      <c r="H767">
        <v>3.8630000000000001E-3</v>
      </c>
      <c r="I767">
        <v>7.2499688976377971E-2</v>
      </c>
      <c r="J767">
        <v>0.12918754102362201</v>
      </c>
      <c r="K767">
        <v>0.20168723</v>
      </c>
      <c r="L767">
        <v>0.56119722073757383</v>
      </c>
      <c r="M767">
        <v>7.5952055118110234E-2</v>
      </c>
      <c r="N767">
        <v>0.12792742738188978</v>
      </c>
    </row>
    <row r="768" spans="1:14" x14ac:dyDescent="0.2">
      <c r="B768">
        <v>100</v>
      </c>
      <c r="C768">
        <v>8</v>
      </c>
      <c r="D768">
        <v>3.5</v>
      </c>
      <c r="E768">
        <v>2.35</v>
      </c>
      <c r="F768">
        <v>3.5</v>
      </c>
      <c r="G768">
        <v>2.35</v>
      </c>
      <c r="H768">
        <v>3.8630000000000001E-3</v>
      </c>
      <c r="I768">
        <v>7.9404421259842511E-2</v>
      </c>
      <c r="J768">
        <v>0.12666731374015752</v>
      </c>
      <c r="K768">
        <v>0.20607173500000003</v>
      </c>
      <c r="L768">
        <v>0.62687380757699618</v>
      </c>
    </row>
    <row r="769" spans="1:14" x14ac:dyDescent="0.2">
      <c r="A769">
        <v>488827</v>
      </c>
      <c r="B769">
        <v>100</v>
      </c>
      <c r="C769">
        <v>7</v>
      </c>
      <c r="D769">
        <v>6.2</v>
      </c>
      <c r="E769">
        <v>4.05</v>
      </c>
      <c r="F769">
        <v>6.2</v>
      </c>
      <c r="G769">
        <v>4.05</v>
      </c>
      <c r="H769">
        <v>9.7450000000000002E-3</v>
      </c>
      <c r="I769">
        <v>0.37449190944881899</v>
      </c>
      <c r="J769">
        <v>0.5214146655511811</v>
      </c>
      <c r="K769">
        <v>0.89590657500000015</v>
      </c>
      <c r="L769">
        <v>0.71822281610155358</v>
      </c>
      <c r="M769">
        <v>0.36578279527559054</v>
      </c>
      <c r="N769">
        <v>0.52459349222440954</v>
      </c>
    </row>
    <row r="770" spans="1:14" x14ac:dyDescent="0.2">
      <c r="B770">
        <v>100</v>
      </c>
      <c r="C770">
        <v>7</v>
      </c>
      <c r="D770">
        <v>6.05</v>
      </c>
      <c r="E770">
        <v>4</v>
      </c>
      <c r="F770">
        <v>6.05</v>
      </c>
      <c r="G770">
        <v>4</v>
      </c>
      <c r="H770">
        <v>9.7450000000000002E-3</v>
      </c>
      <c r="I770">
        <v>0.35707368110236215</v>
      </c>
      <c r="J770">
        <v>0.52777231889763787</v>
      </c>
      <c r="K770">
        <v>0.88484600000000002</v>
      </c>
      <c r="L770">
        <v>0.67656765676567632</v>
      </c>
    </row>
    <row r="771" spans="1:14" x14ac:dyDescent="0.2">
      <c r="A771">
        <v>488828</v>
      </c>
      <c r="B771">
        <v>100</v>
      </c>
      <c r="C771">
        <v>6</v>
      </c>
      <c r="D771">
        <v>2.2999999999999998</v>
      </c>
      <c r="E771">
        <v>1.3</v>
      </c>
      <c r="F771">
        <v>2.2999999999999998</v>
      </c>
      <c r="G771">
        <v>1.3</v>
      </c>
      <c r="H771">
        <v>3.5767E-2</v>
      </c>
      <c r="I771">
        <v>0.63929992125984247</v>
      </c>
      <c r="J771">
        <v>0.41618424874015764</v>
      </c>
      <c r="K771">
        <v>1.0554841700000002</v>
      </c>
      <c r="L771">
        <v>1.5360983102918579</v>
      </c>
      <c r="M771">
        <v>0.62331742322834627</v>
      </c>
      <c r="N771">
        <v>0.45246451927165376</v>
      </c>
    </row>
    <row r="772" spans="1:14" x14ac:dyDescent="0.2">
      <c r="B772">
        <v>100</v>
      </c>
      <c r="C772">
        <v>6</v>
      </c>
      <c r="D772">
        <v>2.2999999999999998</v>
      </c>
      <c r="E772">
        <v>1.35</v>
      </c>
      <c r="F772">
        <v>2.2999999999999998</v>
      </c>
      <c r="G772">
        <v>1.35</v>
      </c>
      <c r="H772">
        <v>3.5767E-2</v>
      </c>
      <c r="I772">
        <v>0.60733492519685017</v>
      </c>
      <c r="J772">
        <v>0.48874478980314989</v>
      </c>
      <c r="K772">
        <v>1.0960797150000001</v>
      </c>
      <c r="L772">
        <v>1.2426422498364933</v>
      </c>
    </row>
    <row r="773" spans="1:14" x14ac:dyDescent="0.2">
      <c r="A773">
        <v>488829</v>
      </c>
      <c r="B773">
        <v>100</v>
      </c>
      <c r="C773">
        <v>7</v>
      </c>
      <c r="D773">
        <v>3.2</v>
      </c>
      <c r="E773">
        <v>1.7</v>
      </c>
      <c r="F773">
        <v>3.2</v>
      </c>
      <c r="G773">
        <v>1.7</v>
      </c>
      <c r="H773">
        <v>9.7450000000000002E-3</v>
      </c>
      <c r="I773">
        <v>0.26127342519685048</v>
      </c>
      <c r="J773">
        <v>0.11478612480314963</v>
      </c>
      <c r="K773">
        <v>0.37605955000000013</v>
      </c>
      <c r="L773">
        <v>2.2761760242792111</v>
      </c>
      <c r="M773">
        <v>0.25256431102362209</v>
      </c>
      <c r="N773">
        <v>0.13455581397637797</v>
      </c>
    </row>
    <row r="774" spans="1:14" x14ac:dyDescent="0.2">
      <c r="B774">
        <v>100</v>
      </c>
      <c r="C774">
        <v>7</v>
      </c>
      <c r="D774">
        <v>3.2</v>
      </c>
      <c r="E774">
        <v>1.8</v>
      </c>
      <c r="F774">
        <v>3.2</v>
      </c>
      <c r="G774">
        <v>1.8</v>
      </c>
      <c r="H774">
        <v>9.7450000000000002E-3</v>
      </c>
      <c r="I774">
        <v>0.24385519685039372</v>
      </c>
      <c r="J774">
        <v>0.15432550314960633</v>
      </c>
      <c r="K774">
        <v>0.39818070000000005</v>
      </c>
      <c r="L774">
        <v>1.5801354401805867</v>
      </c>
    </row>
    <row r="775" spans="1:14" x14ac:dyDescent="0.2">
      <c r="A775">
        <v>488830</v>
      </c>
      <c r="B775">
        <v>100</v>
      </c>
      <c r="C775">
        <v>8</v>
      </c>
      <c r="D775">
        <v>4.95</v>
      </c>
      <c r="E775">
        <v>2.5</v>
      </c>
      <c r="F775">
        <v>4.95</v>
      </c>
      <c r="G775">
        <v>2.5</v>
      </c>
      <c r="H775">
        <v>3.8630000000000001E-3</v>
      </c>
      <c r="I775">
        <v>0.16916594094488194</v>
      </c>
      <c r="J775">
        <v>5.0059309055118136E-2</v>
      </c>
      <c r="K775">
        <v>0.21922525000000007</v>
      </c>
      <c r="L775">
        <v>3.3793103448275854</v>
      </c>
      <c r="M775">
        <v>0.16398739173228349</v>
      </c>
      <c r="N775">
        <v>5.304560576771658E-2</v>
      </c>
    </row>
    <row r="776" spans="1:14" x14ac:dyDescent="0.2">
      <c r="B776">
        <v>100</v>
      </c>
      <c r="C776">
        <v>8</v>
      </c>
      <c r="D776">
        <v>4.75</v>
      </c>
      <c r="E776">
        <v>2.4500000000000002</v>
      </c>
      <c r="F776">
        <v>4.75</v>
      </c>
      <c r="G776">
        <v>2.4500000000000002</v>
      </c>
      <c r="H776">
        <v>3.8630000000000001E-3</v>
      </c>
      <c r="I776">
        <v>0.15880884251968502</v>
      </c>
      <c r="J776">
        <v>5.6031902480315025E-2</v>
      </c>
      <c r="K776">
        <v>0.21484074500000006</v>
      </c>
      <c r="L776">
        <v>2.8342575477510747</v>
      </c>
    </row>
    <row r="777" spans="1:14" x14ac:dyDescent="0.2">
      <c r="A777">
        <v>488831</v>
      </c>
      <c r="B777">
        <v>100</v>
      </c>
      <c r="C777">
        <v>8</v>
      </c>
      <c r="D777">
        <v>4.8</v>
      </c>
      <c r="E777">
        <v>2.4</v>
      </c>
      <c r="F777">
        <v>4.8</v>
      </c>
      <c r="G777">
        <v>2.4</v>
      </c>
      <c r="H777">
        <v>3.8630000000000001E-3</v>
      </c>
      <c r="I777">
        <v>0.16571357480314958</v>
      </c>
      <c r="J777">
        <v>4.4742665196850412E-2</v>
      </c>
      <c r="K777">
        <v>0.21045623999999999</v>
      </c>
      <c r="L777">
        <v>3.7037037037037015</v>
      </c>
      <c r="M777">
        <v>0.1622612086614173</v>
      </c>
      <c r="N777">
        <v>4.3810526338582678E-2</v>
      </c>
    </row>
    <row r="778" spans="1:14" x14ac:dyDescent="0.2">
      <c r="B778">
        <v>100</v>
      </c>
      <c r="C778">
        <v>8</v>
      </c>
      <c r="D778">
        <v>4.5999999999999996</v>
      </c>
      <c r="E778">
        <v>2.2999999999999998</v>
      </c>
      <c r="F778">
        <v>4.5999999999999996</v>
      </c>
      <c r="G778">
        <v>2.2999999999999998</v>
      </c>
      <c r="H778">
        <v>3.8630000000000001E-3</v>
      </c>
      <c r="I778">
        <v>0.15880884251968502</v>
      </c>
      <c r="J778">
        <v>4.2878387480314951E-2</v>
      </c>
      <c r="K778">
        <v>0.20168722999999997</v>
      </c>
      <c r="L778">
        <v>3.7037037037037042</v>
      </c>
    </row>
    <row r="779" spans="1:14" x14ac:dyDescent="0.2">
      <c r="A779">
        <v>488832</v>
      </c>
      <c r="B779">
        <v>100</v>
      </c>
      <c r="C779">
        <v>8</v>
      </c>
      <c r="D779">
        <v>4.7</v>
      </c>
      <c r="E779">
        <v>2.35</v>
      </c>
      <c r="F779">
        <v>4.7</v>
      </c>
      <c r="G779">
        <v>2.35</v>
      </c>
      <c r="H779">
        <v>3.8630000000000001E-3</v>
      </c>
      <c r="I779">
        <v>0.16226120866141736</v>
      </c>
      <c r="J779">
        <v>4.3810526338582692E-2</v>
      </c>
      <c r="K779">
        <v>0.20607173500000003</v>
      </c>
      <c r="L779">
        <v>3.7037037037037033</v>
      </c>
      <c r="M779">
        <v>0.16571357480314963</v>
      </c>
      <c r="N779">
        <v>4.0358160196850422E-2</v>
      </c>
    </row>
    <row r="780" spans="1:14" x14ac:dyDescent="0.2">
      <c r="B780">
        <v>100</v>
      </c>
      <c r="C780">
        <v>8</v>
      </c>
      <c r="D780">
        <v>4.8</v>
      </c>
      <c r="E780">
        <v>2.35</v>
      </c>
      <c r="F780">
        <v>4.8</v>
      </c>
      <c r="G780">
        <v>2.35</v>
      </c>
      <c r="H780">
        <v>3.8630000000000001E-3</v>
      </c>
      <c r="I780">
        <v>0.16916594094488191</v>
      </c>
      <c r="J780">
        <v>3.6905794055118152E-2</v>
      </c>
      <c r="K780">
        <v>0.20607173500000006</v>
      </c>
      <c r="L780">
        <v>4.5837231057062633</v>
      </c>
    </row>
    <row r="781" spans="1:14" x14ac:dyDescent="0.2">
      <c r="A781">
        <v>488833</v>
      </c>
      <c r="B781">
        <v>100</v>
      </c>
      <c r="C781">
        <v>8</v>
      </c>
      <c r="D781">
        <v>4.5999999999999996</v>
      </c>
      <c r="E781">
        <v>2.2999999999999998</v>
      </c>
      <c r="F781">
        <v>4.5999999999999996</v>
      </c>
      <c r="G781">
        <v>2.2999999999999998</v>
      </c>
      <c r="H781">
        <v>3.8630000000000001E-3</v>
      </c>
      <c r="I781">
        <v>0.15880884251968502</v>
      </c>
      <c r="J781">
        <v>4.2878387480314951E-2</v>
      </c>
      <c r="K781">
        <v>0.20168722999999997</v>
      </c>
      <c r="L781">
        <v>3.7037037037037042</v>
      </c>
      <c r="M781">
        <v>0.16743975787401574</v>
      </c>
      <c r="N781">
        <v>4.0824229625984275E-2</v>
      </c>
    </row>
    <row r="782" spans="1:14" x14ac:dyDescent="0.2">
      <c r="B782">
        <v>100</v>
      </c>
      <c r="C782">
        <v>8</v>
      </c>
      <c r="D782">
        <v>5</v>
      </c>
      <c r="E782">
        <v>2.4500000000000002</v>
      </c>
      <c r="F782">
        <v>5</v>
      </c>
      <c r="G782">
        <v>2.4500000000000002</v>
      </c>
      <c r="H782">
        <v>3.8630000000000001E-3</v>
      </c>
      <c r="I782">
        <v>0.17607067322834646</v>
      </c>
      <c r="J782">
        <v>3.8770071771653598E-2</v>
      </c>
      <c r="K782">
        <v>0.21484074500000006</v>
      </c>
      <c r="L782">
        <v>4.5414069456812047</v>
      </c>
    </row>
    <row r="783" spans="1:14" x14ac:dyDescent="0.2">
      <c r="A783">
        <v>488849</v>
      </c>
      <c r="B783">
        <v>100</v>
      </c>
      <c r="C783">
        <v>8</v>
      </c>
      <c r="D783">
        <v>0.95</v>
      </c>
      <c r="E783">
        <v>0.6</v>
      </c>
      <c r="F783">
        <v>0.95</v>
      </c>
      <c r="G783">
        <v>0.6</v>
      </c>
      <c r="H783">
        <v>3.8630000000000001E-3</v>
      </c>
      <c r="I783">
        <v>2.4166562992125985E-2</v>
      </c>
      <c r="J783">
        <v>2.8447497007874016E-2</v>
      </c>
      <c r="K783">
        <v>5.2614060000000004E-2</v>
      </c>
      <c r="L783">
        <v>0.84951456310679607</v>
      </c>
      <c r="M783">
        <v>2.4166562992125985E-2</v>
      </c>
      <c r="N783">
        <v>3.0639749507874011E-2</v>
      </c>
    </row>
    <row r="784" spans="1:14" x14ac:dyDescent="0.2">
      <c r="B784">
        <v>100</v>
      </c>
      <c r="C784">
        <v>8</v>
      </c>
      <c r="D784">
        <v>1</v>
      </c>
      <c r="E784">
        <v>0.65</v>
      </c>
      <c r="F784">
        <v>1</v>
      </c>
      <c r="G784">
        <v>0.65</v>
      </c>
      <c r="H784">
        <v>3.8630000000000001E-3</v>
      </c>
      <c r="I784">
        <v>2.4166562992125985E-2</v>
      </c>
      <c r="J784">
        <v>3.2832002007874006E-2</v>
      </c>
      <c r="K784">
        <v>5.6998564999999987E-2</v>
      </c>
      <c r="L784">
        <v>0.73606729758149336</v>
      </c>
    </row>
    <row r="785" spans="1:14" x14ac:dyDescent="0.2">
      <c r="A785">
        <v>488850</v>
      </c>
      <c r="B785">
        <v>100</v>
      </c>
      <c r="C785">
        <v>8</v>
      </c>
      <c r="D785">
        <v>3.45</v>
      </c>
      <c r="E785">
        <v>2.4</v>
      </c>
      <c r="F785">
        <v>3.45</v>
      </c>
      <c r="G785">
        <v>2.4</v>
      </c>
      <c r="H785">
        <v>3.8630000000000001E-3</v>
      </c>
      <c r="I785">
        <v>7.2499688976377971E-2</v>
      </c>
      <c r="J785">
        <v>0.137956551023622</v>
      </c>
      <c r="K785">
        <v>0.21045623999999996</v>
      </c>
      <c r="L785">
        <v>0.52552552552552578</v>
      </c>
      <c r="M785">
        <v>7.5952055118110234E-2</v>
      </c>
      <c r="N785">
        <v>0.13231193238188976</v>
      </c>
    </row>
    <row r="786" spans="1:14" x14ac:dyDescent="0.2">
      <c r="B786">
        <v>100</v>
      </c>
      <c r="C786">
        <v>8</v>
      </c>
      <c r="D786">
        <v>3.5</v>
      </c>
      <c r="E786">
        <v>2.35</v>
      </c>
      <c r="F786">
        <v>3.5</v>
      </c>
      <c r="G786">
        <v>2.35</v>
      </c>
      <c r="H786">
        <v>3.8630000000000001E-3</v>
      </c>
      <c r="I786">
        <v>7.9404421259842511E-2</v>
      </c>
      <c r="J786">
        <v>0.12666731374015752</v>
      </c>
      <c r="K786">
        <v>0.20607173500000003</v>
      </c>
      <c r="L786">
        <v>0.62687380757699618</v>
      </c>
    </row>
    <row r="787" spans="1:14" x14ac:dyDescent="0.2">
      <c r="A787">
        <v>488851</v>
      </c>
      <c r="B787">
        <v>100</v>
      </c>
      <c r="C787">
        <v>7</v>
      </c>
      <c r="D787">
        <v>5.15</v>
      </c>
      <c r="E787">
        <v>3.4</v>
      </c>
      <c r="F787">
        <v>5.15</v>
      </c>
      <c r="G787">
        <v>3.4</v>
      </c>
      <c r="H787">
        <v>9.7450000000000002E-3</v>
      </c>
      <c r="I787">
        <v>0.30481899606299223</v>
      </c>
      <c r="J787">
        <v>0.44730010393700792</v>
      </c>
      <c r="K787">
        <v>0.75211910000000015</v>
      </c>
      <c r="L787">
        <v>0.68146417445482887</v>
      </c>
      <c r="M787">
        <v>0.31788266732283471</v>
      </c>
      <c r="N787">
        <v>0.42870614517716543</v>
      </c>
    </row>
    <row r="788" spans="1:14" x14ac:dyDescent="0.2">
      <c r="B788">
        <v>100</v>
      </c>
      <c r="C788">
        <v>7</v>
      </c>
      <c r="D788">
        <v>5.25</v>
      </c>
      <c r="E788">
        <v>3.35</v>
      </c>
      <c r="F788">
        <v>5.25</v>
      </c>
      <c r="G788">
        <v>3.35</v>
      </c>
      <c r="H788">
        <v>9.7450000000000002E-3</v>
      </c>
      <c r="I788">
        <v>0.33094633858267719</v>
      </c>
      <c r="J788">
        <v>0.41011218641732294</v>
      </c>
      <c r="K788">
        <v>0.74105852500000013</v>
      </c>
      <c r="L788">
        <v>0.80696538543215102</v>
      </c>
    </row>
    <row r="789" spans="1:14" x14ac:dyDescent="0.2">
      <c r="A789">
        <v>488852</v>
      </c>
      <c r="B789">
        <v>100</v>
      </c>
      <c r="C789">
        <v>6</v>
      </c>
      <c r="D789">
        <v>2.2999999999999998</v>
      </c>
      <c r="E789">
        <v>1.35</v>
      </c>
      <c r="F789">
        <v>2.2999999999999998</v>
      </c>
      <c r="G789">
        <v>1.35</v>
      </c>
      <c r="H789">
        <v>3.5767E-2</v>
      </c>
      <c r="I789">
        <v>0.60733492519685017</v>
      </c>
      <c r="J789">
        <v>0.48874478980314989</v>
      </c>
      <c r="K789">
        <v>1.0960797150000001</v>
      </c>
      <c r="L789">
        <v>1.2426422498364933</v>
      </c>
      <c r="M789">
        <v>0.62331742322834627</v>
      </c>
      <c r="N789">
        <v>0.45246451927165376</v>
      </c>
    </row>
    <row r="790" spans="1:14" x14ac:dyDescent="0.2">
      <c r="B790">
        <v>100</v>
      </c>
      <c r="C790">
        <v>6</v>
      </c>
      <c r="D790">
        <v>2.2999999999999998</v>
      </c>
      <c r="E790">
        <v>1.3</v>
      </c>
      <c r="F790">
        <v>2.2999999999999998</v>
      </c>
      <c r="G790">
        <v>1.3</v>
      </c>
      <c r="H790">
        <v>3.5767E-2</v>
      </c>
      <c r="I790">
        <v>0.63929992125984247</v>
      </c>
      <c r="J790">
        <v>0.41618424874015764</v>
      </c>
      <c r="K790">
        <v>1.0554841700000002</v>
      </c>
      <c r="L790">
        <v>1.5360983102918579</v>
      </c>
    </row>
    <row r="791" spans="1:14" x14ac:dyDescent="0.2">
      <c r="A791">
        <v>488853</v>
      </c>
      <c r="B791">
        <v>100</v>
      </c>
      <c r="C791">
        <v>7</v>
      </c>
      <c r="D791">
        <v>5</v>
      </c>
      <c r="E791">
        <v>2.9</v>
      </c>
      <c r="F791">
        <v>5</v>
      </c>
      <c r="G791">
        <v>2.9</v>
      </c>
      <c r="H791">
        <v>9.7450000000000002E-3</v>
      </c>
      <c r="I791">
        <v>0.36578279527559054</v>
      </c>
      <c r="J791">
        <v>0.27573055472440949</v>
      </c>
      <c r="K791">
        <v>0.64151335000000009</v>
      </c>
      <c r="L791">
        <v>1.3265950726468727</v>
      </c>
      <c r="M791">
        <v>0.39191013779527561</v>
      </c>
      <c r="N791">
        <v>0.26619407470472439</v>
      </c>
    </row>
    <row r="792" spans="1:14" x14ac:dyDescent="0.2">
      <c r="B792">
        <v>100</v>
      </c>
      <c r="C792">
        <v>7</v>
      </c>
      <c r="D792">
        <v>5.45</v>
      </c>
      <c r="E792">
        <v>3.05</v>
      </c>
      <c r="F792">
        <v>5.45</v>
      </c>
      <c r="G792">
        <v>3.05</v>
      </c>
      <c r="H792">
        <v>9.7450000000000002E-3</v>
      </c>
      <c r="I792">
        <v>0.41803748031496069</v>
      </c>
      <c r="J792">
        <v>0.25665759468503929</v>
      </c>
      <c r="K792">
        <v>0.67469507500000003</v>
      </c>
      <c r="L792">
        <v>1.6287750254496105</v>
      </c>
    </row>
    <row r="793" spans="1:14" x14ac:dyDescent="0.2">
      <c r="A793">
        <v>488854</v>
      </c>
      <c r="B793">
        <v>100</v>
      </c>
      <c r="C793">
        <v>7</v>
      </c>
      <c r="D793">
        <v>3.8</v>
      </c>
      <c r="E793">
        <v>2.0499999999999998</v>
      </c>
      <c r="F793">
        <v>3.8</v>
      </c>
      <c r="G793">
        <v>2.0499999999999998</v>
      </c>
      <c r="H793">
        <v>9.7450000000000002E-3</v>
      </c>
      <c r="I793">
        <v>0.30481899606299218</v>
      </c>
      <c r="J793">
        <v>0.14866457893700791</v>
      </c>
      <c r="K793">
        <v>0.45348357500000008</v>
      </c>
      <c r="L793">
        <v>2.050380785002929</v>
      </c>
      <c r="M793">
        <v>0.30046443897637798</v>
      </c>
      <c r="N793">
        <v>0.1474888485236221</v>
      </c>
    </row>
    <row r="794" spans="1:14" x14ac:dyDescent="0.2">
      <c r="B794">
        <v>100</v>
      </c>
      <c r="C794">
        <v>7</v>
      </c>
      <c r="D794">
        <v>3.7</v>
      </c>
      <c r="E794">
        <v>2</v>
      </c>
      <c r="F794">
        <v>3.7</v>
      </c>
      <c r="G794">
        <v>2</v>
      </c>
      <c r="H794">
        <v>9.7450000000000002E-3</v>
      </c>
      <c r="I794">
        <v>0.29610988188976384</v>
      </c>
      <c r="J794">
        <v>0.14631311811023626</v>
      </c>
      <c r="K794">
        <v>0.44242300000000012</v>
      </c>
      <c r="L794">
        <v>2.0238095238095237</v>
      </c>
    </row>
    <row r="795" spans="1:14" x14ac:dyDescent="0.2">
      <c r="A795">
        <v>488855</v>
      </c>
      <c r="B795">
        <v>100</v>
      </c>
      <c r="C795">
        <v>7</v>
      </c>
      <c r="D795">
        <v>2.5499999999999998</v>
      </c>
      <c r="E795">
        <v>1.3</v>
      </c>
      <c r="F795">
        <v>2.5499999999999998</v>
      </c>
      <c r="G795">
        <v>1.3</v>
      </c>
      <c r="H795">
        <v>9.7450000000000002E-3</v>
      </c>
      <c r="I795">
        <v>0.21772785433070863</v>
      </c>
      <c r="J795">
        <v>6.9847095669291398E-2</v>
      </c>
      <c r="K795">
        <v>0.28757495</v>
      </c>
      <c r="L795">
        <v>3.1172069825436379</v>
      </c>
      <c r="M795">
        <v>0.21772785433070863</v>
      </c>
      <c r="N795">
        <v>6.431680816929139E-2</v>
      </c>
    </row>
    <row r="796" spans="1:14" x14ac:dyDescent="0.2">
      <c r="B796">
        <v>100</v>
      </c>
      <c r="C796">
        <v>7</v>
      </c>
      <c r="D796">
        <v>2.5</v>
      </c>
      <c r="E796">
        <v>1.25</v>
      </c>
      <c r="F796">
        <v>2.5</v>
      </c>
      <c r="G796">
        <v>1.25</v>
      </c>
      <c r="H796">
        <v>9.7450000000000002E-3</v>
      </c>
      <c r="I796">
        <v>0.21772785433070865</v>
      </c>
      <c r="J796">
        <v>5.8786520669291381E-2</v>
      </c>
      <c r="K796">
        <v>0.27651437500000003</v>
      </c>
      <c r="L796">
        <v>3.7037037037037011</v>
      </c>
    </row>
    <row r="797" spans="1:14" x14ac:dyDescent="0.2">
      <c r="A797">
        <v>488856</v>
      </c>
      <c r="B797">
        <v>100</v>
      </c>
      <c r="C797">
        <v>8</v>
      </c>
      <c r="D797">
        <v>5.5</v>
      </c>
      <c r="E797">
        <v>2.7</v>
      </c>
      <c r="F797">
        <v>5.5</v>
      </c>
      <c r="G797">
        <v>2.7</v>
      </c>
      <c r="H797">
        <v>3.8630000000000001E-3</v>
      </c>
      <c r="I797">
        <v>0.19333250393700788</v>
      </c>
      <c r="J797">
        <v>4.3430766062992177E-2</v>
      </c>
      <c r="K797">
        <v>0.23676327000000005</v>
      </c>
      <c r="L797">
        <v>4.4515103338632702</v>
      </c>
      <c r="M797">
        <v>0.19160632086614174</v>
      </c>
      <c r="N797">
        <v>4.5156949133858315E-2</v>
      </c>
    </row>
    <row r="798" spans="1:14" x14ac:dyDescent="0.2">
      <c r="B798">
        <v>100</v>
      </c>
      <c r="C798">
        <v>8</v>
      </c>
      <c r="D798">
        <v>5.45</v>
      </c>
      <c r="E798">
        <v>2.7</v>
      </c>
      <c r="F798">
        <v>5.45</v>
      </c>
      <c r="G798">
        <v>2.7</v>
      </c>
      <c r="H798">
        <v>3.8630000000000001E-3</v>
      </c>
      <c r="I798">
        <v>0.1898801377952756</v>
      </c>
      <c r="J798">
        <v>4.6883132204724454E-2</v>
      </c>
      <c r="K798">
        <v>0.23676327000000005</v>
      </c>
      <c r="L798">
        <v>4.0500736377025</v>
      </c>
    </row>
    <row r="799" spans="1:14" x14ac:dyDescent="0.2">
      <c r="A799">
        <v>488857</v>
      </c>
      <c r="B799">
        <v>100</v>
      </c>
      <c r="C799">
        <v>8</v>
      </c>
      <c r="D799">
        <v>4.45</v>
      </c>
      <c r="E799">
        <v>2.1</v>
      </c>
      <c r="F799">
        <v>4.45</v>
      </c>
      <c r="G799">
        <v>2.1</v>
      </c>
      <c r="H799">
        <v>3.8630000000000001E-3</v>
      </c>
      <c r="I799">
        <v>0.16226120866141736</v>
      </c>
      <c r="J799">
        <v>2.1888001338582659E-2</v>
      </c>
      <c r="K799">
        <v>0.18414921000000001</v>
      </c>
      <c r="L799">
        <v>7.4132492113564741</v>
      </c>
      <c r="M799">
        <v>0.16053502559055119</v>
      </c>
      <c r="N799">
        <v>3.0190941909448814E-2</v>
      </c>
    </row>
    <row r="800" spans="1:14" x14ac:dyDescent="0.2">
      <c r="B800">
        <v>100</v>
      </c>
      <c r="C800">
        <v>8</v>
      </c>
      <c r="D800">
        <v>4.55</v>
      </c>
      <c r="E800">
        <v>2.25</v>
      </c>
      <c r="F800">
        <v>4.55</v>
      </c>
      <c r="G800">
        <v>2.25</v>
      </c>
      <c r="H800">
        <v>3.8630000000000001E-3</v>
      </c>
      <c r="I800">
        <v>0.15880884251968502</v>
      </c>
      <c r="J800">
        <v>3.8493882480314968E-2</v>
      </c>
      <c r="K800">
        <v>0.19730272499999998</v>
      </c>
      <c r="L800">
        <v>4.1255605381165905</v>
      </c>
    </row>
    <row r="801" spans="1:14" x14ac:dyDescent="0.2">
      <c r="A801">
        <v>488257</v>
      </c>
      <c r="B801">
        <v>100</v>
      </c>
      <c r="C801">
        <v>8</v>
      </c>
      <c r="D801">
        <v>5.5</v>
      </c>
      <c r="E801">
        <v>2.6</v>
      </c>
      <c r="F801">
        <v>5.5</v>
      </c>
      <c r="G801">
        <v>2.6</v>
      </c>
      <c r="H801">
        <v>3.8630000000000001E-3</v>
      </c>
      <c r="I801">
        <v>0.20023723622047243</v>
      </c>
      <c r="J801">
        <v>2.7757023779527573E-2</v>
      </c>
      <c r="K801">
        <v>0.22799426</v>
      </c>
      <c r="L801">
        <v>7.2139303482587023</v>
      </c>
      <c r="M801">
        <v>0.19678487007874018</v>
      </c>
      <c r="N801">
        <v>3.120938992125985E-2</v>
      </c>
    </row>
    <row r="802" spans="1:14" x14ac:dyDescent="0.2">
      <c r="B802">
        <v>100</v>
      </c>
      <c r="C802">
        <v>8</v>
      </c>
      <c r="D802">
        <v>5.4</v>
      </c>
      <c r="E802">
        <v>2.6</v>
      </c>
      <c r="F802">
        <v>5.4</v>
      </c>
      <c r="G802">
        <v>2.6</v>
      </c>
      <c r="H802">
        <v>3.8630000000000001E-3</v>
      </c>
      <c r="I802">
        <v>0.1933325039370079</v>
      </c>
      <c r="J802">
        <v>3.4661756062992127E-2</v>
      </c>
      <c r="K802">
        <v>0.22799426000000003</v>
      </c>
      <c r="L802">
        <v>5.5776892430278888</v>
      </c>
    </row>
    <row r="803" spans="1:14" x14ac:dyDescent="0.2">
      <c r="A803">
        <v>488872</v>
      </c>
      <c r="B803">
        <v>100</v>
      </c>
      <c r="C803">
        <v>8</v>
      </c>
      <c r="D803">
        <v>1.25</v>
      </c>
      <c r="E803">
        <v>0.95</v>
      </c>
      <c r="F803">
        <v>1.25</v>
      </c>
      <c r="G803">
        <v>0.95</v>
      </c>
      <c r="H803">
        <v>3.8630000000000001E-3</v>
      </c>
      <c r="I803">
        <v>2.0714196850393704E-2</v>
      </c>
      <c r="J803">
        <v>6.2591398149606292E-2</v>
      </c>
      <c r="K803">
        <v>8.3305594999999996E-2</v>
      </c>
      <c r="L803">
        <v>0.33094318808604534</v>
      </c>
      <c r="M803">
        <v>2.2440379921259839E-2</v>
      </c>
      <c r="N803">
        <v>6.5249720078740164E-2</v>
      </c>
    </row>
    <row r="804" spans="1:14" x14ac:dyDescent="0.2">
      <c r="B804">
        <v>100</v>
      </c>
      <c r="C804">
        <v>8</v>
      </c>
      <c r="D804">
        <v>1.4</v>
      </c>
      <c r="E804">
        <v>1.05</v>
      </c>
      <c r="F804">
        <v>1.4</v>
      </c>
      <c r="G804">
        <v>1.05</v>
      </c>
      <c r="H804">
        <v>3.8630000000000001E-3</v>
      </c>
      <c r="I804">
        <v>2.4166562992125974E-2</v>
      </c>
      <c r="J804">
        <v>6.7908042007874023E-2</v>
      </c>
      <c r="K804">
        <v>9.2074605000000004E-2</v>
      </c>
      <c r="L804">
        <v>0.35587188612099624</v>
      </c>
    </row>
    <row r="805" spans="1:14" x14ac:dyDescent="0.2">
      <c r="A805">
        <v>488873</v>
      </c>
      <c r="B805">
        <v>100</v>
      </c>
      <c r="C805">
        <v>8</v>
      </c>
      <c r="D805">
        <v>1.95</v>
      </c>
      <c r="E805">
        <v>1.2</v>
      </c>
      <c r="F805">
        <v>1.95</v>
      </c>
      <c r="G805">
        <v>1.2</v>
      </c>
      <c r="H805">
        <v>3.8630000000000001E-3</v>
      </c>
      <c r="I805">
        <v>5.1785492125984253E-2</v>
      </c>
      <c r="J805">
        <v>5.3442627874015741E-2</v>
      </c>
      <c r="K805">
        <v>0.10522811999999999</v>
      </c>
      <c r="L805">
        <v>0.96899224806201567</v>
      </c>
      <c r="M805">
        <v>4.8333125984251969E-2</v>
      </c>
      <c r="N805">
        <v>7.6625266515748039E-2</v>
      </c>
    </row>
    <row r="806" spans="1:14" x14ac:dyDescent="0.2">
      <c r="B806">
        <v>100</v>
      </c>
      <c r="C806">
        <v>8</v>
      </c>
      <c r="D806">
        <v>2.2999999999999998</v>
      </c>
      <c r="E806">
        <v>1.65</v>
      </c>
      <c r="F806">
        <v>2.2999999999999998</v>
      </c>
      <c r="G806">
        <v>1.65</v>
      </c>
      <c r="H806">
        <v>3.8630000000000001E-3</v>
      </c>
      <c r="I806">
        <v>4.4880759842519685E-2</v>
      </c>
      <c r="J806">
        <v>9.9807905157480337E-2</v>
      </c>
      <c r="K806">
        <v>0.14468866500000002</v>
      </c>
      <c r="L806">
        <v>0.44967139398132122</v>
      </c>
    </row>
    <row r="807" spans="1:14" x14ac:dyDescent="0.2">
      <c r="A807">
        <v>488874</v>
      </c>
      <c r="B807">
        <v>100</v>
      </c>
      <c r="C807">
        <v>7</v>
      </c>
      <c r="D807">
        <v>3.3</v>
      </c>
      <c r="E807">
        <v>2.25</v>
      </c>
      <c r="F807">
        <v>3.3</v>
      </c>
      <c r="G807">
        <v>2.25</v>
      </c>
      <c r="H807">
        <v>9.7450000000000002E-3</v>
      </c>
      <c r="I807">
        <v>0.18289139763779524</v>
      </c>
      <c r="J807">
        <v>0.31483447736220466</v>
      </c>
      <c r="K807">
        <v>0.49772587499999987</v>
      </c>
      <c r="L807">
        <v>0.58091286307053946</v>
      </c>
      <c r="M807">
        <v>0.18289139763779524</v>
      </c>
      <c r="N807">
        <v>0.31483447736220466</v>
      </c>
    </row>
    <row r="808" spans="1:14" x14ac:dyDescent="0.2">
      <c r="B808">
        <v>100</v>
      </c>
      <c r="C808">
        <v>7</v>
      </c>
      <c r="D808">
        <v>3.3</v>
      </c>
      <c r="E808">
        <v>2.25</v>
      </c>
      <c r="F808">
        <v>3.3</v>
      </c>
      <c r="G808">
        <v>2.25</v>
      </c>
      <c r="H808">
        <v>9.7450000000000002E-3</v>
      </c>
      <c r="I808">
        <v>0.18289139763779524</v>
      </c>
      <c r="J808">
        <v>0.31483447736220466</v>
      </c>
      <c r="K808">
        <v>0.49772587499999987</v>
      </c>
      <c r="L808">
        <v>0.58091286307053946</v>
      </c>
    </row>
    <row r="809" spans="1:14" x14ac:dyDescent="0.2">
      <c r="A809">
        <v>488875</v>
      </c>
      <c r="B809">
        <v>100</v>
      </c>
      <c r="C809">
        <v>7</v>
      </c>
      <c r="D809">
        <v>6.05</v>
      </c>
      <c r="E809">
        <v>3.85</v>
      </c>
      <c r="F809">
        <v>6.05</v>
      </c>
      <c r="G809">
        <v>3.85</v>
      </c>
      <c r="H809">
        <v>9.7450000000000002E-3</v>
      </c>
      <c r="I809">
        <v>0.38320102362204722</v>
      </c>
      <c r="J809">
        <v>0.46846325137795275</v>
      </c>
      <c r="K809">
        <v>0.85166427499999997</v>
      </c>
      <c r="L809">
        <v>0.81799591002044991</v>
      </c>
      <c r="M809">
        <v>0.38755558070866147</v>
      </c>
      <c r="N809">
        <v>0.42539668179133849</v>
      </c>
    </row>
    <row r="810" spans="1:14" x14ac:dyDescent="0.2">
      <c r="B810">
        <v>100</v>
      </c>
      <c r="C810">
        <v>7</v>
      </c>
      <c r="D810">
        <v>5.75</v>
      </c>
      <c r="E810">
        <v>3.5</v>
      </c>
      <c r="F810">
        <v>5.75</v>
      </c>
      <c r="G810">
        <v>3.5</v>
      </c>
      <c r="H810">
        <v>9.7450000000000002E-3</v>
      </c>
      <c r="I810">
        <v>0.39191013779527567</v>
      </c>
      <c r="J810">
        <v>0.38233011220472429</v>
      </c>
      <c r="K810">
        <v>0.77424024999999996</v>
      </c>
      <c r="L810">
        <v>1.025056947608201</v>
      </c>
    </row>
    <row r="811" spans="1:14" x14ac:dyDescent="0.2">
      <c r="A811">
        <v>488876</v>
      </c>
      <c r="B811">
        <v>100</v>
      </c>
      <c r="C811">
        <v>7</v>
      </c>
      <c r="D811">
        <v>6.75</v>
      </c>
      <c r="E811">
        <v>4.2</v>
      </c>
      <c r="F811">
        <v>6.75</v>
      </c>
      <c r="G811">
        <v>4.2</v>
      </c>
      <c r="H811">
        <v>9.7450000000000002E-3</v>
      </c>
      <c r="I811">
        <v>0.4441648228346457</v>
      </c>
      <c r="J811">
        <v>0.48492347716535439</v>
      </c>
      <c r="K811">
        <v>0.92908830000000009</v>
      </c>
      <c r="L811">
        <v>0.91594827586206895</v>
      </c>
      <c r="M811">
        <v>0.44851937992125984</v>
      </c>
      <c r="N811">
        <v>0.47503863257874029</v>
      </c>
    </row>
    <row r="812" spans="1:14" x14ac:dyDescent="0.2">
      <c r="B812">
        <v>100</v>
      </c>
      <c r="C812">
        <v>7</v>
      </c>
      <c r="D812">
        <v>6.75</v>
      </c>
      <c r="E812">
        <v>4.1500000000000004</v>
      </c>
      <c r="F812">
        <v>6.75</v>
      </c>
      <c r="G812">
        <v>4.1500000000000004</v>
      </c>
      <c r="H812">
        <v>9.7450000000000002E-3</v>
      </c>
      <c r="I812">
        <v>0.45287393700787398</v>
      </c>
      <c r="J812">
        <v>0.4651537879921262</v>
      </c>
      <c r="K812">
        <v>0.91802772500000018</v>
      </c>
      <c r="L812">
        <v>0.97360044935405299</v>
      </c>
    </row>
    <row r="813" spans="1:14" x14ac:dyDescent="0.2">
      <c r="A813">
        <v>488877</v>
      </c>
      <c r="B813">
        <v>100</v>
      </c>
      <c r="C813">
        <v>7</v>
      </c>
      <c r="D813">
        <v>3.15</v>
      </c>
      <c r="E813">
        <v>1.9</v>
      </c>
      <c r="F813">
        <v>3.15</v>
      </c>
      <c r="G813">
        <v>1.9</v>
      </c>
      <c r="H813">
        <v>9.7450000000000002E-3</v>
      </c>
      <c r="I813">
        <v>0.21772785433070865</v>
      </c>
      <c r="J813">
        <v>0.20257399566929141</v>
      </c>
      <c r="K813">
        <v>0.42030185000000009</v>
      </c>
      <c r="L813">
        <v>1.0748065348237312</v>
      </c>
      <c r="M813">
        <v>0.21772785433070865</v>
      </c>
      <c r="N813">
        <v>0.20257399566929141</v>
      </c>
    </row>
    <row r="814" spans="1:14" x14ac:dyDescent="0.2">
      <c r="B814">
        <v>100</v>
      </c>
      <c r="C814">
        <v>7</v>
      </c>
      <c r="D814">
        <v>3.15</v>
      </c>
      <c r="E814">
        <v>1.9</v>
      </c>
      <c r="F814">
        <v>3.15</v>
      </c>
      <c r="G814">
        <v>1.9</v>
      </c>
      <c r="H814">
        <v>9.7450000000000002E-3</v>
      </c>
      <c r="I814">
        <v>0.21772785433070865</v>
      </c>
      <c r="J814">
        <v>0.20257399566929141</v>
      </c>
      <c r="K814">
        <v>0.42030185000000009</v>
      </c>
      <c r="L814">
        <v>1.0748065348237312</v>
      </c>
    </row>
    <row r="815" spans="1:14" x14ac:dyDescent="0.2">
      <c r="A815">
        <v>488879</v>
      </c>
      <c r="B815">
        <v>100</v>
      </c>
      <c r="C815">
        <v>8</v>
      </c>
      <c r="D815">
        <v>4.9000000000000004</v>
      </c>
      <c r="E815">
        <v>2.6</v>
      </c>
      <c r="F815">
        <v>4.9000000000000004</v>
      </c>
      <c r="G815">
        <v>2.6</v>
      </c>
      <c r="H815">
        <v>3.8630000000000001E-3</v>
      </c>
      <c r="I815">
        <v>0.15880884251968508</v>
      </c>
      <c r="J815">
        <v>6.9185417480314954E-2</v>
      </c>
      <c r="K815">
        <v>0.22799426000000003</v>
      </c>
      <c r="L815">
        <v>2.2954091816367272</v>
      </c>
      <c r="M815">
        <v>0.14845174409448822</v>
      </c>
      <c r="N815">
        <v>7.2965758405511824E-2</v>
      </c>
    </row>
    <row r="816" spans="1:14" x14ac:dyDescent="0.2">
      <c r="B816">
        <v>100</v>
      </c>
      <c r="C816">
        <v>8</v>
      </c>
      <c r="D816">
        <v>4.45</v>
      </c>
      <c r="E816">
        <v>2.4500000000000002</v>
      </c>
      <c r="F816">
        <v>4.45</v>
      </c>
      <c r="G816">
        <v>2.4500000000000002</v>
      </c>
      <c r="H816">
        <v>3.8630000000000001E-3</v>
      </c>
      <c r="I816">
        <v>0.13809464566929136</v>
      </c>
      <c r="J816">
        <v>7.6746099330708695E-2</v>
      </c>
      <c r="K816">
        <v>0.21484074500000006</v>
      </c>
      <c r="L816">
        <v>1.7993702204228514</v>
      </c>
    </row>
    <row r="817" spans="1:14" x14ac:dyDescent="0.2">
      <c r="A817">
        <v>488880</v>
      </c>
      <c r="B817">
        <v>100</v>
      </c>
      <c r="C817">
        <v>8</v>
      </c>
      <c r="D817">
        <v>4.3499999999999996</v>
      </c>
      <c r="E817">
        <v>2.35</v>
      </c>
      <c r="F817">
        <v>4.3499999999999996</v>
      </c>
      <c r="G817">
        <v>2.35</v>
      </c>
      <c r="H817">
        <v>3.8630000000000001E-3</v>
      </c>
      <c r="I817">
        <v>0.1380946456692913</v>
      </c>
      <c r="J817">
        <v>6.7977089330708729E-2</v>
      </c>
      <c r="K817">
        <v>0.20607173500000003</v>
      </c>
      <c r="L817">
        <v>2.0314880650076157</v>
      </c>
      <c r="M817">
        <v>0.23887504921259839</v>
      </c>
      <c r="N817">
        <v>6.3251168287401655E-2</v>
      </c>
    </row>
    <row r="818" spans="1:14" x14ac:dyDescent="0.2">
      <c r="B818">
        <v>100</v>
      </c>
      <c r="C818">
        <v>7</v>
      </c>
      <c r="D818">
        <v>3.75</v>
      </c>
      <c r="E818">
        <v>1.8</v>
      </c>
      <c r="F818">
        <v>3.75</v>
      </c>
      <c r="G818">
        <v>1.8</v>
      </c>
      <c r="H818">
        <v>9.7450000000000002E-3</v>
      </c>
      <c r="I818">
        <v>0.33965545275590547</v>
      </c>
      <c r="J818">
        <v>5.8525247244094566E-2</v>
      </c>
      <c r="K818">
        <v>0.39818070000000005</v>
      </c>
      <c r="L818">
        <v>5.8035714285714199</v>
      </c>
    </row>
    <row r="819" spans="1:14" x14ac:dyDescent="0.2">
      <c r="A819">
        <v>488896</v>
      </c>
      <c r="B819">
        <v>100</v>
      </c>
      <c r="C819">
        <v>8</v>
      </c>
      <c r="D819">
        <v>1.6</v>
      </c>
      <c r="E819">
        <v>1.1000000000000001</v>
      </c>
      <c r="F819">
        <v>1.6</v>
      </c>
      <c r="G819">
        <v>1.1000000000000001</v>
      </c>
      <c r="H819">
        <v>3.8630000000000001E-3</v>
      </c>
      <c r="I819">
        <v>3.452366141732284E-2</v>
      </c>
      <c r="J819">
        <v>6.1935448582677174E-2</v>
      </c>
      <c r="K819">
        <v>9.6459110000000015E-2</v>
      </c>
      <c r="L819">
        <v>0.55741360089186176</v>
      </c>
      <c r="M819">
        <v>3.452366141732284E-2</v>
      </c>
      <c r="N819">
        <v>6.1935448582677174E-2</v>
      </c>
    </row>
    <row r="820" spans="1:14" x14ac:dyDescent="0.2">
      <c r="B820">
        <v>100</v>
      </c>
      <c r="C820">
        <v>8</v>
      </c>
      <c r="D820">
        <v>1.6</v>
      </c>
      <c r="E820">
        <v>1.1000000000000001</v>
      </c>
      <c r="F820">
        <v>1.6</v>
      </c>
      <c r="G820">
        <v>1.1000000000000001</v>
      </c>
      <c r="H820">
        <v>3.8630000000000001E-3</v>
      </c>
      <c r="I820">
        <v>3.452366141732284E-2</v>
      </c>
      <c r="J820">
        <v>6.1935448582677174E-2</v>
      </c>
      <c r="K820">
        <v>9.6459110000000015E-2</v>
      </c>
      <c r="L820">
        <v>0.55741360089186176</v>
      </c>
    </row>
    <row r="821" spans="1:14" x14ac:dyDescent="0.2">
      <c r="A821">
        <v>488897</v>
      </c>
      <c r="B821">
        <v>100</v>
      </c>
      <c r="C821">
        <v>8</v>
      </c>
      <c r="D821">
        <v>5.75</v>
      </c>
      <c r="E821">
        <v>3.85</v>
      </c>
      <c r="F821">
        <v>5.75</v>
      </c>
      <c r="G821">
        <v>3.85</v>
      </c>
      <c r="H821">
        <v>3.8630000000000001E-3</v>
      </c>
      <c r="I821">
        <v>0.13118991338582678</v>
      </c>
      <c r="J821">
        <v>0.20641697161417319</v>
      </c>
      <c r="K821">
        <v>0.33760688499999997</v>
      </c>
      <c r="L821">
        <v>0.63555778558287357</v>
      </c>
      <c r="M821">
        <v>0.12946373031496061</v>
      </c>
      <c r="N821">
        <v>0.19937414468503936</v>
      </c>
    </row>
    <row r="822" spans="1:14" x14ac:dyDescent="0.2">
      <c r="B822">
        <v>100</v>
      </c>
      <c r="C822">
        <v>8</v>
      </c>
      <c r="D822">
        <v>5.5</v>
      </c>
      <c r="E822">
        <v>3.65</v>
      </c>
      <c r="F822">
        <v>5.5</v>
      </c>
      <c r="G822">
        <v>3.65</v>
      </c>
      <c r="H822">
        <v>3.8630000000000001E-3</v>
      </c>
      <c r="I822">
        <v>0.12773754724409447</v>
      </c>
      <c r="J822">
        <v>0.19233131775590553</v>
      </c>
      <c r="K822">
        <v>0.32006886499999998</v>
      </c>
      <c r="L822">
        <v>0.66415365284509054</v>
      </c>
    </row>
    <row r="823" spans="1:14" x14ac:dyDescent="0.2">
      <c r="A823">
        <v>488898</v>
      </c>
      <c r="B823">
        <v>100</v>
      </c>
      <c r="C823">
        <v>7</v>
      </c>
      <c r="D823">
        <v>4.55</v>
      </c>
      <c r="E823">
        <v>3.05</v>
      </c>
      <c r="F823">
        <v>4.55</v>
      </c>
      <c r="G823">
        <v>3.05</v>
      </c>
      <c r="H823">
        <v>9.7450000000000002E-3</v>
      </c>
      <c r="I823">
        <v>0.26127342519685043</v>
      </c>
      <c r="J823">
        <v>0.41342164980314955</v>
      </c>
      <c r="K823">
        <v>0.67469507500000003</v>
      </c>
      <c r="L823">
        <v>0.63197809142616401</v>
      </c>
      <c r="M823">
        <v>0.26127342519685043</v>
      </c>
      <c r="N823">
        <v>0.41342164980314955</v>
      </c>
    </row>
    <row r="824" spans="1:14" x14ac:dyDescent="0.2">
      <c r="B824">
        <v>100</v>
      </c>
      <c r="C824">
        <v>7</v>
      </c>
      <c r="D824">
        <v>4.55</v>
      </c>
      <c r="E824">
        <v>3.05</v>
      </c>
      <c r="F824">
        <v>4.55</v>
      </c>
      <c r="G824">
        <v>3.05</v>
      </c>
      <c r="H824">
        <v>9.7450000000000002E-3</v>
      </c>
      <c r="I824">
        <v>0.26127342519685043</v>
      </c>
      <c r="J824">
        <v>0.41342164980314955</v>
      </c>
      <c r="K824">
        <v>0.67469507500000003</v>
      </c>
      <c r="L824">
        <v>0.63197809142616401</v>
      </c>
    </row>
    <row r="825" spans="1:14" x14ac:dyDescent="0.2">
      <c r="A825">
        <v>488899</v>
      </c>
      <c r="B825">
        <v>100</v>
      </c>
      <c r="C825">
        <v>6</v>
      </c>
      <c r="D825">
        <v>2.2999999999999998</v>
      </c>
      <c r="E825">
        <v>1.4</v>
      </c>
      <c r="F825">
        <v>2.2999999999999998</v>
      </c>
      <c r="G825">
        <v>1.4</v>
      </c>
      <c r="H825">
        <v>3.5767E-2</v>
      </c>
      <c r="I825">
        <v>0.57536992913385832</v>
      </c>
      <c r="J825">
        <v>0.56130533086614176</v>
      </c>
      <c r="K825">
        <v>1.1366752600000001</v>
      </c>
      <c r="L825">
        <v>1.0250569476082005</v>
      </c>
      <c r="M825">
        <v>0.55938743110236222</v>
      </c>
      <c r="N825">
        <v>0.59758560139763794</v>
      </c>
    </row>
    <row r="826" spans="1:14" x14ac:dyDescent="0.2">
      <c r="B826">
        <v>100</v>
      </c>
      <c r="C826">
        <v>6</v>
      </c>
      <c r="D826">
        <v>2.2999999999999998</v>
      </c>
      <c r="E826">
        <v>1.45</v>
      </c>
      <c r="F826">
        <v>2.2999999999999998</v>
      </c>
      <c r="G826">
        <v>1.45</v>
      </c>
      <c r="H826">
        <v>3.5767E-2</v>
      </c>
      <c r="I826">
        <v>0.54340493307086613</v>
      </c>
      <c r="J826">
        <v>0.63386587192913402</v>
      </c>
      <c r="K826">
        <v>1.177270805</v>
      </c>
      <c r="L826">
        <v>0.85728693898134112</v>
      </c>
    </row>
    <row r="827" spans="1:14" x14ac:dyDescent="0.2">
      <c r="A827">
        <v>488900</v>
      </c>
      <c r="B827">
        <v>100</v>
      </c>
      <c r="C827">
        <v>7</v>
      </c>
      <c r="D827">
        <v>4</v>
      </c>
      <c r="E827">
        <v>2.4500000000000002</v>
      </c>
      <c r="F827">
        <v>4</v>
      </c>
      <c r="G827">
        <v>2.4500000000000002</v>
      </c>
      <c r="H827">
        <v>9.7450000000000002E-3</v>
      </c>
      <c r="I827">
        <v>0.26998253937007877</v>
      </c>
      <c r="J827">
        <v>0.2719856356299214</v>
      </c>
      <c r="K827">
        <v>0.54196817500000016</v>
      </c>
      <c r="L827">
        <v>0.99263528658341293</v>
      </c>
      <c r="M827">
        <v>0.26562798228346463</v>
      </c>
      <c r="N827">
        <v>0.27634019271653554</v>
      </c>
    </row>
    <row r="828" spans="1:14" x14ac:dyDescent="0.2">
      <c r="B828">
        <v>100</v>
      </c>
      <c r="C828">
        <v>7</v>
      </c>
      <c r="D828">
        <v>3.95</v>
      </c>
      <c r="E828">
        <v>2.4500000000000002</v>
      </c>
      <c r="F828">
        <v>3.95</v>
      </c>
      <c r="G828">
        <v>2.4500000000000002</v>
      </c>
      <c r="H828">
        <v>9.7450000000000002E-3</v>
      </c>
      <c r="I828">
        <v>0.26127342519685043</v>
      </c>
      <c r="J828">
        <v>0.28069474980314973</v>
      </c>
      <c r="K828">
        <v>0.54196817500000016</v>
      </c>
      <c r="L828">
        <v>0.93080980452994078</v>
      </c>
    </row>
    <row r="829" spans="1:14" x14ac:dyDescent="0.2">
      <c r="A829">
        <v>488901</v>
      </c>
      <c r="B829">
        <v>100</v>
      </c>
      <c r="C829">
        <v>8</v>
      </c>
      <c r="D829">
        <v>4.45</v>
      </c>
      <c r="E829">
        <v>2.4500000000000002</v>
      </c>
      <c r="F829">
        <v>4.45</v>
      </c>
      <c r="G829">
        <v>2.4500000000000002</v>
      </c>
      <c r="H829">
        <v>3.8630000000000001E-3</v>
      </c>
      <c r="I829">
        <v>0.13809464566929136</v>
      </c>
      <c r="J829">
        <v>7.6746099330708695E-2</v>
      </c>
      <c r="K829">
        <v>0.21484074500000006</v>
      </c>
      <c r="L829">
        <v>1.7993702204228514</v>
      </c>
      <c r="M829">
        <v>0.14154701181102364</v>
      </c>
      <c r="N829">
        <v>8.8639500688976386E-2</v>
      </c>
    </row>
    <row r="830" spans="1:14" x14ac:dyDescent="0.2">
      <c r="B830">
        <v>100</v>
      </c>
      <c r="C830">
        <v>8</v>
      </c>
      <c r="D830">
        <v>4.9000000000000004</v>
      </c>
      <c r="E830">
        <v>2.8</v>
      </c>
      <c r="F830">
        <v>4.9000000000000004</v>
      </c>
      <c r="G830">
        <v>2.8</v>
      </c>
      <c r="H830">
        <v>3.8630000000000001E-3</v>
      </c>
      <c r="I830">
        <v>0.14499937795275594</v>
      </c>
      <c r="J830">
        <v>0.10053290204724406</v>
      </c>
      <c r="K830">
        <v>0.24553227999999999</v>
      </c>
      <c r="L830">
        <v>1.4423076923076932</v>
      </c>
    </row>
    <row r="831" spans="1:14" x14ac:dyDescent="0.2">
      <c r="A831">
        <v>488902</v>
      </c>
      <c r="B831">
        <v>100</v>
      </c>
      <c r="C831">
        <v>8</v>
      </c>
      <c r="D831">
        <v>6.55</v>
      </c>
      <c r="E831">
        <v>3.35</v>
      </c>
      <c r="F831">
        <v>6.55</v>
      </c>
      <c r="G831">
        <v>3.35</v>
      </c>
      <c r="H831">
        <v>3.8630000000000001E-3</v>
      </c>
      <c r="I831">
        <v>0.22095143307086615</v>
      </c>
      <c r="J831">
        <v>7.2810401929133906E-2</v>
      </c>
      <c r="K831">
        <v>0.29376183500000008</v>
      </c>
      <c r="L831">
        <v>3.0346135609293485</v>
      </c>
      <c r="M831">
        <v>0.17607067322834646</v>
      </c>
      <c r="N831">
        <v>7.1653859271653547E-2</v>
      </c>
    </row>
    <row r="832" spans="1:14" x14ac:dyDescent="0.2">
      <c r="B832">
        <v>100</v>
      </c>
      <c r="C832">
        <v>8</v>
      </c>
      <c r="D832">
        <v>4.2</v>
      </c>
      <c r="E832">
        <v>2.2999999999999998</v>
      </c>
      <c r="F832">
        <v>4.2</v>
      </c>
      <c r="G832">
        <v>2.2999999999999998</v>
      </c>
      <c r="H832">
        <v>3.8630000000000001E-3</v>
      </c>
      <c r="I832">
        <v>0.13118991338582681</v>
      </c>
      <c r="J832">
        <v>7.0497316614173175E-2</v>
      </c>
      <c r="K832">
        <v>0.20168723</v>
      </c>
      <c r="L832">
        <v>1.8609206660137139</v>
      </c>
    </row>
    <row r="833" spans="1:14" x14ac:dyDescent="0.2">
      <c r="A833">
        <v>488903</v>
      </c>
      <c r="B833">
        <v>100</v>
      </c>
      <c r="C833">
        <v>8</v>
      </c>
      <c r="D833">
        <v>3.95</v>
      </c>
      <c r="E833">
        <v>2.15</v>
      </c>
      <c r="F833">
        <v>3.95</v>
      </c>
      <c r="G833">
        <v>2.15</v>
      </c>
      <c r="H833">
        <v>3.8630000000000001E-3</v>
      </c>
      <c r="I833">
        <v>0.12428518110236222</v>
      </c>
      <c r="J833">
        <v>6.424853389763778E-2</v>
      </c>
      <c r="K833">
        <v>0.18853371499999999</v>
      </c>
      <c r="L833">
        <v>1.934443847393875</v>
      </c>
      <c r="M833">
        <v>0.1242851811023622</v>
      </c>
      <c r="N833">
        <v>6.8633038897637777E-2</v>
      </c>
    </row>
    <row r="834" spans="1:14" x14ac:dyDescent="0.2">
      <c r="B834">
        <v>100</v>
      </c>
      <c r="C834">
        <v>8</v>
      </c>
      <c r="D834">
        <v>4.05</v>
      </c>
      <c r="E834">
        <v>2.25</v>
      </c>
      <c r="F834">
        <v>4.05</v>
      </c>
      <c r="G834">
        <v>2.25</v>
      </c>
      <c r="H834">
        <v>3.8630000000000001E-3</v>
      </c>
      <c r="I834">
        <v>0.12428518110236218</v>
      </c>
      <c r="J834">
        <v>7.3017543897637788E-2</v>
      </c>
      <c r="K834">
        <v>0.19730272499999996</v>
      </c>
      <c r="L834">
        <v>1.7021276595744679</v>
      </c>
    </row>
    <row r="835" spans="1:14" x14ac:dyDescent="0.2">
      <c r="A835">
        <v>488904</v>
      </c>
      <c r="B835">
        <v>100</v>
      </c>
      <c r="C835">
        <v>8</v>
      </c>
      <c r="D835">
        <v>3.95</v>
      </c>
      <c r="E835">
        <v>2.15</v>
      </c>
      <c r="F835">
        <v>3.95</v>
      </c>
      <c r="G835">
        <v>2.15</v>
      </c>
      <c r="H835">
        <v>3.8630000000000001E-3</v>
      </c>
      <c r="I835">
        <v>0.12428518110236222</v>
      </c>
      <c r="J835">
        <v>6.424853389763778E-2</v>
      </c>
      <c r="K835">
        <v>0.18853371499999999</v>
      </c>
      <c r="L835">
        <v>1.934443847393875</v>
      </c>
      <c r="M835">
        <v>0.11392808267716537</v>
      </c>
      <c r="N835">
        <v>6.3644369822834654E-2</v>
      </c>
    </row>
    <row r="836" spans="1:14" x14ac:dyDescent="0.2">
      <c r="B836">
        <v>100</v>
      </c>
      <c r="C836">
        <v>8</v>
      </c>
      <c r="D836">
        <v>3.4</v>
      </c>
      <c r="E836">
        <v>1.9</v>
      </c>
      <c r="F836">
        <v>3.4</v>
      </c>
      <c r="G836">
        <v>1.9</v>
      </c>
      <c r="H836">
        <v>3.8630000000000001E-3</v>
      </c>
      <c r="I836">
        <v>0.10357098425196851</v>
      </c>
      <c r="J836">
        <v>6.3040205748031528E-2</v>
      </c>
      <c r="K836">
        <v>0.16661119000000002</v>
      </c>
      <c r="L836">
        <v>1.6429353778751361</v>
      </c>
    </row>
    <row r="837" spans="1:14" x14ac:dyDescent="0.2">
      <c r="A837">
        <v>488258</v>
      </c>
      <c r="B837">
        <v>100</v>
      </c>
      <c r="C837">
        <v>8</v>
      </c>
      <c r="D837">
        <v>4.3499999999999996</v>
      </c>
      <c r="E837">
        <v>2.4</v>
      </c>
      <c r="F837">
        <v>4.3499999999999996</v>
      </c>
      <c r="G837">
        <v>2.4</v>
      </c>
      <c r="H837">
        <v>3.8630000000000001E-3</v>
      </c>
      <c r="I837">
        <v>0.13464227952755903</v>
      </c>
      <c r="J837">
        <v>7.5813960472440989E-2</v>
      </c>
      <c r="K837">
        <v>0.21045624000000002</v>
      </c>
      <c r="L837">
        <v>1.7759562841530041</v>
      </c>
      <c r="M837">
        <v>0.13809464566929133</v>
      </c>
      <c r="N837">
        <v>8.113060433070865E-2</v>
      </c>
    </row>
    <row r="838" spans="1:14" x14ac:dyDescent="0.2">
      <c r="B838">
        <v>100</v>
      </c>
      <c r="C838">
        <v>8</v>
      </c>
      <c r="D838">
        <v>4.6500000000000004</v>
      </c>
      <c r="E838">
        <v>2.6</v>
      </c>
      <c r="F838">
        <v>4.6500000000000004</v>
      </c>
      <c r="G838">
        <v>2.6</v>
      </c>
      <c r="H838">
        <v>3.8630000000000001E-3</v>
      </c>
      <c r="I838">
        <v>0.14154701181102364</v>
      </c>
      <c r="J838">
        <v>8.6447248188976325E-2</v>
      </c>
      <c r="K838">
        <v>0.22799425999999995</v>
      </c>
      <c r="L838">
        <v>1.637380191693292</v>
      </c>
    </row>
    <row r="839" spans="1:14" x14ac:dyDescent="0.2">
      <c r="A839">
        <v>488920</v>
      </c>
      <c r="B839">
        <v>100</v>
      </c>
      <c r="C839">
        <v>8</v>
      </c>
      <c r="D839">
        <v>1.45</v>
      </c>
      <c r="E839">
        <v>1.05</v>
      </c>
      <c r="F839">
        <v>1.45</v>
      </c>
      <c r="G839">
        <v>1.05</v>
      </c>
      <c r="H839">
        <v>3.8630000000000001E-3</v>
      </c>
      <c r="I839">
        <v>2.7618929133858265E-2</v>
      </c>
      <c r="J839">
        <v>6.4455675866141732E-2</v>
      </c>
      <c r="K839">
        <v>9.2074605000000004E-2</v>
      </c>
      <c r="L839">
        <v>0.42849491162292447</v>
      </c>
      <c r="M839">
        <v>2.4166562992125978E-2</v>
      </c>
      <c r="N839">
        <v>7.0100294507874028E-2</v>
      </c>
    </row>
    <row r="840" spans="1:14" x14ac:dyDescent="0.2">
      <c r="B840">
        <v>100</v>
      </c>
      <c r="C840">
        <v>8</v>
      </c>
      <c r="D840">
        <v>1.4</v>
      </c>
      <c r="E840">
        <v>1.1000000000000001</v>
      </c>
      <c r="F840">
        <v>1.4</v>
      </c>
      <c r="G840">
        <v>1.1000000000000001</v>
      </c>
      <c r="H840">
        <v>3.8630000000000001E-3</v>
      </c>
      <c r="I840">
        <v>2.071419685039369E-2</v>
      </c>
      <c r="J840">
        <v>7.5744913149606324E-2</v>
      </c>
      <c r="K840">
        <v>9.6459110000000015E-2</v>
      </c>
      <c r="L840">
        <v>0.27347310847766615</v>
      </c>
    </row>
    <row r="841" spans="1:14" x14ac:dyDescent="0.2">
      <c r="A841">
        <v>488921</v>
      </c>
      <c r="B841">
        <v>100</v>
      </c>
      <c r="C841">
        <v>8</v>
      </c>
      <c r="D841">
        <v>2</v>
      </c>
      <c r="E841">
        <v>1.45</v>
      </c>
      <c r="F841">
        <v>2</v>
      </c>
      <c r="G841">
        <v>1.45</v>
      </c>
      <c r="H841">
        <v>3.8630000000000001E-3</v>
      </c>
      <c r="I841">
        <v>3.7976027559055124E-2</v>
      </c>
      <c r="J841">
        <v>8.9174617440944889E-2</v>
      </c>
      <c r="K841">
        <v>0.12715064500000001</v>
      </c>
      <c r="L841">
        <v>0.42586140147115759</v>
      </c>
      <c r="M841">
        <v>3.7976027559055117E-2</v>
      </c>
      <c r="N841">
        <v>8.4790112440944893E-2</v>
      </c>
    </row>
    <row r="842" spans="1:14" x14ac:dyDescent="0.2">
      <c r="B842">
        <v>100</v>
      </c>
      <c r="C842">
        <v>8</v>
      </c>
      <c r="D842">
        <v>1.9</v>
      </c>
      <c r="E842">
        <v>1.35</v>
      </c>
      <c r="F842">
        <v>1.9</v>
      </c>
      <c r="G842">
        <v>1.35</v>
      </c>
      <c r="H842">
        <v>3.8630000000000001E-3</v>
      </c>
      <c r="I842">
        <v>3.7976027559055103E-2</v>
      </c>
      <c r="J842">
        <v>8.0405607440944896E-2</v>
      </c>
      <c r="K842">
        <v>0.118381635</v>
      </c>
      <c r="L842">
        <v>0.47230571060540977</v>
      </c>
    </row>
    <row r="843" spans="1:14" x14ac:dyDescent="0.2">
      <c r="A843">
        <v>488922</v>
      </c>
      <c r="B843">
        <v>100</v>
      </c>
      <c r="C843">
        <v>8</v>
      </c>
      <c r="D843">
        <v>5.45</v>
      </c>
      <c r="E843">
        <v>3.6</v>
      </c>
      <c r="F843">
        <v>5.45</v>
      </c>
      <c r="G843">
        <v>3.6</v>
      </c>
      <c r="H843">
        <v>3.8630000000000001E-3</v>
      </c>
      <c r="I843">
        <v>0.12773754724409447</v>
      </c>
      <c r="J843">
        <v>0.18794681275590555</v>
      </c>
      <c r="K843">
        <v>0.31568436</v>
      </c>
      <c r="L843">
        <v>0.67964731814842005</v>
      </c>
      <c r="M843">
        <v>0.13118991338582678</v>
      </c>
      <c r="N843">
        <v>0.22833949661417319</v>
      </c>
    </row>
    <row r="844" spans="1:14" x14ac:dyDescent="0.2">
      <c r="B844">
        <v>100</v>
      </c>
      <c r="C844">
        <v>8</v>
      </c>
      <c r="D844">
        <v>6.55</v>
      </c>
      <c r="E844">
        <v>4.5999999999999996</v>
      </c>
      <c r="F844">
        <v>6.55</v>
      </c>
      <c r="G844">
        <v>4.5999999999999996</v>
      </c>
      <c r="H844">
        <v>3.8630000000000001E-3</v>
      </c>
      <c r="I844">
        <v>0.13464227952755908</v>
      </c>
      <c r="J844">
        <v>0.26873218047244085</v>
      </c>
      <c r="K844">
        <v>0.40337445999999993</v>
      </c>
      <c r="L844">
        <v>0.50102774922918836</v>
      </c>
    </row>
    <row r="845" spans="1:14" x14ac:dyDescent="0.2">
      <c r="A845">
        <v>488923</v>
      </c>
      <c r="B845">
        <v>100</v>
      </c>
      <c r="C845">
        <v>7</v>
      </c>
      <c r="D845">
        <v>5.0999999999999996</v>
      </c>
      <c r="E845">
        <v>3</v>
      </c>
      <c r="F845">
        <v>5.0999999999999996</v>
      </c>
      <c r="G845">
        <v>3</v>
      </c>
      <c r="H845">
        <v>9.7450000000000002E-3</v>
      </c>
      <c r="I845">
        <v>0.36578279527559049</v>
      </c>
      <c r="J845">
        <v>0.29785170472440947</v>
      </c>
      <c r="K845">
        <v>0.66363449999999991</v>
      </c>
      <c r="L845">
        <v>1.2280701754385961</v>
      </c>
      <c r="M845">
        <v>0.36142823818897629</v>
      </c>
      <c r="N845">
        <v>0.30220626181102361</v>
      </c>
    </row>
    <row r="846" spans="1:14" x14ac:dyDescent="0.2">
      <c r="B846">
        <v>100</v>
      </c>
      <c r="C846">
        <v>7</v>
      </c>
      <c r="D846">
        <v>5.05</v>
      </c>
      <c r="E846">
        <v>3</v>
      </c>
      <c r="F846">
        <v>5.05</v>
      </c>
      <c r="G846">
        <v>3</v>
      </c>
      <c r="H846">
        <v>9.7450000000000002E-3</v>
      </c>
      <c r="I846">
        <v>0.35707368110236215</v>
      </c>
      <c r="J846">
        <v>0.30656081889763775</v>
      </c>
      <c r="K846">
        <v>0.66363449999999991</v>
      </c>
      <c r="L846">
        <v>1.1647727272727273</v>
      </c>
    </row>
    <row r="847" spans="1:14" x14ac:dyDescent="0.2">
      <c r="A847">
        <v>488924</v>
      </c>
      <c r="B847">
        <v>100</v>
      </c>
      <c r="C847">
        <v>7</v>
      </c>
      <c r="D847">
        <v>4.75</v>
      </c>
      <c r="E847">
        <v>2.75</v>
      </c>
      <c r="F847">
        <v>4.75</v>
      </c>
      <c r="G847">
        <v>2.75</v>
      </c>
      <c r="H847">
        <v>9.7450000000000002E-3</v>
      </c>
      <c r="I847">
        <v>0.34836456692913387</v>
      </c>
      <c r="J847">
        <v>0.25996705807086617</v>
      </c>
      <c r="K847">
        <v>0.60833162500000004</v>
      </c>
      <c r="L847">
        <v>1.3400335008375208</v>
      </c>
      <c r="M847">
        <v>0.34401000984251973</v>
      </c>
      <c r="N847">
        <v>0.25879132765748031</v>
      </c>
    </row>
    <row r="848" spans="1:14" x14ac:dyDescent="0.2">
      <c r="B848">
        <v>100</v>
      </c>
      <c r="C848">
        <v>7</v>
      </c>
      <c r="D848">
        <v>4.6500000000000004</v>
      </c>
      <c r="E848">
        <v>2.7</v>
      </c>
      <c r="F848">
        <v>4.6500000000000004</v>
      </c>
      <c r="G848">
        <v>2.7</v>
      </c>
      <c r="H848">
        <v>9.7450000000000002E-3</v>
      </c>
      <c r="I848">
        <v>0.33965545275590558</v>
      </c>
      <c r="J848">
        <v>0.25761559724409444</v>
      </c>
      <c r="K848">
        <v>0.59727105000000003</v>
      </c>
      <c r="L848">
        <v>1.318458417849899</v>
      </c>
    </row>
    <row r="849" spans="1:14" x14ac:dyDescent="0.2">
      <c r="A849">
        <v>488925</v>
      </c>
      <c r="B849">
        <v>100</v>
      </c>
      <c r="C849">
        <v>8</v>
      </c>
      <c r="D849">
        <v>4.9000000000000004</v>
      </c>
      <c r="E849">
        <v>2.7</v>
      </c>
      <c r="F849">
        <v>4.9000000000000004</v>
      </c>
      <c r="G849">
        <v>2.7</v>
      </c>
      <c r="H849">
        <v>3.8630000000000001E-3</v>
      </c>
      <c r="I849">
        <v>0.1519041102362205</v>
      </c>
      <c r="J849">
        <v>8.4859159763779543E-2</v>
      </c>
      <c r="K849">
        <v>0.23676327000000003</v>
      </c>
      <c r="L849">
        <v>1.790073230268511</v>
      </c>
      <c r="M849">
        <v>0.14845174409448819</v>
      </c>
      <c r="N849">
        <v>8.3927020905511823E-2</v>
      </c>
    </row>
    <row r="850" spans="1:14" x14ac:dyDescent="0.2">
      <c r="B850">
        <v>100</v>
      </c>
      <c r="C850">
        <v>8</v>
      </c>
      <c r="D850">
        <v>4.7</v>
      </c>
      <c r="E850">
        <v>2.6</v>
      </c>
      <c r="F850">
        <v>4.7</v>
      </c>
      <c r="G850">
        <v>2.6</v>
      </c>
      <c r="H850">
        <v>3.8630000000000001E-3</v>
      </c>
      <c r="I850">
        <v>0.14499937795275591</v>
      </c>
      <c r="J850">
        <v>8.2994882047244103E-2</v>
      </c>
      <c r="K850">
        <v>0.22799426</v>
      </c>
      <c r="L850">
        <v>1.7470881863560732</v>
      </c>
    </row>
    <row r="851" spans="1:14" x14ac:dyDescent="0.2">
      <c r="A851">
        <v>488926</v>
      </c>
      <c r="B851">
        <v>100</v>
      </c>
      <c r="C851">
        <v>8</v>
      </c>
      <c r="D851">
        <v>4</v>
      </c>
      <c r="E851">
        <v>2.15</v>
      </c>
      <c r="F851">
        <v>4</v>
      </c>
      <c r="G851">
        <v>2.15</v>
      </c>
      <c r="H851">
        <v>3.8630000000000001E-3</v>
      </c>
      <c r="I851">
        <v>0.12773754724409447</v>
      </c>
      <c r="J851">
        <v>6.0796167755905503E-2</v>
      </c>
      <c r="K851">
        <v>0.18853371499999999</v>
      </c>
      <c r="L851">
        <v>2.1010789324247585</v>
      </c>
      <c r="M851">
        <v>0.12773754724409447</v>
      </c>
      <c r="N851">
        <v>6.2988420255905536E-2</v>
      </c>
    </row>
    <row r="852" spans="1:14" x14ac:dyDescent="0.2">
      <c r="B852">
        <v>100</v>
      </c>
      <c r="C852">
        <v>8</v>
      </c>
      <c r="D852">
        <v>4.05</v>
      </c>
      <c r="E852">
        <v>2.2000000000000002</v>
      </c>
      <c r="F852">
        <v>4.05</v>
      </c>
      <c r="G852">
        <v>2.2000000000000002</v>
      </c>
      <c r="H852">
        <v>3.8630000000000001E-3</v>
      </c>
      <c r="I852">
        <v>0.12773754724409447</v>
      </c>
      <c r="J852">
        <v>6.5180672755905555E-2</v>
      </c>
      <c r="K852">
        <v>0.19291822000000003</v>
      </c>
      <c r="L852">
        <v>1.9597457627118628</v>
      </c>
    </row>
    <row r="853" spans="1:14" x14ac:dyDescent="0.2">
      <c r="A853">
        <v>488927</v>
      </c>
      <c r="B853">
        <v>100</v>
      </c>
      <c r="C853">
        <v>8</v>
      </c>
      <c r="D853">
        <v>4.3499999999999996</v>
      </c>
      <c r="E853">
        <v>2.25</v>
      </c>
      <c r="F853">
        <v>4.3499999999999996</v>
      </c>
      <c r="G853">
        <v>2.25</v>
      </c>
      <c r="H853">
        <v>3.8630000000000001E-3</v>
      </c>
      <c r="I853">
        <v>0.14499937795275589</v>
      </c>
      <c r="J853">
        <v>5.2303347047244125E-2</v>
      </c>
      <c r="K853">
        <v>0.19730272500000001</v>
      </c>
      <c r="L853">
        <v>2.7722772277227703</v>
      </c>
      <c r="M853">
        <v>0.13464227952755903</v>
      </c>
      <c r="N853">
        <v>6.0468192972440979E-2</v>
      </c>
    </row>
    <row r="854" spans="1:14" x14ac:dyDescent="0.2">
      <c r="B854">
        <v>100</v>
      </c>
      <c r="C854">
        <v>8</v>
      </c>
      <c r="D854">
        <v>4</v>
      </c>
      <c r="E854">
        <v>2.2000000000000002</v>
      </c>
      <c r="F854">
        <v>4</v>
      </c>
      <c r="G854">
        <v>2.2000000000000002</v>
      </c>
      <c r="H854">
        <v>3.8630000000000001E-3</v>
      </c>
      <c r="I854">
        <v>0.12428518110236218</v>
      </c>
      <c r="J854">
        <v>6.8633038897637832E-2</v>
      </c>
      <c r="K854">
        <v>0.19291822000000003</v>
      </c>
      <c r="L854">
        <v>1.81086519114688</v>
      </c>
    </row>
    <row r="855" spans="1:14" x14ac:dyDescent="0.2">
      <c r="A855">
        <v>488932</v>
      </c>
      <c r="B855">
        <v>100</v>
      </c>
      <c r="C855">
        <v>8</v>
      </c>
      <c r="D855">
        <v>1.95</v>
      </c>
      <c r="E855">
        <v>1.45</v>
      </c>
      <c r="F855">
        <v>1.95</v>
      </c>
      <c r="G855">
        <v>1.45</v>
      </c>
      <c r="H855">
        <v>3.8630000000000001E-3</v>
      </c>
      <c r="I855">
        <v>3.452366141732284E-2</v>
      </c>
      <c r="J855">
        <v>9.2626983582677166E-2</v>
      </c>
      <c r="K855">
        <v>0.12715064500000001</v>
      </c>
      <c r="L855">
        <v>0.37271710771524419</v>
      </c>
      <c r="M855">
        <v>3.452366141732284E-2</v>
      </c>
      <c r="N855">
        <v>9.4819236082677158E-2</v>
      </c>
    </row>
    <row r="856" spans="1:14" x14ac:dyDescent="0.2">
      <c r="B856">
        <v>100</v>
      </c>
      <c r="C856">
        <v>8</v>
      </c>
      <c r="D856">
        <v>2</v>
      </c>
      <c r="E856">
        <v>1.5</v>
      </c>
      <c r="F856">
        <v>2</v>
      </c>
      <c r="G856">
        <v>1.5</v>
      </c>
      <c r="H856">
        <v>3.8630000000000001E-3</v>
      </c>
      <c r="I856">
        <v>3.452366141732284E-2</v>
      </c>
      <c r="J856">
        <v>9.7011488582677149E-2</v>
      </c>
      <c r="K856">
        <v>0.13153514999999999</v>
      </c>
      <c r="L856">
        <v>0.35587188612099657</v>
      </c>
    </row>
    <row r="857" spans="1:14" x14ac:dyDescent="0.2">
      <c r="A857">
        <v>488933</v>
      </c>
      <c r="B857">
        <v>100</v>
      </c>
      <c r="C857">
        <v>8</v>
      </c>
      <c r="D857">
        <v>3.2</v>
      </c>
      <c r="E857">
        <v>2.25</v>
      </c>
      <c r="F857">
        <v>3.2</v>
      </c>
      <c r="G857">
        <v>2.25</v>
      </c>
      <c r="H857">
        <v>3.8630000000000001E-3</v>
      </c>
      <c r="I857">
        <v>6.5594956692913403E-2</v>
      </c>
      <c r="J857">
        <v>0.13170776830708658</v>
      </c>
      <c r="K857">
        <v>0.19730272499999998</v>
      </c>
      <c r="L857">
        <v>0.49803407601572763</v>
      </c>
      <c r="M857">
        <v>6.5594956692913403E-2</v>
      </c>
      <c r="N857">
        <v>0.13390002080708657</v>
      </c>
    </row>
    <row r="858" spans="1:14" x14ac:dyDescent="0.2">
      <c r="B858">
        <v>100</v>
      </c>
      <c r="C858">
        <v>8</v>
      </c>
      <c r="D858">
        <v>3.25</v>
      </c>
      <c r="E858">
        <v>2.2999999999999998</v>
      </c>
      <c r="F858">
        <v>3.25</v>
      </c>
      <c r="G858">
        <v>2.2999999999999998</v>
      </c>
      <c r="H858">
        <v>3.8630000000000001E-3</v>
      </c>
      <c r="I858">
        <v>6.5594956692913403E-2</v>
      </c>
      <c r="J858">
        <v>0.13609227330708656</v>
      </c>
      <c r="K858">
        <v>0.20168722999999997</v>
      </c>
      <c r="L858">
        <v>0.48198883815322202</v>
      </c>
    </row>
    <row r="859" spans="1:14" x14ac:dyDescent="0.2">
      <c r="A859">
        <v>488934</v>
      </c>
      <c r="B859">
        <v>100</v>
      </c>
      <c r="C859">
        <v>8</v>
      </c>
      <c r="D859">
        <v>6.35</v>
      </c>
      <c r="E859">
        <v>4.25</v>
      </c>
      <c r="F859">
        <v>6.35</v>
      </c>
      <c r="G859">
        <v>4.25</v>
      </c>
      <c r="H859">
        <v>3.8630000000000001E-3</v>
      </c>
      <c r="I859">
        <v>0.14499937795275589</v>
      </c>
      <c r="J859">
        <v>0.22768354704724414</v>
      </c>
      <c r="K859">
        <v>0.372682925</v>
      </c>
      <c r="L859">
        <v>0.63684609552691407</v>
      </c>
      <c r="M859">
        <v>0.14845174409448819</v>
      </c>
      <c r="N859">
        <v>0.21546217090551184</v>
      </c>
    </row>
    <row r="860" spans="1:14" x14ac:dyDescent="0.2">
      <c r="B860">
        <v>100</v>
      </c>
      <c r="C860">
        <v>8</v>
      </c>
      <c r="D860">
        <v>6.25</v>
      </c>
      <c r="E860">
        <v>4.05</v>
      </c>
      <c r="F860">
        <v>6.25</v>
      </c>
      <c r="G860">
        <v>4.05</v>
      </c>
      <c r="H860">
        <v>3.8630000000000001E-3</v>
      </c>
      <c r="I860">
        <v>0.1519041102362205</v>
      </c>
      <c r="J860">
        <v>0.20324079476377957</v>
      </c>
      <c r="K860">
        <v>0.35514490500000007</v>
      </c>
      <c r="L860">
        <v>0.74740954645829794</v>
      </c>
    </row>
    <row r="861" spans="1:14" x14ac:dyDescent="0.2">
      <c r="A861">
        <v>488935</v>
      </c>
      <c r="B861">
        <v>100</v>
      </c>
      <c r="C861">
        <v>7</v>
      </c>
      <c r="D861">
        <v>3.25</v>
      </c>
      <c r="E861">
        <v>2.0499999999999998</v>
      </c>
      <c r="F861">
        <v>3.25</v>
      </c>
      <c r="G861">
        <v>2.0499999999999998</v>
      </c>
      <c r="H861">
        <v>9.7450000000000002E-3</v>
      </c>
      <c r="I861">
        <v>0.20901874015748034</v>
      </c>
      <c r="J861">
        <v>0.24446483484251963</v>
      </c>
      <c r="K861">
        <v>0.45348357499999997</v>
      </c>
      <c r="L861">
        <v>0.85500534378339899</v>
      </c>
      <c r="M861">
        <v>0.20466418307086615</v>
      </c>
      <c r="N861">
        <v>0.25434967942913383</v>
      </c>
    </row>
    <row r="862" spans="1:14" x14ac:dyDescent="0.2">
      <c r="B862">
        <v>100</v>
      </c>
      <c r="C862">
        <v>7</v>
      </c>
      <c r="D862">
        <v>3.25</v>
      </c>
      <c r="E862">
        <v>2.1</v>
      </c>
      <c r="F862">
        <v>3.25</v>
      </c>
      <c r="G862">
        <v>2.1</v>
      </c>
      <c r="H862">
        <v>9.7450000000000002E-3</v>
      </c>
      <c r="I862">
        <v>0.20030962598425198</v>
      </c>
      <c r="J862">
        <v>0.26423452401574804</v>
      </c>
      <c r="K862">
        <v>0.46454415000000004</v>
      </c>
      <c r="L862">
        <v>0.75807514831905076</v>
      </c>
    </row>
    <row r="863" spans="1:14" x14ac:dyDescent="0.2">
      <c r="A863">
        <v>488936</v>
      </c>
      <c r="B863">
        <v>100</v>
      </c>
      <c r="C863">
        <v>7</v>
      </c>
      <c r="D863">
        <v>4.5</v>
      </c>
      <c r="E863">
        <v>2.8</v>
      </c>
      <c r="F863">
        <v>4.5</v>
      </c>
      <c r="G863">
        <v>2.8</v>
      </c>
      <c r="H863">
        <v>9.7450000000000002E-3</v>
      </c>
      <c r="I863">
        <v>0.29610988188976384</v>
      </c>
      <c r="J863">
        <v>0.32328231811023611</v>
      </c>
      <c r="K863">
        <v>0.61939219999999995</v>
      </c>
      <c r="L863">
        <v>0.91594827586206951</v>
      </c>
      <c r="M863">
        <v>0.30917355314960637</v>
      </c>
      <c r="N863">
        <v>0.29362778435039361</v>
      </c>
    </row>
    <row r="864" spans="1:14" x14ac:dyDescent="0.2">
      <c r="B864">
        <v>100</v>
      </c>
      <c r="C864">
        <v>7</v>
      </c>
      <c r="D864">
        <v>4.5</v>
      </c>
      <c r="E864">
        <v>2.65</v>
      </c>
      <c r="F864">
        <v>4.5</v>
      </c>
      <c r="G864">
        <v>2.65</v>
      </c>
      <c r="H864">
        <v>9.7450000000000002E-3</v>
      </c>
      <c r="I864">
        <v>0.32223722440944891</v>
      </c>
      <c r="J864">
        <v>0.26397325059055105</v>
      </c>
      <c r="K864">
        <v>0.5862104749999999</v>
      </c>
      <c r="L864">
        <v>1.2207192345760485</v>
      </c>
    </row>
    <row r="865" spans="1:14" x14ac:dyDescent="0.2">
      <c r="A865">
        <v>488937</v>
      </c>
      <c r="B865">
        <v>100</v>
      </c>
      <c r="C865">
        <v>7</v>
      </c>
      <c r="D865">
        <v>7.7</v>
      </c>
      <c r="E865">
        <v>3.95</v>
      </c>
      <c r="F865">
        <v>7.7</v>
      </c>
      <c r="G865">
        <v>3.95</v>
      </c>
      <c r="H865">
        <v>9.7450000000000002E-3</v>
      </c>
      <c r="I865">
        <v>0.6531835629921261</v>
      </c>
      <c r="J865">
        <v>0.22060186200787402</v>
      </c>
      <c r="K865">
        <v>0.87378542500000012</v>
      </c>
      <c r="L865">
        <v>2.9609159099881568</v>
      </c>
      <c r="M865">
        <v>0.69418923622047246</v>
      </c>
      <c r="N865">
        <v>0.20955224377952753</v>
      </c>
    </row>
    <row r="866" spans="1:14" x14ac:dyDescent="0.2">
      <c r="B866">
        <v>100</v>
      </c>
      <c r="C866">
        <v>6</v>
      </c>
      <c r="D866">
        <v>2.2999999999999998</v>
      </c>
      <c r="E866">
        <v>1.1499999999999999</v>
      </c>
      <c r="F866">
        <v>2.2999999999999998</v>
      </c>
      <c r="G866">
        <v>1.1499999999999999</v>
      </c>
      <c r="H866">
        <v>3.5767E-2</v>
      </c>
      <c r="I866">
        <v>0.73519490944881893</v>
      </c>
      <c r="J866">
        <v>0.19850262555118106</v>
      </c>
      <c r="K866">
        <v>0.93369753499999997</v>
      </c>
      <c r="L866">
        <v>3.7037037037037046</v>
      </c>
    </row>
    <row r="867" spans="1:14" x14ac:dyDescent="0.2">
      <c r="A867">
        <v>488938</v>
      </c>
      <c r="B867">
        <v>100</v>
      </c>
      <c r="C867">
        <v>6</v>
      </c>
      <c r="D867">
        <v>3.6</v>
      </c>
      <c r="E867">
        <v>1.9</v>
      </c>
      <c r="F867">
        <v>3.6</v>
      </c>
      <c r="G867">
        <v>1.9</v>
      </c>
      <c r="H867">
        <v>3.5767E-2</v>
      </c>
      <c r="I867">
        <v>1.0868098661417325</v>
      </c>
      <c r="J867">
        <v>0.45582084385826777</v>
      </c>
      <c r="K867">
        <v>1.5426307100000003</v>
      </c>
      <c r="L867">
        <v>2.3842917251051894</v>
      </c>
      <c r="M867">
        <v>1.0388623720472443</v>
      </c>
      <c r="N867">
        <v>0.52406611045275597</v>
      </c>
    </row>
    <row r="868" spans="1:14" x14ac:dyDescent="0.2">
      <c r="B868">
        <v>100</v>
      </c>
      <c r="C868">
        <v>6</v>
      </c>
      <c r="D868">
        <v>3.5</v>
      </c>
      <c r="E868">
        <v>1.95</v>
      </c>
      <c r="F868">
        <v>3.5</v>
      </c>
      <c r="G868">
        <v>1.95</v>
      </c>
      <c r="H868">
        <v>3.5767E-2</v>
      </c>
      <c r="I868">
        <v>0.99091487795275601</v>
      </c>
      <c r="J868">
        <v>0.59231137704724413</v>
      </c>
      <c r="K868">
        <v>1.583226255</v>
      </c>
      <c r="L868">
        <v>1.6729627630868862</v>
      </c>
    </row>
    <row r="869" spans="1:14" x14ac:dyDescent="0.2">
      <c r="A869">
        <v>488939</v>
      </c>
      <c r="B869">
        <v>100</v>
      </c>
      <c r="C869">
        <v>6</v>
      </c>
      <c r="D869">
        <v>2.25</v>
      </c>
      <c r="E869">
        <v>1.1000000000000001</v>
      </c>
      <c r="F869">
        <v>2.25</v>
      </c>
      <c r="G869">
        <v>1.1000000000000001</v>
      </c>
      <c r="H869">
        <v>3.5767E-2</v>
      </c>
      <c r="I869">
        <v>0.73519490944881893</v>
      </c>
      <c r="J869">
        <v>0.15790708055118122</v>
      </c>
      <c r="K869">
        <v>0.89310199000000012</v>
      </c>
      <c r="L869">
        <v>4.6558704453441262</v>
      </c>
      <c r="M869">
        <v>0.75117740748031503</v>
      </c>
      <c r="N869">
        <v>0.16222235501968502</v>
      </c>
    </row>
    <row r="870" spans="1:14" x14ac:dyDescent="0.2">
      <c r="B870">
        <v>100</v>
      </c>
      <c r="C870">
        <v>6</v>
      </c>
      <c r="D870">
        <v>2.35</v>
      </c>
      <c r="E870">
        <v>1.1499999999999999</v>
      </c>
      <c r="F870">
        <v>2.35</v>
      </c>
      <c r="G870">
        <v>1.1499999999999999</v>
      </c>
      <c r="H870">
        <v>3.5767E-2</v>
      </c>
      <c r="I870">
        <v>0.76715990551181112</v>
      </c>
      <c r="J870">
        <v>0.16653762948818884</v>
      </c>
      <c r="K870">
        <v>0.93369753499999997</v>
      </c>
      <c r="L870">
        <v>4.6065259117082578</v>
      </c>
    </row>
    <row r="871" spans="1:14" x14ac:dyDescent="0.2">
      <c r="A871">
        <v>488944</v>
      </c>
      <c r="B871">
        <v>100</v>
      </c>
      <c r="C871">
        <v>8</v>
      </c>
      <c r="D871">
        <v>2.85</v>
      </c>
      <c r="E871">
        <v>2.25</v>
      </c>
      <c r="F871">
        <v>2.85</v>
      </c>
      <c r="G871">
        <v>2.25</v>
      </c>
      <c r="H871">
        <v>3.8630000000000001E-3</v>
      </c>
      <c r="I871">
        <v>4.1428393700787408E-2</v>
      </c>
      <c r="J871">
        <v>0.15587433129921258</v>
      </c>
      <c r="K871">
        <v>0.19730272499999998</v>
      </c>
      <c r="L871">
        <v>0.26578073089701004</v>
      </c>
      <c r="M871">
        <v>4.1428393700787408E-2</v>
      </c>
      <c r="N871">
        <v>0.15148982629921259</v>
      </c>
    </row>
    <row r="872" spans="1:14" x14ac:dyDescent="0.2">
      <c r="B872">
        <v>100</v>
      </c>
      <c r="C872">
        <v>8</v>
      </c>
      <c r="D872">
        <v>2.75</v>
      </c>
      <c r="E872">
        <v>2.15</v>
      </c>
      <c r="F872">
        <v>2.75</v>
      </c>
      <c r="G872">
        <v>2.15</v>
      </c>
      <c r="H872">
        <v>3.8630000000000001E-3</v>
      </c>
      <c r="I872">
        <v>4.1428393700787408E-2</v>
      </c>
      <c r="J872">
        <v>0.14710532129921261</v>
      </c>
      <c r="K872">
        <v>0.18853371500000002</v>
      </c>
      <c r="L872">
        <v>0.28162403191739033</v>
      </c>
    </row>
    <row r="873" spans="1:14" x14ac:dyDescent="0.2">
      <c r="A873">
        <v>488945</v>
      </c>
      <c r="B873">
        <v>100</v>
      </c>
      <c r="C873">
        <v>8</v>
      </c>
      <c r="D873">
        <v>4.8</v>
      </c>
      <c r="E873">
        <v>3.5</v>
      </c>
      <c r="F873">
        <v>4.8</v>
      </c>
      <c r="G873">
        <v>3.5</v>
      </c>
      <c r="H873">
        <v>3.8630000000000001E-3</v>
      </c>
      <c r="I873">
        <v>8.976151968503937E-2</v>
      </c>
      <c r="J873">
        <v>0.21715383031496063</v>
      </c>
      <c r="K873">
        <v>0.30691535000000003</v>
      </c>
      <c r="L873">
        <v>0.41335453100158981</v>
      </c>
      <c r="M873">
        <v>8.976151968503937E-2</v>
      </c>
      <c r="N873">
        <v>0.20619256781496065</v>
      </c>
    </row>
    <row r="874" spans="1:14" x14ac:dyDescent="0.2">
      <c r="B874">
        <v>100</v>
      </c>
      <c r="C874">
        <v>8</v>
      </c>
      <c r="D874">
        <v>4.55</v>
      </c>
      <c r="E874">
        <v>3.25</v>
      </c>
      <c r="F874">
        <v>4.55</v>
      </c>
      <c r="G874">
        <v>3.25</v>
      </c>
      <c r="H874">
        <v>3.8630000000000001E-3</v>
      </c>
      <c r="I874">
        <v>8.976151968503937E-2</v>
      </c>
      <c r="J874">
        <v>0.19523130531496069</v>
      </c>
      <c r="K874">
        <v>0.28499282500000006</v>
      </c>
      <c r="L874">
        <v>0.45977011494252862</v>
      </c>
    </row>
    <row r="875" spans="1:14" x14ac:dyDescent="0.2">
      <c r="A875">
        <v>488946</v>
      </c>
      <c r="B875">
        <v>100</v>
      </c>
      <c r="C875">
        <v>8</v>
      </c>
      <c r="D875">
        <v>6.15</v>
      </c>
      <c r="E875">
        <v>4.1500000000000004</v>
      </c>
      <c r="F875">
        <v>6.15</v>
      </c>
      <c r="G875">
        <v>4.1500000000000004</v>
      </c>
      <c r="H875">
        <v>3.8630000000000001E-3</v>
      </c>
      <c r="I875">
        <v>0.13809464566929136</v>
      </c>
      <c r="J875">
        <v>0.22581926933070873</v>
      </c>
      <c r="K875">
        <v>0.36391391500000009</v>
      </c>
      <c r="L875">
        <v>0.61152728940528966</v>
      </c>
      <c r="M875">
        <v>0.13809464566929136</v>
      </c>
      <c r="N875">
        <v>0.23020377433070871</v>
      </c>
    </row>
    <row r="876" spans="1:14" x14ac:dyDescent="0.2">
      <c r="B876">
        <v>100</v>
      </c>
      <c r="C876">
        <v>8</v>
      </c>
      <c r="D876">
        <v>6.25</v>
      </c>
      <c r="E876">
        <v>4.25</v>
      </c>
      <c r="F876">
        <v>6.25</v>
      </c>
      <c r="G876">
        <v>4.25</v>
      </c>
      <c r="H876">
        <v>3.8630000000000001E-3</v>
      </c>
      <c r="I876">
        <v>0.13809464566929136</v>
      </c>
      <c r="J876">
        <v>0.23458827933070869</v>
      </c>
      <c r="K876">
        <v>0.37268292500000005</v>
      </c>
      <c r="L876">
        <v>0.58866813833701248</v>
      </c>
    </row>
    <row r="877" spans="1:14" x14ac:dyDescent="0.2">
      <c r="A877">
        <v>488947</v>
      </c>
      <c r="B877">
        <v>100</v>
      </c>
      <c r="C877">
        <v>7</v>
      </c>
      <c r="D877">
        <v>4.05</v>
      </c>
      <c r="E877">
        <v>2.5499999999999998</v>
      </c>
      <c r="F877">
        <v>4.05</v>
      </c>
      <c r="G877">
        <v>2.5499999999999998</v>
      </c>
      <c r="H877">
        <v>9.7450000000000002E-3</v>
      </c>
      <c r="I877">
        <v>0.26127342519685043</v>
      </c>
      <c r="J877">
        <v>0.30281589980314966</v>
      </c>
      <c r="K877">
        <v>0.56408932500000009</v>
      </c>
      <c r="L877">
        <v>0.86281276962899045</v>
      </c>
      <c r="M877">
        <v>0.26998253937007877</v>
      </c>
      <c r="N877">
        <v>0.29410678562992126</v>
      </c>
    </row>
    <row r="878" spans="1:14" x14ac:dyDescent="0.2">
      <c r="B878">
        <v>100</v>
      </c>
      <c r="C878">
        <v>7</v>
      </c>
      <c r="D878">
        <v>4.1500000000000004</v>
      </c>
      <c r="E878">
        <v>2.5499999999999998</v>
      </c>
      <c r="F878">
        <v>4.1500000000000004</v>
      </c>
      <c r="G878">
        <v>2.5499999999999998</v>
      </c>
      <c r="H878">
        <v>9.7450000000000002E-3</v>
      </c>
      <c r="I878">
        <v>0.27869165354330716</v>
      </c>
      <c r="J878">
        <v>0.28539767145669287</v>
      </c>
      <c r="K878">
        <v>0.56408932500000009</v>
      </c>
      <c r="L878">
        <v>0.97650289899298182</v>
      </c>
    </row>
    <row r="879" spans="1:14" x14ac:dyDescent="0.2">
      <c r="A879">
        <v>488948</v>
      </c>
      <c r="B879">
        <v>100</v>
      </c>
      <c r="C879">
        <v>6</v>
      </c>
      <c r="D879">
        <v>2.2999999999999998</v>
      </c>
      <c r="E879">
        <v>1.35</v>
      </c>
      <c r="F879">
        <v>2.2999999999999998</v>
      </c>
      <c r="G879">
        <v>1.35</v>
      </c>
      <c r="H879">
        <v>3.5767E-2</v>
      </c>
      <c r="I879">
        <v>0.60733492519685017</v>
      </c>
      <c r="J879">
        <v>0.48874478980314989</v>
      </c>
      <c r="K879">
        <v>1.0960797150000001</v>
      </c>
      <c r="L879">
        <v>1.2426422498364933</v>
      </c>
      <c r="M879">
        <v>0.63929992125984247</v>
      </c>
      <c r="N879">
        <v>0.47707756624015751</v>
      </c>
    </row>
    <row r="880" spans="1:14" x14ac:dyDescent="0.2">
      <c r="B880">
        <v>100</v>
      </c>
      <c r="C880">
        <v>6</v>
      </c>
      <c r="D880">
        <v>2.4500000000000002</v>
      </c>
      <c r="E880">
        <v>1.4</v>
      </c>
      <c r="F880">
        <v>2.4500000000000002</v>
      </c>
      <c r="G880">
        <v>1.4</v>
      </c>
      <c r="H880">
        <v>3.5767E-2</v>
      </c>
      <c r="I880">
        <v>0.67126491732283489</v>
      </c>
      <c r="J880">
        <v>0.46541034267716519</v>
      </c>
      <c r="K880">
        <v>1.1366752600000001</v>
      </c>
      <c r="L880">
        <v>1.4423076923076934</v>
      </c>
    </row>
    <row r="881" spans="1:14" x14ac:dyDescent="0.2">
      <c r="A881">
        <v>488950</v>
      </c>
      <c r="B881">
        <v>100</v>
      </c>
      <c r="C881">
        <v>7</v>
      </c>
      <c r="D881">
        <v>6</v>
      </c>
      <c r="E881">
        <v>3.25</v>
      </c>
      <c r="F881">
        <v>6</v>
      </c>
      <c r="G881">
        <v>3.25</v>
      </c>
      <c r="H881">
        <v>9.7450000000000002E-3</v>
      </c>
      <c r="I881">
        <v>0.47900127952755911</v>
      </c>
      <c r="J881">
        <v>0.23993609547244102</v>
      </c>
      <c r="K881">
        <v>0.7189373750000001</v>
      </c>
      <c r="L881">
        <v>1.9963702359346638</v>
      </c>
      <c r="M881">
        <v>0.50948317913385832</v>
      </c>
      <c r="N881">
        <v>0.2260450583661418</v>
      </c>
    </row>
    <row r="882" spans="1:14" x14ac:dyDescent="0.2">
      <c r="B882">
        <v>100</v>
      </c>
      <c r="C882">
        <v>7</v>
      </c>
      <c r="D882">
        <v>6.5</v>
      </c>
      <c r="E882">
        <v>3.4</v>
      </c>
      <c r="F882">
        <v>6.5</v>
      </c>
      <c r="G882">
        <v>3.4</v>
      </c>
      <c r="H882">
        <v>9.7450000000000002E-3</v>
      </c>
      <c r="I882">
        <v>0.53996507874015753</v>
      </c>
      <c r="J882">
        <v>0.21215402125984259</v>
      </c>
      <c r="K882">
        <v>0.75211910000000015</v>
      </c>
      <c r="L882">
        <v>2.5451559934318548</v>
      </c>
    </row>
    <row r="883" spans="1:14" x14ac:dyDescent="0.2">
      <c r="A883">
        <v>488951</v>
      </c>
      <c r="B883">
        <v>100</v>
      </c>
      <c r="C883">
        <v>7</v>
      </c>
      <c r="D883">
        <v>5.95</v>
      </c>
      <c r="E883">
        <v>3.15</v>
      </c>
      <c r="F883">
        <v>5.95</v>
      </c>
      <c r="G883">
        <v>3.15</v>
      </c>
      <c r="H883">
        <v>9.7450000000000002E-3</v>
      </c>
      <c r="I883">
        <v>0.48771039370078745</v>
      </c>
      <c r="J883">
        <v>0.20910583129921256</v>
      </c>
      <c r="K883">
        <v>0.69681622500000007</v>
      </c>
      <c r="L883">
        <v>2.332361516034986</v>
      </c>
      <c r="M883">
        <v>0.49206495078740164</v>
      </c>
      <c r="N883">
        <v>0.22134213671259836</v>
      </c>
    </row>
    <row r="884" spans="1:14" x14ac:dyDescent="0.2">
      <c r="B884">
        <v>100</v>
      </c>
      <c r="C884">
        <v>7</v>
      </c>
      <c r="D884">
        <v>6.15</v>
      </c>
      <c r="E884">
        <v>3.3</v>
      </c>
      <c r="F884">
        <v>6.15</v>
      </c>
      <c r="G884">
        <v>3.3</v>
      </c>
      <c r="H884">
        <v>9.7450000000000002E-3</v>
      </c>
      <c r="I884">
        <v>0.49641950787401584</v>
      </c>
      <c r="J884">
        <v>0.23357844212598416</v>
      </c>
      <c r="K884">
        <v>0.72999795000000001</v>
      </c>
      <c r="L884">
        <v>2.1252796420581666</v>
      </c>
    </row>
    <row r="885" spans="1:14" x14ac:dyDescent="0.2">
      <c r="A885">
        <v>488259</v>
      </c>
      <c r="B885">
        <v>100</v>
      </c>
      <c r="C885">
        <v>6</v>
      </c>
      <c r="D885">
        <v>2.65</v>
      </c>
      <c r="E885">
        <v>1.35</v>
      </c>
      <c r="F885">
        <v>2.65</v>
      </c>
      <c r="G885">
        <v>1.35</v>
      </c>
      <c r="H885">
        <v>3.5767E-2</v>
      </c>
      <c r="I885">
        <v>0.83108989763779517</v>
      </c>
      <c r="J885">
        <v>0.26498981736220484</v>
      </c>
      <c r="K885">
        <v>1.0960797150000001</v>
      </c>
      <c r="L885">
        <v>3.1363088057901067</v>
      </c>
      <c r="M885">
        <v>0.83108989763779517</v>
      </c>
      <c r="N885">
        <v>0.24469204486220475</v>
      </c>
    </row>
    <row r="886" spans="1:14" x14ac:dyDescent="0.2">
      <c r="B886">
        <v>100</v>
      </c>
      <c r="C886">
        <v>6</v>
      </c>
      <c r="D886">
        <v>2.6</v>
      </c>
      <c r="E886">
        <v>1.3</v>
      </c>
      <c r="F886">
        <v>2.6</v>
      </c>
      <c r="G886">
        <v>1.3</v>
      </c>
      <c r="H886">
        <v>3.5767E-2</v>
      </c>
      <c r="I886">
        <v>0.83108989763779528</v>
      </c>
      <c r="J886">
        <v>0.22439427236220463</v>
      </c>
      <c r="K886">
        <v>1.0554841699999999</v>
      </c>
      <c r="L886">
        <v>3.7037037037037051</v>
      </c>
    </row>
    <row r="887" spans="1:14" x14ac:dyDescent="0.2">
      <c r="A887">
        <v>488956</v>
      </c>
      <c r="B887">
        <v>100</v>
      </c>
      <c r="C887">
        <v>8</v>
      </c>
      <c r="D887">
        <v>2</v>
      </c>
      <c r="E887">
        <v>1.6</v>
      </c>
      <c r="F887">
        <v>2</v>
      </c>
      <c r="G887">
        <v>1.6</v>
      </c>
      <c r="H887">
        <v>3.8630000000000001E-3</v>
      </c>
      <c r="I887">
        <v>2.7618929133858265E-2</v>
      </c>
      <c r="J887">
        <v>0.11268523086614175</v>
      </c>
      <c r="K887">
        <v>0.14030416000000001</v>
      </c>
      <c r="L887">
        <v>0.24509803921568621</v>
      </c>
      <c r="M887">
        <v>2.9345112204724404E-2</v>
      </c>
      <c r="N887">
        <v>8.9036522795275602E-2</v>
      </c>
    </row>
    <row r="888" spans="1:14" x14ac:dyDescent="0.2">
      <c r="B888">
        <v>100</v>
      </c>
      <c r="C888">
        <v>8</v>
      </c>
      <c r="D888">
        <v>1.55</v>
      </c>
      <c r="E888">
        <v>1.1000000000000001</v>
      </c>
      <c r="F888">
        <v>1.55</v>
      </c>
      <c r="G888">
        <v>1.1000000000000001</v>
      </c>
      <c r="H888">
        <v>3.8630000000000001E-3</v>
      </c>
      <c r="I888">
        <v>3.1071295275590546E-2</v>
      </c>
      <c r="J888">
        <v>6.5387814724409465E-2</v>
      </c>
      <c r="K888">
        <v>9.6459110000000015E-2</v>
      </c>
      <c r="L888">
        <v>0.47518479408658904</v>
      </c>
    </row>
    <row r="889" spans="1:14" x14ac:dyDescent="0.2">
      <c r="A889">
        <v>488957</v>
      </c>
      <c r="B889">
        <v>100</v>
      </c>
      <c r="C889">
        <v>8</v>
      </c>
      <c r="D889">
        <v>2.75</v>
      </c>
      <c r="E889">
        <v>2</v>
      </c>
      <c r="F889">
        <v>2.75</v>
      </c>
      <c r="G889">
        <v>2</v>
      </c>
      <c r="H889">
        <v>3.8630000000000001E-3</v>
      </c>
      <c r="I889">
        <v>5.1785492125984253E-2</v>
      </c>
      <c r="J889">
        <v>0.12359470787401575</v>
      </c>
      <c r="K889">
        <v>0.17538019999999999</v>
      </c>
      <c r="L889">
        <v>0.41899441340782123</v>
      </c>
      <c r="M889">
        <v>5.5237858267716544E-2</v>
      </c>
      <c r="N889">
        <v>0.11575783673228347</v>
      </c>
    </row>
    <row r="890" spans="1:14" x14ac:dyDescent="0.2">
      <c r="B890">
        <v>100</v>
      </c>
      <c r="C890">
        <v>8</v>
      </c>
      <c r="D890">
        <v>2.75</v>
      </c>
      <c r="E890">
        <v>1.9</v>
      </c>
      <c r="F890">
        <v>2.75</v>
      </c>
      <c r="G890">
        <v>1.9</v>
      </c>
      <c r="H890">
        <v>3.8630000000000001E-3</v>
      </c>
      <c r="I890">
        <v>5.8690224409448828E-2</v>
      </c>
      <c r="J890">
        <v>0.1079209655905512</v>
      </c>
      <c r="K890">
        <v>0.16661119000000002</v>
      </c>
      <c r="L890">
        <v>0.54382597568777991</v>
      </c>
    </row>
    <row r="891" spans="1:14" x14ac:dyDescent="0.2">
      <c r="A891">
        <v>488958</v>
      </c>
      <c r="B891">
        <v>100</v>
      </c>
      <c r="C891">
        <v>8</v>
      </c>
      <c r="D891">
        <v>7</v>
      </c>
      <c r="E891">
        <v>4.3499999999999996</v>
      </c>
      <c r="F891">
        <v>7</v>
      </c>
      <c r="G891">
        <v>4.3499999999999996</v>
      </c>
      <c r="H891">
        <v>3.8630000000000001E-3</v>
      </c>
      <c r="I891">
        <v>0.18297540551181105</v>
      </c>
      <c r="J891">
        <v>0.19847652948818895</v>
      </c>
      <c r="K891">
        <v>0.38145193499999996</v>
      </c>
      <c r="L891">
        <v>0.92189946077578733</v>
      </c>
      <c r="M891">
        <v>0.17607067322834649</v>
      </c>
      <c r="N891">
        <v>0.21195801927165348</v>
      </c>
    </row>
    <row r="892" spans="1:14" x14ac:dyDescent="0.2">
      <c r="B892">
        <v>100</v>
      </c>
      <c r="C892">
        <v>8</v>
      </c>
      <c r="D892">
        <v>6.95</v>
      </c>
      <c r="E892">
        <v>4.5</v>
      </c>
      <c r="F892">
        <v>6.95</v>
      </c>
      <c r="G892">
        <v>4.5</v>
      </c>
      <c r="H892">
        <v>3.8630000000000001E-3</v>
      </c>
      <c r="I892">
        <v>0.16916594094488194</v>
      </c>
      <c r="J892">
        <v>0.22543950905511803</v>
      </c>
      <c r="K892">
        <v>0.39460544999999997</v>
      </c>
      <c r="L892">
        <v>0.75038284839203717</v>
      </c>
    </row>
    <row r="893" spans="1:14" x14ac:dyDescent="0.2">
      <c r="A893">
        <v>488959</v>
      </c>
      <c r="B893">
        <v>100</v>
      </c>
      <c r="C893">
        <v>7</v>
      </c>
      <c r="D893">
        <v>3.55</v>
      </c>
      <c r="E893">
        <v>2.2000000000000002</v>
      </c>
      <c r="F893">
        <v>3.55</v>
      </c>
      <c r="G893">
        <v>2.2000000000000002</v>
      </c>
      <c r="H893">
        <v>9.7450000000000002E-3</v>
      </c>
      <c r="I893">
        <v>0.23514608267716533</v>
      </c>
      <c r="J893">
        <v>0.25151921732283478</v>
      </c>
      <c r="K893">
        <v>0.48666530000000008</v>
      </c>
      <c r="L893">
        <v>0.93490304709141214</v>
      </c>
      <c r="M893">
        <v>0.22643696850393699</v>
      </c>
      <c r="N893">
        <v>0.23810718149606308</v>
      </c>
    </row>
    <row r="894" spans="1:14" x14ac:dyDescent="0.2">
      <c r="B894">
        <v>100</v>
      </c>
      <c r="C894">
        <v>7</v>
      </c>
      <c r="D894">
        <v>3.25</v>
      </c>
      <c r="E894">
        <v>2</v>
      </c>
      <c r="F894">
        <v>3.25</v>
      </c>
      <c r="G894">
        <v>2</v>
      </c>
      <c r="H894">
        <v>9.7450000000000002E-3</v>
      </c>
      <c r="I894">
        <v>0.21772785433070865</v>
      </c>
      <c r="J894">
        <v>0.22469514566929136</v>
      </c>
      <c r="K894">
        <v>0.44242300000000001</v>
      </c>
      <c r="L894">
        <v>0.96899224806201534</v>
      </c>
    </row>
    <row r="895" spans="1:14" x14ac:dyDescent="0.2">
      <c r="A895">
        <v>488960</v>
      </c>
      <c r="B895">
        <v>100</v>
      </c>
      <c r="C895">
        <v>7</v>
      </c>
      <c r="D895">
        <v>5.75</v>
      </c>
      <c r="E895">
        <v>3.35</v>
      </c>
      <c r="F895">
        <v>5.75</v>
      </c>
      <c r="G895">
        <v>3.35</v>
      </c>
      <c r="H895">
        <v>9.7450000000000002E-3</v>
      </c>
      <c r="I895">
        <v>0.41803748031496063</v>
      </c>
      <c r="J895">
        <v>0.32302104468503939</v>
      </c>
      <c r="K895">
        <v>0.74105852500000002</v>
      </c>
      <c r="L895">
        <v>1.2941493664060393</v>
      </c>
      <c r="M895">
        <v>0.42239203740157483</v>
      </c>
      <c r="N895">
        <v>0.27995447509842519</v>
      </c>
    </row>
    <row r="896" spans="1:14" x14ac:dyDescent="0.2">
      <c r="B896">
        <v>100</v>
      </c>
      <c r="C896">
        <v>7</v>
      </c>
      <c r="D896">
        <v>5.45</v>
      </c>
      <c r="E896">
        <v>3</v>
      </c>
      <c r="F896">
        <v>5.45</v>
      </c>
      <c r="G896">
        <v>3</v>
      </c>
      <c r="H896">
        <v>9.7450000000000002E-3</v>
      </c>
      <c r="I896">
        <v>0.42674659448818902</v>
      </c>
      <c r="J896">
        <v>0.23688790551181105</v>
      </c>
      <c r="K896">
        <v>0.66363450000000013</v>
      </c>
      <c r="L896">
        <v>1.8014705882352942</v>
      </c>
    </row>
    <row r="897" spans="1:14" x14ac:dyDescent="0.2">
      <c r="A897">
        <v>488961</v>
      </c>
      <c r="B897">
        <v>100</v>
      </c>
      <c r="C897">
        <v>6</v>
      </c>
      <c r="D897">
        <v>2.4500000000000002</v>
      </c>
      <c r="E897">
        <v>1.3</v>
      </c>
      <c r="F897">
        <v>2.4500000000000002</v>
      </c>
      <c r="G897">
        <v>1.3</v>
      </c>
      <c r="H897">
        <v>3.5767E-2</v>
      </c>
      <c r="I897">
        <v>0.73519490944881893</v>
      </c>
      <c r="J897">
        <v>0.32028926055118107</v>
      </c>
      <c r="K897">
        <v>1.0554841699999999</v>
      </c>
      <c r="L897">
        <v>2.2954091816367268</v>
      </c>
      <c r="M897">
        <v>0.70322991338582674</v>
      </c>
      <c r="N897">
        <v>0.33195648411417333</v>
      </c>
    </row>
    <row r="898" spans="1:14" x14ac:dyDescent="0.2">
      <c r="B898">
        <v>100</v>
      </c>
      <c r="C898">
        <v>6</v>
      </c>
      <c r="D898">
        <v>2.2999999999999998</v>
      </c>
      <c r="E898">
        <v>1.25</v>
      </c>
      <c r="F898">
        <v>2.2999999999999998</v>
      </c>
      <c r="G898">
        <v>1.25</v>
      </c>
      <c r="H898">
        <v>3.5767E-2</v>
      </c>
      <c r="I898">
        <v>0.67126491732283455</v>
      </c>
      <c r="J898">
        <v>0.3436237076771656</v>
      </c>
      <c r="K898">
        <v>1.0148886250000002</v>
      </c>
      <c r="L898">
        <v>1.9534883720930216</v>
      </c>
    </row>
    <row r="899" spans="1:14" x14ac:dyDescent="0.2">
      <c r="A899">
        <v>488962</v>
      </c>
      <c r="B899">
        <v>100</v>
      </c>
      <c r="C899">
        <v>6</v>
      </c>
      <c r="D899">
        <v>3</v>
      </c>
      <c r="E899">
        <v>1.5</v>
      </c>
      <c r="F899">
        <v>3</v>
      </c>
      <c r="G899">
        <v>1.5</v>
      </c>
      <c r="H899">
        <v>3.5767E-2</v>
      </c>
      <c r="I899">
        <v>0.95894988188976371</v>
      </c>
      <c r="J899">
        <v>0.25891646811023611</v>
      </c>
      <c r="K899">
        <v>1.2178663499999998</v>
      </c>
      <c r="L899">
        <v>3.7037037037037051</v>
      </c>
      <c r="M899">
        <v>0.95894988188976371</v>
      </c>
      <c r="N899">
        <v>0.25891646811023611</v>
      </c>
    </row>
    <row r="900" spans="1:14" x14ac:dyDescent="0.2">
      <c r="B900">
        <v>100</v>
      </c>
      <c r="C900">
        <v>6</v>
      </c>
      <c r="D900">
        <v>3</v>
      </c>
      <c r="E900">
        <v>1.5</v>
      </c>
      <c r="F900">
        <v>3</v>
      </c>
      <c r="G900">
        <v>1.5</v>
      </c>
      <c r="H900">
        <v>3.5767E-2</v>
      </c>
      <c r="I900">
        <v>0.95894988188976371</v>
      </c>
      <c r="J900">
        <v>0.25891646811023611</v>
      </c>
      <c r="K900">
        <v>1.2178663499999998</v>
      </c>
      <c r="L900">
        <v>3.7037037037037051</v>
      </c>
    </row>
    <row r="901" spans="1:14" x14ac:dyDescent="0.2">
      <c r="A901">
        <v>488963</v>
      </c>
      <c r="B901">
        <v>100</v>
      </c>
      <c r="C901">
        <v>6</v>
      </c>
      <c r="D901">
        <v>2.8</v>
      </c>
      <c r="E901">
        <v>1.35</v>
      </c>
      <c r="F901">
        <v>2.8</v>
      </c>
      <c r="G901">
        <v>1.35</v>
      </c>
      <c r="H901">
        <v>3.5767E-2</v>
      </c>
      <c r="I901">
        <v>0.92698488582677152</v>
      </c>
      <c r="J901">
        <v>0.16909482917322863</v>
      </c>
      <c r="K901">
        <v>1.0960797150000001</v>
      </c>
      <c r="L901">
        <v>5.4820415879016915</v>
      </c>
      <c r="M901">
        <v>0.91100238779527565</v>
      </c>
      <c r="N901">
        <v>0.16477955470472455</v>
      </c>
    </row>
    <row r="902" spans="1:14" x14ac:dyDescent="0.2">
      <c r="B902">
        <v>100</v>
      </c>
      <c r="C902">
        <v>6</v>
      </c>
      <c r="D902">
        <v>2.7</v>
      </c>
      <c r="E902">
        <v>1.3</v>
      </c>
      <c r="F902">
        <v>2.7</v>
      </c>
      <c r="G902">
        <v>1.3</v>
      </c>
      <c r="H902">
        <v>3.5767E-2</v>
      </c>
      <c r="I902">
        <v>0.89501988976377977</v>
      </c>
      <c r="J902">
        <v>0.16046428023622045</v>
      </c>
      <c r="K902">
        <v>1.0554841700000002</v>
      </c>
      <c r="L902">
        <v>5.5776892430278906</v>
      </c>
    </row>
    <row r="903" spans="1:14" x14ac:dyDescent="0.2">
      <c r="A903">
        <v>488964</v>
      </c>
      <c r="B903">
        <v>100</v>
      </c>
      <c r="C903">
        <v>6</v>
      </c>
      <c r="D903">
        <v>2.7</v>
      </c>
      <c r="E903">
        <v>1.35</v>
      </c>
      <c r="F903">
        <v>2.7</v>
      </c>
      <c r="G903">
        <v>1.35</v>
      </c>
      <c r="H903">
        <v>3.5767E-2</v>
      </c>
      <c r="I903">
        <v>0.86305489370078747</v>
      </c>
      <c r="J903">
        <v>0.23302482129921276</v>
      </c>
      <c r="K903">
        <v>1.0960797150000001</v>
      </c>
      <c r="L903">
        <v>3.7037037037037015</v>
      </c>
      <c r="M903">
        <v>0.89501988976377955</v>
      </c>
      <c r="N903">
        <v>0.24165537023622052</v>
      </c>
    </row>
    <row r="904" spans="1:14" x14ac:dyDescent="0.2">
      <c r="B904">
        <v>100</v>
      </c>
      <c r="C904">
        <v>6</v>
      </c>
      <c r="D904">
        <v>2.9</v>
      </c>
      <c r="E904">
        <v>1.45</v>
      </c>
      <c r="F904">
        <v>2.9</v>
      </c>
      <c r="G904">
        <v>1.45</v>
      </c>
      <c r="H904">
        <v>3.5767E-2</v>
      </c>
      <c r="I904">
        <v>0.92698488582677174</v>
      </c>
      <c r="J904">
        <v>0.25028591917322829</v>
      </c>
      <c r="K904">
        <v>1.177270805</v>
      </c>
      <c r="L904">
        <v>3.7037037037037051</v>
      </c>
    </row>
    <row r="905" spans="1:14" x14ac:dyDescent="0.2">
      <c r="A905">
        <v>488970</v>
      </c>
      <c r="B905">
        <v>100</v>
      </c>
      <c r="C905">
        <v>8</v>
      </c>
      <c r="D905">
        <v>1.55</v>
      </c>
      <c r="E905">
        <v>1.05</v>
      </c>
      <c r="F905">
        <v>1.55</v>
      </c>
      <c r="G905">
        <v>1.05</v>
      </c>
      <c r="H905">
        <v>3.8630000000000001E-3</v>
      </c>
      <c r="I905">
        <v>3.452366141732284E-2</v>
      </c>
      <c r="J905">
        <v>5.7550943582677178E-2</v>
      </c>
      <c r="K905">
        <v>9.2074605000000018E-2</v>
      </c>
      <c r="L905">
        <v>0.59988002399520091</v>
      </c>
      <c r="M905">
        <v>3.6249844488188979E-2</v>
      </c>
      <c r="N905">
        <v>4.9248003011811023E-2</v>
      </c>
    </row>
    <row r="906" spans="1:14" x14ac:dyDescent="0.2">
      <c r="B906">
        <v>100</v>
      </c>
      <c r="C906">
        <v>8</v>
      </c>
      <c r="D906">
        <v>1.45</v>
      </c>
      <c r="E906">
        <v>0.9</v>
      </c>
      <c r="F906">
        <v>1.45</v>
      </c>
      <c r="G906">
        <v>0.9</v>
      </c>
      <c r="H906">
        <v>3.8630000000000001E-3</v>
      </c>
      <c r="I906">
        <v>3.7976027559055117E-2</v>
      </c>
      <c r="J906">
        <v>4.0945062440944875E-2</v>
      </c>
      <c r="K906">
        <v>7.8921089999999999E-2</v>
      </c>
      <c r="L906">
        <v>0.92748735244519409</v>
      </c>
    </row>
    <row r="907" spans="1:14" x14ac:dyDescent="0.2">
      <c r="A907">
        <v>488971</v>
      </c>
      <c r="B907">
        <v>100</v>
      </c>
      <c r="C907">
        <v>8</v>
      </c>
      <c r="D907">
        <v>2</v>
      </c>
      <c r="E907">
        <v>1.25</v>
      </c>
      <c r="F907">
        <v>2</v>
      </c>
      <c r="G907">
        <v>1.25</v>
      </c>
      <c r="H907">
        <v>3.8630000000000001E-3</v>
      </c>
      <c r="I907">
        <v>5.1785492125984253E-2</v>
      </c>
      <c r="J907">
        <v>5.7827132874015759E-2</v>
      </c>
      <c r="K907">
        <v>0.10961262500000002</v>
      </c>
      <c r="L907">
        <v>0.8955223880597013</v>
      </c>
      <c r="M907">
        <v>5.1785492125984253E-2</v>
      </c>
      <c r="N907">
        <v>5.7827132874015759E-2</v>
      </c>
    </row>
    <row r="908" spans="1:14" x14ac:dyDescent="0.2">
      <c r="B908">
        <v>100</v>
      </c>
      <c r="C908">
        <v>8</v>
      </c>
      <c r="D908">
        <v>2</v>
      </c>
      <c r="E908">
        <v>1.25</v>
      </c>
      <c r="F908">
        <v>2</v>
      </c>
      <c r="G908">
        <v>1.25</v>
      </c>
      <c r="H908">
        <v>3.8630000000000001E-3</v>
      </c>
      <c r="I908">
        <v>5.1785492125984253E-2</v>
      </c>
      <c r="J908">
        <v>5.7827132874015759E-2</v>
      </c>
      <c r="K908">
        <v>0.10961262500000002</v>
      </c>
      <c r="L908">
        <v>0.8955223880597013</v>
      </c>
    </row>
    <row r="909" spans="1:14" x14ac:dyDescent="0.2">
      <c r="A909">
        <v>488972</v>
      </c>
      <c r="B909">
        <v>100</v>
      </c>
      <c r="C909">
        <v>8</v>
      </c>
      <c r="D909">
        <v>3.75</v>
      </c>
      <c r="E909">
        <v>2.25</v>
      </c>
      <c r="F909">
        <v>3.75</v>
      </c>
      <c r="G909">
        <v>2.25</v>
      </c>
      <c r="H909">
        <v>3.8630000000000001E-3</v>
      </c>
      <c r="I909">
        <v>0.10357098425196851</v>
      </c>
      <c r="J909">
        <v>9.3731740748031492E-2</v>
      </c>
      <c r="K909">
        <v>0.19730272500000001</v>
      </c>
      <c r="L909">
        <v>1.1049723756906078</v>
      </c>
      <c r="M909">
        <v>0.10184480118110235</v>
      </c>
      <c r="N909">
        <v>9.3265671318897667E-2</v>
      </c>
    </row>
    <row r="910" spans="1:14" x14ac:dyDescent="0.2">
      <c r="B910">
        <v>100</v>
      </c>
      <c r="C910">
        <v>8</v>
      </c>
      <c r="D910">
        <v>3.65</v>
      </c>
      <c r="E910">
        <v>2.2000000000000002</v>
      </c>
      <c r="F910">
        <v>3.65</v>
      </c>
      <c r="G910">
        <v>2.2000000000000002</v>
      </c>
      <c r="H910">
        <v>3.8630000000000001E-3</v>
      </c>
      <c r="I910">
        <v>0.1001186181102362</v>
      </c>
      <c r="J910">
        <v>9.2799601889763841E-2</v>
      </c>
      <c r="K910">
        <v>0.19291822000000003</v>
      </c>
      <c r="L910">
        <v>1.0788690476190468</v>
      </c>
    </row>
    <row r="911" spans="1:14" x14ac:dyDescent="0.2">
      <c r="A911">
        <v>488973</v>
      </c>
      <c r="B911">
        <v>100</v>
      </c>
      <c r="C911">
        <v>8</v>
      </c>
      <c r="D911">
        <v>6.15</v>
      </c>
      <c r="E911">
        <v>3.55</v>
      </c>
      <c r="F911">
        <v>6.15</v>
      </c>
      <c r="G911">
        <v>3.55</v>
      </c>
      <c r="H911">
        <v>3.8630000000000001E-3</v>
      </c>
      <c r="I911">
        <v>0.17952303937007877</v>
      </c>
      <c r="J911">
        <v>0.13177681562992119</v>
      </c>
      <c r="K911">
        <v>0.31129985499999996</v>
      </c>
      <c r="L911">
        <v>1.3623264343725447</v>
      </c>
      <c r="M911">
        <v>0.18470158858267721</v>
      </c>
      <c r="N911">
        <v>0.12002150891732279</v>
      </c>
    </row>
    <row r="912" spans="1:14" x14ac:dyDescent="0.2">
      <c r="B912">
        <v>100</v>
      </c>
      <c r="C912">
        <v>8</v>
      </c>
      <c r="D912">
        <v>6.15</v>
      </c>
      <c r="E912">
        <v>3.4</v>
      </c>
      <c r="F912">
        <v>6.15</v>
      </c>
      <c r="G912">
        <v>3.4</v>
      </c>
      <c r="H912">
        <v>3.8630000000000001E-3</v>
      </c>
      <c r="I912">
        <v>0.18988013779527563</v>
      </c>
      <c r="J912">
        <v>0.10826620220472438</v>
      </c>
      <c r="K912">
        <v>0.29814634000000001</v>
      </c>
      <c r="L912">
        <v>1.7538265306122456</v>
      </c>
    </row>
    <row r="913" spans="1:14" x14ac:dyDescent="0.2">
      <c r="A913">
        <v>488974</v>
      </c>
      <c r="B913">
        <v>100</v>
      </c>
      <c r="C913">
        <v>7</v>
      </c>
      <c r="D913">
        <v>4.45</v>
      </c>
      <c r="E913">
        <v>2.5499999999999998</v>
      </c>
      <c r="F913">
        <v>4.45</v>
      </c>
      <c r="G913">
        <v>2.5499999999999998</v>
      </c>
      <c r="H913">
        <v>9.7450000000000002E-3</v>
      </c>
      <c r="I913">
        <v>0.33094633858267725</v>
      </c>
      <c r="J913">
        <v>0.23314298641732278</v>
      </c>
      <c r="K913">
        <v>0.56408932500000009</v>
      </c>
      <c r="L913">
        <v>1.4194994396712746</v>
      </c>
      <c r="M913">
        <v>0.33965545275590558</v>
      </c>
      <c r="N913">
        <v>0.21337329724409448</v>
      </c>
    </row>
    <row r="914" spans="1:14" x14ac:dyDescent="0.2">
      <c r="B914">
        <v>100</v>
      </c>
      <c r="C914">
        <v>7</v>
      </c>
      <c r="D914">
        <v>4.45</v>
      </c>
      <c r="E914">
        <v>2.4500000000000002</v>
      </c>
      <c r="F914">
        <v>4.45</v>
      </c>
      <c r="G914">
        <v>2.4500000000000002</v>
      </c>
      <c r="H914">
        <v>9.7450000000000002E-3</v>
      </c>
      <c r="I914">
        <v>0.34836456692913387</v>
      </c>
      <c r="J914">
        <v>0.19360360807086621</v>
      </c>
      <c r="K914">
        <v>0.54196817500000005</v>
      </c>
      <c r="L914">
        <v>1.7993702204228514</v>
      </c>
    </row>
    <row r="915" spans="1:14" x14ac:dyDescent="0.2">
      <c r="A915">
        <v>488975</v>
      </c>
      <c r="B915">
        <v>100</v>
      </c>
      <c r="C915">
        <v>6</v>
      </c>
      <c r="D915">
        <v>4.8499999999999996</v>
      </c>
      <c r="E915">
        <v>2.5499999999999998</v>
      </c>
      <c r="F915">
        <v>4.8499999999999996</v>
      </c>
      <c r="G915">
        <v>2.5499999999999998</v>
      </c>
      <c r="H915">
        <v>3.5767E-2</v>
      </c>
      <c r="I915">
        <v>1.4703898188976379</v>
      </c>
      <c r="J915">
        <v>0.59998297610236262</v>
      </c>
      <c r="K915">
        <v>2.0703727950000004</v>
      </c>
      <c r="L915">
        <v>2.4507192328183254</v>
      </c>
      <c r="M915">
        <v>1.4544073208661419</v>
      </c>
      <c r="N915">
        <v>0.59566770163385874</v>
      </c>
    </row>
    <row r="916" spans="1:14" x14ac:dyDescent="0.2">
      <c r="B916">
        <v>100</v>
      </c>
      <c r="C916">
        <v>6</v>
      </c>
      <c r="D916">
        <v>4.75</v>
      </c>
      <c r="E916">
        <v>2.5</v>
      </c>
      <c r="F916">
        <v>4.75</v>
      </c>
      <c r="G916">
        <v>2.5</v>
      </c>
      <c r="H916">
        <v>3.5767E-2</v>
      </c>
      <c r="I916">
        <v>1.4384248228346459</v>
      </c>
      <c r="J916">
        <v>0.59135242716535474</v>
      </c>
      <c r="K916">
        <v>2.0297772500000004</v>
      </c>
      <c r="L916">
        <v>2.4324324324324311</v>
      </c>
    </row>
    <row r="917" spans="1:14" x14ac:dyDescent="0.2">
      <c r="A917">
        <v>488976</v>
      </c>
      <c r="B917">
        <v>100</v>
      </c>
      <c r="C917">
        <v>7</v>
      </c>
      <c r="D917">
        <v>4.5</v>
      </c>
      <c r="E917">
        <v>2.2999999999999998</v>
      </c>
      <c r="F917">
        <v>4.5</v>
      </c>
      <c r="G917">
        <v>2.2999999999999998</v>
      </c>
      <c r="H917">
        <v>9.7450000000000002E-3</v>
      </c>
      <c r="I917">
        <v>0.38320102362204733</v>
      </c>
      <c r="J917">
        <v>0.12558542637795261</v>
      </c>
      <c r="K917">
        <v>0.50878644999999989</v>
      </c>
      <c r="L917">
        <v>3.0513176144244145</v>
      </c>
      <c r="M917">
        <v>0.38755558070866147</v>
      </c>
      <c r="N917">
        <v>0.1212308692913385</v>
      </c>
    </row>
    <row r="918" spans="1:14" x14ac:dyDescent="0.2">
      <c r="B918">
        <v>100</v>
      </c>
      <c r="C918">
        <v>7</v>
      </c>
      <c r="D918">
        <v>4.55</v>
      </c>
      <c r="E918">
        <v>2.2999999999999998</v>
      </c>
      <c r="F918">
        <v>4.55</v>
      </c>
      <c r="G918">
        <v>2.2999999999999998</v>
      </c>
      <c r="H918">
        <v>9.7450000000000002E-3</v>
      </c>
      <c r="I918">
        <v>0.39191013779527567</v>
      </c>
      <c r="J918">
        <v>0.11687631220472439</v>
      </c>
      <c r="K918">
        <v>0.50878645000000011</v>
      </c>
      <c r="L918">
        <v>3.3532041728763056</v>
      </c>
    </row>
    <row r="919" spans="1:14" x14ac:dyDescent="0.2">
      <c r="A919">
        <v>488977</v>
      </c>
      <c r="B919">
        <v>100</v>
      </c>
      <c r="C919">
        <v>7</v>
      </c>
      <c r="D919">
        <v>3.25</v>
      </c>
      <c r="E919">
        <v>1.65</v>
      </c>
      <c r="F919">
        <v>3.25</v>
      </c>
      <c r="G919">
        <v>1.65</v>
      </c>
      <c r="H919">
        <v>9.7450000000000002E-3</v>
      </c>
      <c r="I919">
        <v>0.27869165354330711</v>
      </c>
      <c r="J919">
        <v>8.6307321456692898E-2</v>
      </c>
      <c r="K919">
        <v>0.364998975</v>
      </c>
      <c r="L919">
        <v>3.2290615539858738</v>
      </c>
      <c r="M919">
        <v>0.28304621062992125</v>
      </c>
      <c r="N919">
        <v>7.6422476870078748E-2</v>
      </c>
    </row>
    <row r="920" spans="1:14" x14ac:dyDescent="0.2">
      <c r="B920">
        <v>100</v>
      </c>
      <c r="C920">
        <v>7</v>
      </c>
      <c r="D920">
        <v>3.25</v>
      </c>
      <c r="E920">
        <v>1.6</v>
      </c>
      <c r="F920">
        <v>3.25</v>
      </c>
      <c r="G920">
        <v>1.6</v>
      </c>
      <c r="H920">
        <v>9.7450000000000002E-3</v>
      </c>
      <c r="I920">
        <v>0.28740076771653539</v>
      </c>
      <c r="J920">
        <v>6.6537632283464598E-2</v>
      </c>
      <c r="K920">
        <v>0.35393839999999999</v>
      </c>
      <c r="L920">
        <v>4.3193717277486883</v>
      </c>
    </row>
    <row r="921" spans="1:14" x14ac:dyDescent="0.2">
      <c r="A921">
        <v>488978</v>
      </c>
      <c r="B921">
        <v>100</v>
      </c>
      <c r="C921">
        <v>7</v>
      </c>
      <c r="D921">
        <v>3.2</v>
      </c>
      <c r="E921">
        <v>1.6</v>
      </c>
      <c r="F921">
        <v>3.2</v>
      </c>
      <c r="G921">
        <v>1.6</v>
      </c>
      <c r="H921">
        <v>9.7450000000000002E-3</v>
      </c>
      <c r="I921">
        <v>0.27869165354330711</v>
      </c>
      <c r="J921">
        <v>7.5246746456692937E-2</v>
      </c>
      <c r="K921">
        <v>0.35393840000000004</v>
      </c>
      <c r="L921">
        <v>3.7037037037037028</v>
      </c>
      <c r="M921">
        <v>0.27869165354330705</v>
      </c>
      <c r="N921">
        <v>6.9716458956692956E-2</v>
      </c>
    </row>
    <row r="922" spans="1:14" x14ac:dyDescent="0.2">
      <c r="B922">
        <v>100</v>
      </c>
      <c r="C922">
        <v>7</v>
      </c>
      <c r="D922">
        <v>3.15</v>
      </c>
      <c r="E922">
        <v>1.55</v>
      </c>
      <c r="F922">
        <v>3.15</v>
      </c>
      <c r="G922">
        <v>1.55</v>
      </c>
      <c r="H922">
        <v>9.7450000000000002E-3</v>
      </c>
      <c r="I922">
        <v>0.27869165354330705</v>
      </c>
      <c r="J922">
        <v>6.4186171456692975E-2</v>
      </c>
      <c r="K922">
        <v>0.34287782500000002</v>
      </c>
      <c r="L922">
        <v>4.3419267299864268</v>
      </c>
    </row>
    <row r="923" spans="1:14" x14ac:dyDescent="0.2">
      <c r="A923">
        <v>488984</v>
      </c>
      <c r="B923">
        <v>100</v>
      </c>
      <c r="C923">
        <v>8</v>
      </c>
      <c r="D923">
        <v>1.5</v>
      </c>
      <c r="E923">
        <v>1</v>
      </c>
      <c r="F923">
        <v>1.5</v>
      </c>
      <c r="G923">
        <v>1</v>
      </c>
      <c r="H923">
        <v>3.8630000000000001E-3</v>
      </c>
      <c r="I923">
        <v>3.452366141732284E-2</v>
      </c>
      <c r="J923">
        <v>5.3166438582677167E-2</v>
      </c>
      <c r="K923">
        <v>8.7690100000000007E-2</v>
      </c>
      <c r="L923">
        <v>0.64935064935064946</v>
      </c>
      <c r="M923">
        <v>3.452366141732284E-2</v>
      </c>
      <c r="N923">
        <v>5.3166438582677167E-2</v>
      </c>
    </row>
    <row r="924" spans="1:14" x14ac:dyDescent="0.2">
      <c r="B924">
        <v>100</v>
      </c>
      <c r="C924">
        <v>8</v>
      </c>
      <c r="D924">
        <v>1.5</v>
      </c>
      <c r="E924">
        <v>1</v>
      </c>
      <c r="F924">
        <v>1.5</v>
      </c>
      <c r="G924">
        <v>1</v>
      </c>
      <c r="H924">
        <v>3.8630000000000001E-3</v>
      </c>
      <c r="I924">
        <v>3.452366141732284E-2</v>
      </c>
      <c r="J924">
        <v>5.3166438582677167E-2</v>
      </c>
      <c r="K924">
        <v>8.7690100000000007E-2</v>
      </c>
      <c r="L924">
        <v>0.64935064935064946</v>
      </c>
    </row>
    <row r="925" spans="1:14" x14ac:dyDescent="0.2">
      <c r="A925">
        <v>488985</v>
      </c>
      <c r="B925">
        <v>100</v>
      </c>
      <c r="C925">
        <v>8</v>
      </c>
      <c r="D925">
        <v>4.05</v>
      </c>
      <c r="E925">
        <v>2.65</v>
      </c>
      <c r="F925">
        <v>4.05</v>
      </c>
      <c r="G925">
        <v>2.65</v>
      </c>
      <c r="H925">
        <v>3.8630000000000001E-3</v>
      </c>
      <c r="I925">
        <v>9.6666251968503938E-2</v>
      </c>
      <c r="J925">
        <v>0.13571251303149603</v>
      </c>
      <c r="K925">
        <v>0.23237876499999999</v>
      </c>
      <c r="L925">
        <v>0.71228694988552543</v>
      </c>
      <c r="M925">
        <v>9.6666251968503938E-2</v>
      </c>
      <c r="N925">
        <v>0.13352026053149602</v>
      </c>
    </row>
    <row r="926" spans="1:14" x14ac:dyDescent="0.2">
      <c r="B926">
        <v>100</v>
      </c>
      <c r="C926">
        <v>8</v>
      </c>
      <c r="D926">
        <v>4</v>
      </c>
      <c r="E926">
        <v>2.6</v>
      </c>
      <c r="F926">
        <v>4</v>
      </c>
      <c r="G926">
        <v>2.6</v>
      </c>
      <c r="H926">
        <v>3.8630000000000001E-3</v>
      </c>
      <c r="I926">
        <v>9.6666251968503938E-2</v>
      </c>
      <c r="J926">
        <v>0.13132800803149602</v>
      </c>
      <c r="K926">
        <v>0.22799425999999995</v>
      </c>
      <c r="L926">
        <v>0.73606729758149336</v>
      </c>
    </row>
    <row r="927" spans="1:14" x14ac:dyDescent="0.2">
      <c r="A927">
        <v>488986</v>
      </c>
      <c r="B927">
        <v>100</v>
      </c>
      <c r="C927">
        <v>8</v>
      </c>
      <c r="D927">
        <v>6.2</v>
      </c>
      <c r="E927">
        <v>3.6</v>
      </c>
      <c r="F927">
        <v>6.2</v>
      </c>
      <c r="G927">
        <v>3.6</v>
      </c>
      <c r="H927">
        <v>3.8630000000000001E-3</v>
      </c>
      <c r="I927">
        <v>0.17952303937007877</v>
      </c>
      <c r="J927">
        <v>0.13616132062992134</v>
      </c>
      <c r="K927">
        <v>0.31568436000000011</v>
      </c>
      <c r="L927">
        <v>1.3184584178498979</v>
      </c>
      <c r="M927">
        <v>0.17952303937007874</v>
      </c>
      <c r="N927">
        <v>0.1317768156299213</v>
      </c>
    </row>
    <row r="928" spans="1:14" x14ac:dyDescent="0.2">
      <c r="B928">
        <v>100</v>
      </c>
      <c r="C928">
        <v>8</v>
      </c>
      <c r="D928">
        <v>6.1</v>
      </c>
      <c r="E928">
        <v>3.5</v>
      </c>
      <c r="F928">
        <v>6.1</v>
      </c>
      <c r="G928">
        <v>3.5</v>
      </c>
      <c r="H928">
        <v>3.8630000000000001E-3</v>
      </c>
      <c r="I928">
        <v>0.17952303937007874</v>
      </c>
      <c r="J928">
        <v>0.12739231062992126</v>
      </c>
      <c r="K928">
        <v>0.30691535000000003</v>
      </c>
      <c r="L928">
        <v>1.4092140921409213</v>
      </c>
    </row>
    <row r="929" spans="1:14" x14ac:dyDescent="0.2">
      <c r="A929">
        <v>488987</v>
      </c>
      <c r="B929">
        <v>100</v>
      </c>
      <c r="C929">
        <v>7</v>
      </c>
      <c r="D929">
        <v>4</v>
      </c>
      <c r="E929">
        <v>2.2000000000000002</v>
      </c>
      <c r="F929">
        <v>4</v>
      </c>
      <c r="G929">
        <v>2.2000000000000002</v>
      </c>
      <c r="H929">
        <v>9.7450000000000002E-3</v>
      </c>
      <c r="I929">
        <v>0.3135281102362204</v>
      </c>
      <c r="J929">
        <v>0.17313718976377962</v>
      </c>
      <c r="K929">
        <v>0.48666530000000002</v>
      </c>
      <c r="L929">
        <v>1.8108651911468798</v>
      </c>
      <c r="M929">
        <v>0.3222372244094488</v>
      </c>
      <c r="N929">
        <v>0.16442807559055128</v>
      </c>
    </row>
    <row r="930" spans="1:14" x14ac:dyDescent="0.2">
      <c r="B930">
        <v>100</v>
      </c>
      <c r="C930">
        <v>7</v>
      </c>
      <c r="D930">
        <v>4.0999999999999996</v>
      </c>
      <c r="E930">
        <v>2.2000000000000002</v>
      </c>
      <c r="F930">
        <v>4.0999999999999996</v>
      </c>
      <c r="G930">
        <v>2.2000000000000002</v>
      </c>
      <c r="H930">
        <v>9.7450000000000002E-3</v>
      </c>
      <c r="I930">
        <v>0.33094633858267714</v>
      </c>
      <c r="J930">
        <v>0.15571896141732297</v>
      </c>
      <c r="K930">
        <v>0.48666530000000008</v>
      </c>
      <c r="L930">
        <v>2.1252796420581634</v>
      </c>
    </row>
    <row r="931" spans="1:14" x14ac:dyDescent="0.2">
      <c r="A931">
        <v>488988</v>
      </c>
      <c r="B931">
        <v>100</v>
      </c>
      <c r="C931">
        <v>6</v>
      </c>
      <c r="D931">
        <v>2.2000000000000002</v>
      </c>
      <c r="E931">
        <v>1.05</v>
      </c>
      <c r="F931">
        <v>2.2000000000000002</v>
      </c>
      <c r="G931">
        <v>1.05</v>
      </c>
      <c r="H931">
        <v>3.5767E-2</v>
      </c>
      <c r="I931">
        <v>0.73519490944881893</v>
      </c>
      <c r="J931">
        <v>0.117311535551181</v>
      </c>
      <c r="K931">
        <v>0.85250644499999995</v>
      </c>
      <c r="L931">
        <v>6.2670299727520495</v>
      </c>
      <c r="M931">
        <v>0.73519490944881893</v>
      </c>
      <c r="N931">
        <v>0.15790708055118102</v>
      </c>
    </row>
    <row r="932" spans="1:14" x14ac:dyDescent="0.2">
      <c r="B932">
        <v>100</v>
      </c>
      <c r="C932">
        <v>6</v>
      </c>
      <c r="D932">
        <v>2.2999999999999998</v>
      </c>
      <c r="E932">
        <v>1.1499999999999999</v>
      </c>
      <c r="F932">
        <v>2.2999999999999998</v>
      </c>
      <c r="G932">
        <v>1.1499999999999999</v>
      </c>
      <c r="H932">
        <v>3.5767E-2</v>
      </c>
      <c r="I932">
        <v>0.73519490944881893</v>
      </c>
      <c r="J932">
        <v>0.19850262555118106</v>
      </c>
      <c r="K932">
        <v>0.93369753499999997</v>
      </c>
      <c r="L932">
        <v>3.7037037037037046</v>
      </c>
    </row>
    <row r="933" spans="1:14" x14ac:dyDescent="0.2">
      <c r="A933">
        <v>488989</v>
      </c>
      <c r="B933">
        <v>100</v>
      </c>
      <c r="C933">
        <v>6</v>
      </c>
      <c r="D933">
        <v>5.45</v>
      </c>
      <c r="E933">
        <v>2.85</v>
      </c>
      <c r="F933">
        <v>5.45</v>
      </c>
      <c r="G933">
        <v>2.85</v>
      </c>
      <c r="H933">
        <v>3.5767E-2</v>
      </c>
      <c r="I933">
        <v>1.6621797952755906</v>
      </c>
      <c r="J933">
        <v>0.65176626972440987</v>
      </c>
      <c r="K933">
        <v>2.3139460650000006</v>
      </c>
      <c r="L933">
        <v>2.5502697400686594</v>
      </c>
      <c r="M933">
        <v>1.6621797952755903</v>
      </c>
      <c r="N933">
        <v>0.6111707247244097</v>
      </c>
    </row>
    <row r="934" spans="1:14" x14ac:dyDescent="0.2">
      <c r="B934">
        <v>100</v>
      </c>
      <c r="C934">
        <v>6</v>
      </c>
      <c r="D934">
        <v>5.35</v>
      </c>
      <c r="E934">
        <v>2.75</v>
      </c>
      <c r="F934">
        <v>5.35</v>
      </c>
      <c r="G934">
        <v>2.75</v>
      </c>
      <c r="H934">
        <v>3.5767E-2</v>
      </c>
      <c r="I934">
        <v>1.6621797952755903</v>
      </c>
      <c r="J934">
        <v>0.57057517972440952</v>
      </c>
      <c r="K934">
        <v>2.2327549749999998</v>
      </c>
      <c r="L934">
        <v>2.913165266106442</v>
      </c>
    </row>
    <row r="935" spans="1:14" x14ac:dyDescent="0.2">
      <c r="A935">
        <v>488990</v>
      </c>
      <c r="B935">
        <v>100</v>
      </c>
      <c r="C935">
        <v>7</v>
      </c>
      <c r="D935">
        <v>3.75</v>
      </c>
      <c r="E935">
        <v>1.95</v>
      </c>
      <c r="F935">
        <v>3.75</v>
      </c>
      <c r="G935">
        <v>1.95</v>
      </c>
      <c r="H935">
        <v>9.7450000000000002E-3</v>
      </c>
      <c r="I935">
        <v>0.31352811023622051</v>
      </c>
      <c r="J935">
        <v>0.11783431476377954</v>
      </c>
      <c r="K935">
        <v>0.43136242500000005</v>
      </c>
      <c r="L935">
        <v>2.6607538802660757</v>
      </c>
      <c r="M935">
        <v>0.31352811023622051</v>
      </c>
      <c r="N935">
        <v>0.11783431476377954</v>
      </c>
    </row>
    <row r="936" spans="1:14" x14ac:dyDescent="0.2">
      <c r="B936">
        <v>100</v>
      </c>
      <c r="C936">
        <v>7</v>
      </c>
      <c r="D936">
        <v>3.75</v>
      </c>
      <c r="E936">
        <v>1.95</v>
      </c>
      <c r="F936">
        <v>3.75</v>
      </c>
      <c r="G936">
        <v>1.95</v>
      </c>
      <c r="H936">
        <v>9.7450000000000002E-3</v>
      </c>
      <c r="I936">
        <v>0.31352811023622051</v>
      </c>
      <c r="J936">
        <v>0.11783431476377954</v>
      </c>
      <c r="K936">
        <v>0.43136242500000005</v>
      </c>
      <c r="L936">
        <v>2.6607538802660757</v>
      </c>
    </row>
    <row r="937" spans="1:14" x14ac:dyDescent="0.2">
      <c r="A937">
        <v>488991</v>
      </c>
      <c r="B937">
        <v>100</v>
      </c>
      <c r="C937">
        <v>7</v>
      </c>
      <c r="D937">
        <v>3.3</v>
      </c>
      <c r="E937">
        <v>1.7</v>
      </c>
      <c r="F937">
        <v>3.3</v>
      </c>
      <c r="G937">
        <v>1.7</v>
      </c>
      <c r="H937">
        <v>9.7450000000000002E-3</v>
      </c>
      <c r="I937">
        <v>0.27869165354330705</v>
      </c>
      <c r="J937">
        <v>9.7367896456692971E-2</v>
      </c>
      <c r="K937">
        <v>0.37605955000000002</v>
      </c>
      <c r="L937">
        <v>2.8622540250447206</v>
      </c>
      <c r="M937">
        <v>0.27869165354330705</v>
      </c>
      <c r="N937">
        <v>8.6307321456692954E-2</v>
      </c>
    </row>
    <row r="938" spans="1:14" x14ac:dyDescent="0.2">
      <c r="B938">
        <v>100</v>
      </c>
      <c r="C938">
        <v>7</v>
      </c>
      <c r="D938">
        <v>3.2</v>
      </c>
      <c r="E938">
        <v>1.6</v>
      </c>
      <c r="F938">
        <v>3.2</v>
      </c>
      <c r="G938">
        <v>1.6</v>
      </c>
      <c r="H938">
        <v>9.7450000000000002E-3</v>
      </c>
      <c r="I938">
        <v>0.27869165354330711</v>
      </c>
      <c r="J938">
        <v>7.5246746456692937E-2</v>
      </c>
      <c r="K938">
        <v>0.35393840000000004</v>
      </c>
      <c r="L938">
        <v>3.7037037037037028</v>
      </c>
    </row>
    <row r="939" spans="1:14" x14ac:dyDescent="0.2">
      <c r="A939">
        <v>488992</v>
      </c>
      <c r="B939">
        <v>100</v>
      </c>
      <c r="C939">
        <v>7</v>
      </c>
      <c r="D939">
        <v>3.3</v>
      </c>
      <c r="E939">
        <v>1.7</v>
      </c>
      <c r="F939">
        <v>3.3</v>
      </c>
      <c r="G939">
        <v>1.7</v>
      </c>
      <c r="H939">
        <v>9.7450000000000002E-3</v>
      </c>
      <c r="I939">
        <v>0.27869165354330705</v>
      </c>
      <c r="J939">
        <v>9.7367896456692971E-2</v>
      </c>
      <c r="K939">
        <v>0.37605955000000002</v>
      </c>
      <c r="L939">
        <v>2.8622540250447206</v>
      </c>
      <c r="M939">
        <v>0.27433709645669291</v>
      </c>
      <c r="N939">
        <v>0.10172245354330714</v>
      </c>
    </row>
    <row r="940" spans="1:14" x14ac:dyDescent="0.2">
      <c r="B940">
        <v>100</v>
      </c>
      <c r="C940">
        <v>7</v>
      </c>
      <c r="D940">
        <v>3.25</v>
      </c>
      <c r="E940">
        <v>1.7</v>
      </c>
      <c r="F940">
        <v>3.25</v>
      </c>
      <c r="G940">
        <v>1.7</v>
      </c>
      <c r="H940">
        <v>9.7450000000000002E-3</v>
      </c>
      <c r="I940">
        <v>0.26998253937007877</v>
      </c>
      <c r="J940">
        <v>0.1060770106299213</v>
      </c>
      <c r="K940">
        <v>0.37605955000000008</v>
      </c>
      <c r="L940">
        <v>2.5451559934318548</v>
      </c>
    </row>
    <row r="941" spans="1:14" x14ac:dyDescent="0.2">
      <c r="A941">
        <v>488260</v>
      </c>
      <c r="B941">
        <v>100</v>
      </c>
      <c r="C941">
        <v>7</v>
      </c>
      <c r="D941">
        <v>3.15</v>
      </c>
      <c r="E941">
        <v>1.55</v>
      </c>
      <c r="F941">
        <v>3.15</v>
      </c>
      <c r="G941">
        <v>1.55</v>
      </c>
      <c r="H941">
        <v>9.7450000000000002E-3</v>
      </c>
      <c r="I941">
        <v>0.27869165354330705</v>
      </c>
      <c r="J941">
        <v>6.4186171456692975E-2</v>
      </c>
      <c r="K941">
        <v>0.34287782500000002</v>
      </c>
      <c r="L941">
        <v>4.3419267299864268</v>
      </c>
      <c r="M941">
        <v>0.27869165354330705</v>
      </c>
      <c r="N941">
        <v>6.4186171456692975E-2</v>
      </c>
    </row>
    <row r="942" spans="1:14" x14ac:dyDescent="0.2">
      <c r="B942">
        <v>100</v>
      </c>
      <c r="C942">
        <v>7</v>
      </c>
      <c r="D942">
        <v>3.15</v>
      </c>
      <c r="E942">
        <v>1.55</v>
      </c>
      <c r="F942">
        <v>3.15</v>
      </c>
      <c r="G942">
        <v>1.55</v>
      </c>
      <c r="H942">
        <v>9.7450000000000002E-3</v>
      </c>
      <c r="I942">
        <v>0.27869165354330705</v>
      </c>
      <c r="J942">
        <v>6.4186171456692975E-2</v>
      </c>
      <c r="K942">
        <v>0.34287782500000002</v>
      </c>
      <c r="L942">
        <v>4.3419267299864268</v>
      </c>
    </row>
    <row r="943" spans="1:14" x14ac:dyDescent="0.2">
      <c r="A943">
        <v>489003</v>
      </c>
      <c r="B943">
        <v>100</v>
      </c>
      <c r="C943">
        <v>8</v>
      </c>
      <c r="D943">
        <v>0.8</v>
      </c>
      <c r="E943">
        <v>0.55000000000000004</v>
      </c>
      <c r="F943">
        <v>0.8</v>
      </c>
      <c r="G943">
        <v>0.55000000000000004</v>
      </c>
      <c r="H943">
        <v>3.8630000000000001E-3</v>
      </c>
      <c r="I943">
        <v>1.726183070866142E-2</v>
      </c>
      <c r="J943">
        <v>3.0967724291338587E-2</v>
      </c>
      <c r="K943">
        <v>4.8229555000000007E-2</v>
      </c>
      <c r="L943">
        <v>0.55741360089186176</v>
      </c>
      <c r="M943">
        <v>2.0714196850393704E-2</v>
      </c>
      <c r="N943">
        <v>3.4092115649606299E-2</v>
      </c>
    </row>
    <row r="944" spans="1:14" x14ac:dyDescent="0.2">
      <c r="B944">
        <v>100</v>
      </c>
      <c r="C944">
        <v>8</v>
      </c>
      <c r="D944">
        <v>1.05</v>
      </c>
      <c r="E944">
        <v>0.7</v>
      </c>
      <c r="F944">
        <v>1.05</v>
      </c>
      <c r="G944">
        <v>0.7</v>
      </c>
      <c r="H944">
        <v>3.8630000000000001E-3</v>
      </c>
      <c r="I944">
        <v>2.4166562992125992E-2</v>
      </c>
      <c r="J944">
        <v>3.721650700787401E-2</v>
      </c>
      <c r="K944">
        <v>6.1383069999999998E-2</v>
      </c>
      <c r="L944">
        <v>0.64935064935064968</v>
      </c>
    </row>
    <row r="945" spans="1:14" x14ac:dyDescent="0.2">
      <c r="A945">
        <v>489005</v>
      </c>
      <c r="B945">
        <v>100</v>
      </c>
      <c r="C945">
        <v>8</v>
      </c>
      <c r="D945">
        <v>5.45</v>
      </c>
      <c r="E945">
        <v>3.1</v>
      </c>
      <c r="F945">
        <v>5.45</v>
      </c>
      <c r="G945">
        <v>3.1</v>
      </c>
      <c r="H945">
        <v>3.8630000000000001E-3</v>
      </c>
      <c r="I945">
        <v>0.16226120866141736</v>
      </c>
      <c r="J945">
        <v>0.1095781013385827</v>
      </c>
      <c r="K945">
        <v>0.27183931000000006</v>
      </c>
      <c r="L945">
        <v>1.4807813484562067</v>
      </c>
      <c r="M945">
        <v>0.16571357480314963</v>
      </c>
      <c r="N945">
        <v>0.12147150269685041</v>
      </c>
    </row>
    <row r="946" spans="1:14" x14ac:dyDescent="0.2">
      <c r="B946">
        <v>100</v>
      </c>
      <c r="C946">
        <v>8</v>
      </c>
      <c r="D946">
        <v>5.9</v>
      </c>
      <c r="E946">
        <v>3.45</v>
      </c>
      <c r="F946">
        <v>5.9</v>
      </c>
      <c r="G946">
        <v>3.45</v>
      </c>
      <c r="H946">
        <v>3.8630000000000001E-3</v>
      </c>
      <c r="I946">
        <v>0.16916594094488194</v>
      </c>
      <c r="J946">
        <v>0.13336490405511811</v>
      </c>
      <c r="K946">
        <v>0.30253084500000005</v>
      </c>
      <c r="L946">
        <v>1.268444214341186</v>
      </c>
    </row>
    <row r="947" spans="1:14" x14ac:dyDescent="0.2">
      <c r="A947">
        <v>489006</v>
      </c>
      <c r="B947">
        <v>100</v>
      </c>
      <c r="C947">
        <v>8</v>
      </c>
      <c r="D947">
        <v>5.45</v>
      </c>
      <c r="E947">
        <v>3.05</v>
      </c>
      <c r="F947">
        <v>5.45</v>
      </c>
      <c r="G947">
        <v>3.05</v>
      </c>
      <c r="H947">
        <v>3.8630000000000001E-3</v>
      </c>
      <c r="I947">
        <v>0.16571357480314963</v>
      </c>
      <c r="J947">
        <v>0.10174123019685037</v>
      </c>
      <c r="K947">
        <v>0.26745480500000002</v>
      </c>
      <c r="L947">
        <v>1.6287750254496103</v>
      </c>
      <c r="M947">
        <v>0.16226120866141736</v>
      </c>
      <c r="N947">
        <v>0.10957810133858267</v>
      </c>
    </row>
    <row r="948" spans="1:14" x14ac:dyDescent="0.2">
      <c r="B948">
        <v>100</v>
      </c>
      <c r="C948">
        <v>8</v>
      </c>
      <c r="D948">
        <v>5.45</v>
      </c>
      <c r="E948">
        <v>3.15</v>
      </c>
      <c r="F948">
        <v>5.45</v>
      </c>
      <c r="G948">
        <v>3.15</v>
      </c>
      <c r="H948">
        <v>3.8630000000000001E-3</v>
      </c>
      <c r="I948">
        <v>0.15880884251968508</v>
      </c>
      <c r="J948">
        <v>0.11741497248031496</v>
      </c>
      <c r="K948">
        <v>0.27622381500000004</v>
      </c>
      <c r="L948">
        <v>1.3525433695971776</v>
      </c>
    </row>
    <row r="949" spans="1:14" x14ac:dyDescent="0.2">
      <c r="A949">
        <v>489007</v>
      </c>
      <c r="B949">
        <v>100</v>
      </c>
      <c r="C949">
        <v>7</v>
      </c>
      <c r="D949">
        <v>4.75</v>
      </c>
      <c r="E949">
        <v>2.7</v>
      </c>
      <c r="F949">
        <v>4.75</v>
      </c>
      <c r="G949">
        <v>2.7</v>
      </c>
      <c r="H949">
        <v>9.7450000000000002E-3</v>
      </c>
      <c r="I949">
        <v>0.35707368110236215</v>
      </c>
      <c r="J949">
        <v>0.24019736889763788</v>
      </c>
      <c r="K949">
        <v>0.59727105000000003</v>
      </c>
      <c r="L949">
        <v>1.4865844815083387</v>
      </c>
      <c r="M949">
        <v>0.35707368110236215</v>
      </c>
      <c r="N949">
        <v>0.21254593139763789</v>
      </c>
    </row>
    <row r="950" spans="1:14" x14ac:dyDescent="0.2">
      <c r="B950">
        <v>100</v>
      </c>
      <c r="C950">
        <v>7</v>
      </c>
      <c r="D950">
        <v>4.5</v>
      </c>
      <c r="E950">
        <v>2.4500000000000002</v>
      </c>
      <c r="F950">
        <v>4.5</v>
      </c>
      <c r="G950">
        <v>2.4500000000000002</v>
      </c>
      <c r="H950">
        <v>9.7450000000000002E-3</v>
      </c>
      <c r="I950">
        <v>0.35707368110236215</v>
      </c>
      <c r="J950">
        <v>0.18489449389763787</v>
      </c>
      <c r="K950">
        <v>0.54196817500000005</v>
      </c>
      <c r="L950">
        <v>1.9312293923692876</v>
      </c>
    </row>
    <row r="951" spans="1:14" x14ac:dyDescent="0.2">
      <c r="A951">
        <v>489008</v>
      </c>
      <c r="B951">
        <v>100</v>
      </c>
      <c r="C951">
        <v>6</v>
      </c>
      <c r="D951">
        <v>2.4</v>
      </c>
      <c r="E951">
        <v>1.25</v>
      </c>
      <c r="F951">
        <v>2.4</v>
      </c>
      <c r="G951">
        <v>1.25</v>
      </c>
      <c r="H951">
        <v>3.5767E-2</v>
      </c>
      <c r="I951">
        <v>0.73519490944881893</v>
      </c>
      <c r="J951">
        <v>0.27969371555118133</v>
      </c>
      <c r="K951">
        <v>1.0148886250000002</v>
      </c>
      <c r="L951">
        <v>2.6285714285714263</v>
      </c>
      <c r="M951">
        <v>0.73519490944881893</v>
      </c>
      <c r="N951">
        <v>0.27969371555118133</v>
      </c>
    </row>
    <row r="952" spans="1:14" x14ac:dyDescent="0.2">
      <c r="B952">
        <v>100</v>
      </c>
      <c r="C952">
        <v>6</v>
      </c>
      <c r="D952">
        <v>2.4</v>
      </c>
      <c r="E952">
        <v>1.25</v>
      </c>
      <c r="F952">
        <v>2.4</v>
      </c>
      <c r="G952">
        <v>1.25</v>
      </c>
      <c r="H952">
        <v>3.5767E-2</v>
      </c>
      <c r="I952">
        <v>0.73519490944881893</v>
      </c>
      <c r="J952">
        <v>0.27969371555118133</v>
      </c>
      <c r="K952">
        <v>1.0148886250000002</v>
      </c>
      <c r="L952">
        <v>2.6285714285714263</v>
      </c>
    </row>
    <row r="953" spans="1:14" x14ac:dyDescent="0.2">
      <c r="A953">
        <v>489010</v>
      </c>
      <c r="B953">
        <v>100</v>
      </c>
      <c r="C953">
        <v>7</v>
      </c>
      <c r="D953">
        <v>2.4500000000000002</v>
      </c>
      <c r="E953">
        <v>1.2</v>
      </c>
      <c r="F953">
        <v>2.4500000000000002</v>
      </c>
      <c r="G953">
        <v>1.2</v>
      </c>
      <c r="H953">
        <v>9.7450000000000002E-3</v>
      </c>
      <c r="I953">
        <v>0.21772785433070868</v>
      </c>
      <c r="J953">
        <v>4.7725945669291329E-2</v>
      </c>
      <c r="K953">
        <v>0.26545380000000002</v>
      </c>
      <c r="L953">
        <v>4.5620437956204389</v>
      </c>
      <c r="M953">
        <v>0.22208241141732282</v>
      </c>
      <c r="N953">
        <v>4.8901676082677217E-2</v>
      </c>
    </row>
    <row r="954" spans="1:14" x14ac:dyDescent="0.2">
      <c r="B954">
        <v>100</v>
      </c>
      <c r="C954">
        <v>7</v>
      </c>
      <c r="D954">
        <v>2.5499999999999998</v>
      </c>
      <c r="E954">
        <v>1.25</v>
      </c>
      <c r="F954">
        <v>2.5499999999999998</v>
      </c>
      <c r="G954">
        <v>1.25</v>
      </c>
      <c r="H954">
        <v>9.7450000000000002E-3</v>
      </c>
      <c r="I954">
        <v>0.22643696850393699</v>
      </c>
      <c r="J954">
        <v>5.0077406496063112E-2</v>
      </c>
      <c r="K954">
        <v>0.27651437500000009</v>
      </c>
      <c r="L954">
        <v>4.5217391304347716</v>
      </c>
    </row>
    <row r="955" spans="1:14" x14ac:dyDescent="0.2">
      <c r="A955">
        <v>489011</v>
      </c>
      <c r="B955">
        <v>100</v>
      </c>
      <c r="C955">
        <v>7</v>
      </c>
      <c r="D955">
        <v>2.2999999999999998</v>
      </c>
      <c r="E955">
        <v>1.1000000000000001</v>
      </c>
      <c r="F955">
        <v>2.2999999999999998</v>
      </c>
      <c r="G955">
        <v>1.1000000000000001</v>
      </c>
      <c r="H955">
        <v>9.7450000000000002E-3</v>
      </c>
      <c r="I955">
        <v>0.20901874015748029</v>
      </c>
      <c r="J955">
        <v>3.4313909842519787E-2</v>
      </c>
      <c r="K955">
        <v>0.24333265000000007</v>
      </c>
      <c r="L955">
        <v>6.0913705583756155</v>
      </c>
      <c r="M955">
        <v>0.21337329724409448</v>
      </c>
      <c r="N955">
        <v>4.655021525590558E-2</v>
      </c>
    </row>
    <row r="956" spans="1:14" x14ac:dyDescent="0.2">
      <c r="B956">
        <v>100</v>
      </c>
      <c r="C956">
        <v>7</v>
      </c>
      <c r="D956">
        <v>2.5</v>
      </c>
      <c r="E956">
        <v>1.25</v>
      </c>
      <c r="F956">
        <v>2.5</v>
      </c>
      <c r="G956">
        <v>1.25</v>
      </c>
      <c r="H956">
        <v>9.7450000000000002E-3</v>
      </c>
      <c r="I956">
        <v>0.21772785433070865</v>
      </c>
      <c r="J956">
        <v>5.8786520669291381E-2</v>
      </c>
      <c r="K956">
        <v>0.27651437500000003</v>
      </c>
      <c r="L956">
        <v>3.7037037037037011</v>
      </c>
    </row>
    <row r="957" spans="1:14" x14ac:dyDescent="0.2">
      <c r="A957">
        <v>489019</v>
      </c>
      <c r="B957">
        <v>100</v>
      </c>
      <c r="C957">
        <v>8</v>
      </c>
      <c r="D957">
        <v>0.95</v>
      </c>
      <c r="E957">
        <v>0.65</v>
      </c>
      <c r="F957">
        <v>0.95</v>
      </c>
      <c r="G957">
        <v>0.65</v>
      </c>
      <c r="H957">
        <v>3.8630000000000001E-3</v>
      </c>
      <c r="I957">
        <v>2.0714196850393694E-2</v>
      </c>
      <c r="J957">
        <v>3.6284368149606297E-2</v>
      </c>
      <c r="K957">
        <v>5.6998564999999987E-2</v>
      </c>
      <c r="L957">
        <v>0.57088487155090373</v>
      </c>
      <c r="M957">
        <v>1.7261830708661413E-2</v>
      </c>
      <c r="N957">
        <v>4.4121239291338578E-2</v>
      </c>
    </row>
    <row r="958" spans="1:14" x14ac:dyDescent="0.2">
      <c r="B958">
        <v>100</v>
      </c>
      <c r="C958">
        <v>8</v>
      </c>
      <c r="D958">
        <v>0.95</v>
      </c>
      <c r="E958">
        <v>0.75</v>
      </c>
      <c r="F958">
        <v>0.95</v>
      </c>
      <c r="G958">
        <v>0.75</v>
      </c>
      <c r="H958">
        <v>3.8630000000000001E-3</v>
      </c>
      <c r="I958">
        <v>1.3809464566929133E-2</v>
      </c>
      <c r="J958">
        <v>5.1958110433070859E-2</v>
      </c>
      <c r="K958">
        <v>6.5767574999999995E-2</v>
      </c>
      <c r="L958">
        <v>0.26578073089700999</v>
      </c>
    </row>
    <row r="959" spans="1:14" x14ac:dyDescent="0.2">
      <c r="A959">
        <v>489020</v>
      </c>
      <c r="B959">
        <v>100</v>
      </c>
      <c r="C959">
        <v>8</v>
      </c>
      <c r="D959">
        <v>3.15</v>
      </c>
      <c r="E959">
        <v>1.9</v>
      </c>
      <c r="F959">
        <v>3.15</v>
      </c>
      <c r="G959">
        <v>1.9</v>
      </c>
      <c r="H959">
        <v>3.8630000000000001E-3</v>
      </c>
      <c r="I959">
        <v>8.6309153543307093E-2</v>
      </c>
      <c r="J959">
        <v>8.0302036456692941E-2</v>
      </c>
      <c r="K959">
        <v>0.16661119000000002</v>
      </c>
      <c r="L959">
        <v>1.0748065348237315</v>
      </c>
      <c r="M959">
        <v>7.5952055118110234E-2</v>
      </c>
      <c r="N959">
        <v>9.2851387381889763E-2</v>
      </c>
    </row>
    <row r="960" spans="1:14" x14ac:dyDescent="0.2">
      <c r="B960">
        <v>100</v>
      </c>
      <c r="C960">
        <v>8</v>
      </c>
      <c r="D960">
        <v>2.9</v>
      </c>
      <c r="E960">
        <v>1.95</v>
      </c>
      <c r="F960">
        <v>2.9</v>
      </c>
      <c r="G960">
        <v>1.95</v>
      </c>
      <c r="H960">
        <v>3.8630000000000001E-3</v>
      </c>
      <c r="I960">
        <v>6.5594956692913389E-2</v>
      </c>
      <c r="J960">
        <v>0.10540073830708659</v>
      </c>
      <c r="K960">
        <v>0.17099569499999998</v>
      </c>
      <c r="L960">
        <v>0.62233868326236508</v>
      </c>
    </row>
    <row r="961" spans="1:14" x14ac:dyDescent="0.2">
      <c r="A961">
        <v>489021</v>
      </c>
      <c r="B961">
        <v>100</v>
      </c>
      <c r="C961">
        <v>7</v>
      </c>
      <c r="D961">
        <v>5.55</v>
      </c>
      <c r="E961">
        <v>3.05</v>
      </c>
      <c r="F961">
        <v>5.55</v>
      </c>
      <c r="G961">
        <v>3.05</v>
      </c>
      <c r="H961">
        <v>9.7450000000000002E-3</v>
      </c>
      <c r="I961">
        <v>0.43545570866141731</v>
      </c>
      <c r="J961">
        <v>0.23923936633858264</v>
      </c>
      <c r="K961">
        <v>0.67469507499999992</v>
      </c>
      <c r="L961">
        <v>1.8201674554058975</v>
      </c>
      <c r="M961">
        <v>0.43110115157480311</v>
      </c>
      <c r="N961">
        <v>0.27677564842519686</v>
      </c>
    </row>
    <row r="962" spans="1:14" x14ac:dyDescent="0.2">
      <c r="B962">
        <v>100</v>
      </c>
      <c r="C962">
        <v>7</v>
      </c>
      <c r="D962">
        <v>5.8</v>
      </c>
      <c r="E962">
        <v>3.35</v>
      </c>
      <c r="F962">
        <v>5.8</v>
      </c>
      <c r="G962">
        <v>3.35</v>
      </c>
      <c r="H962">
        <v>9.7450000000000002E-3</v>
      </c>
      <c r="I962">
        <v>0.42674659448818891</v>
      </c>
      <c r="J962">
        <v>0.31431193051181111</v>
      </c>
      <c r="K962">
        <v>0.74105852500000002</v>
      </c>
      <c r="L962">
        <v>1.3577168190634519</v>
      </c>
    </row>
    <row r="963" spans="1:14" x14ac:dyDescent="0.2">
      <c r="A963">
        <v>489022</v>
      </c>
      <c r="B963">
        <v>100</v>
      </c>
      <c r="C963">
        <v>7</v>
      </c>
      <c r="D963">
        <v>3.9</v>
      </c>
      <c r="E963">
        <v>2.35</v>
      </c>
      <c r="F963">
        <v>3.9</v>
      </c>
      <c r="G963">
        <v>2.35</v>
      </c>
      <c r="H963">
        <v>9.7450000000000002E-3</v>
      </c>
      <c r="I963">
        <v>0.26998253937007877</v>
      </c>
      <c r="J963">
        <v>0.24986448562992128</v>
      </c>
      <c r="K963">
        <v>0.51984702500000002</v>
      </c>
      <c r="L963">
        <v>1.0805158591843849</v>
      </c>
      <c r="M963">
        <v>0.27869165354330705</v>
      </c>
      <c r="N963">
        <v>0.21903422145669291</v>
      </c>
    </row>
    <row r="964" spans="1:14" x14ac:dyDescent="0.2">
      <c r="B964">
        <v>100</v>
      </c>
      <c r="C964">
        <v>7</v>
      </c>
      <c r="D964">
        <v>3.8</v>
      </c>
      <c r="E964">
        <v>2.15</v>
      </c>
      <c r="F964">
        <v>3.8</v>
      </c>
      <c r="G964">
        <v>2.15</v>
      </c>
      <c r="H964">
        <v>9.7450000000000002E-3</v>
      </c>
      <c r="I964">
        <v>0.28740076771653539</v>
      </c>
      <c r="J964">
        <v>0.18820395728346453</v>
      </c>
      <c r="K964">
        <v>0.47560472499999995</v>
      </c>
      <c r="L964">
        <v>1.5270708005552984</v>
      </c>
    </row>
    <row r="965" spans="1:14" x14ac:dyDescent="0.2">
      <c r="A965">
        <v>489023</v>
      </c>
      <c r="B965">
        <v>100</v>
      </c>
      <c r="C965">
        <v>7</v>
      </c>
      <c r="D965">
        <v>5.35</v>
      </c>
      <c r="E965">
        <v>2.95</v>
      </c>
      <c r="F965">
        <v>5.35</v>
      </c>
      <c r="G965">
        <v>2.95</v>
      </c>
      <c r="H965">
        <v>9.7450000000000002E-3</v>
      </c>
      <c r="I965">
        <v>0.41803748031496057</v>
      </c>
      <c r="J965">
        <v>0.23453644468503956</v>
      </c>
      <c r="K965">
        <v>0.65257392500000011</v>
      </c>
      <c r="L965">
        <v>1.7823988117341238</v>
      </c>
      <c r="M965">
        <v>0.42239203740157483</v>
      </c>
      <c r="N965">
        <v>0.25783332509842533</v>
      </c>
    </row>
    <row r="966" spans="1:14" x14ac:dyDescent="0.2">
      <c r="B966">
        <v>100</v>
      </c>
      <c r="C966">
        <v>7</v>
      </c>
      <c r="D966">
        <v>5.65</v>
      </c>
      <c r="E966">
        <v>3.2</v>
      </c>
      <c r="F966">
        <v>5.65</v>
      </c>
      <c r="G966">
        <v>3.2</v>
      </c>
      <c r="H966">
        <v>9.7450000000000002E-3</v>
      </c>
      <c r="I966">
        <v>0.42674659448818902</v>
      </c>
      <c r="J966">
        <v>0.28113020551181106</v>
      </c>
      <c r="K966">
        <v>0.70787680000000008</v>
      </c>
      <c r="L966">
        <v>1.5179677819083024</v>
      </c>
    </row>
    <row r="967" spans="1:14" x14ac:dyDescent="0.2">
      <c r="A967">
        <v>489024</v>
      </c>
      <c r="B967">
        <v>100</v>
      </c>
      <c r="C967">
        <v>6</v>
      </c>
      <c r="D967">
        <v>3.4</v>
      </c>
      <c r="E967">
        <v>1.8</v>
      </c>
      <c r="F967">
        <v>3.4</v>
      </c>
      <c r="G967">
        <v>1.8</v>
      </c>
      <c r="H967">
        <v>3.5767E-2</v>
      </c>
      <c r="I967">
        <v>1.0228798740157479</v>
      </c>
      <c r="J967">
        <v>0.43855974598425218</v>
      </c>
      <c r="K967">
        <v>1.4614396200000002</v>
      </c>
      <c r="L967">
        <v>2.3323615160349838</v>
      </c>
      <c r="M967">
        <v>1.0548448700787401</v>
      </c>
      <c r="N967">
        <v>0.42689252242126019</v>
      </c>
    </row>
    <row r="968" spans="1:14" x14ac:dyDescent="0.2">
      <c r="B968">
        <v>100</v>
      </c>
      <c r="C968">
        <v>6</v>
      </c>
      <c r="D968">
        <v>3.55</v>
      </c>
      <c r="E968">
        <v>1.85</v>
      </c>
      <c r="F968">
        <v>3.55</v>
      </c>
      <c r="G968">
        <v>1.85</v>
      </c>
      <c r="H968">
        <v>3.5767E-2</v>
      </c>
      <c r="I968">
        <v>1.0868098661417323</v>
      </c>
      <c r="J968">
        <v>0.41522529885826825</v>
      </c>
      <c r="K968">
        <v>1.5020351650000006</v>
      </c>
      <c r="L968">
        <v>2.6173979984603508</v>
      </c>
    </row>
    <row r="969" spans="1:14" x14ac:dyDescent="0.2">
      <c r="A969">
        <v>489025</v>
      </c>
      <c r="B969">
        <v>100</v>
      </c>
      <c r="C969">
        <v>7</v>
      </c>
      <c r="D969">
        <v>2.65</v>
      </c>
      <c r="E969">
        <v>1.3</v>
      </c>
      <c r="F969">
        <v>2.65</v>
      </c>
      <c r="G969">
        <v>1.3</v>
      </c>
      <c r="H969">
        <v>9.7450000000000002E-3</v>
      </c>
      <c r="I969">
        <v>0.23514608267716536</v>
      </c>
      <c r="J969">
        <v>5.2428867322834638E-2</v>
      </c>
      <c r="K969">
        <v>0.28757495</v>
      </c>
      <c r="L969">
        <v>4.4850498338870439</v>
      </c>
      <c r="M969">
        <v>0.23079152559055116</v>
      </c>
      <c r="N969">
        <v>5.1253136909448875E-2</v>
      </c>
    </row>
    <row r="970" spans="1:14" x14ac:dyDescent="0.2">
      <c r="B970">
        <v>100</v>
      </c>
      <c r="C970">
        <v>7</v>
      </c>
      <c r="D970">
        <v>2.5499999999999998</v>
      </c>
      <c r="E970">
        <v>1.25</v>
      </c>
      <c r="F970">
        <v>2.5499999999999998</v>
      </c>
      <c r="G970">
        <v>1.25</v>
      </c>
      <c r="H970">
        <v>9.7450000000000002E-3</v>
      </c>
      <c r="I970">
        <v>0.22643696850393699</v>
      </c>
      <c r="J970">
        <v>5.0077406496063112E-2</v>
      </c>
      <c r="K970">
        <v>0.27651437500000009</v>
      </c>
      <c r="L970">
        <v>4.5217391304347716</v>
      </c>
    </row>
    <row r="971" spans="1:14" x14ac:dyDescent="0.2">
      <c r="A971">
        <v>489026</v>
      </c>
      <c r="B971">
        <v>100</v>
      </c>
      <c r="C971">
        <v>7</v>
      </c>
      <c r="D971">
        <v>6.8</v>
      </c>
      <c r="E971">
        <v>3.5</v>
      </c>
      <c r="F971">
        <v>6.8</v>
      </c>
      <c r="G971">
        <v>3.5</v>
      </c>
      <c r="H971">
        <v>9.7450000000000002E-3</v>
      </c>
      <c r="I971">
        <v>0.57480153543307078</v>
      </c>
      <c r="J971">
        <v>0.19943871456692913</v>
      </c>
      <c r="K971">
        <v>0.77424024999999985</v>
      </c>
      <c r="L971">
        <v>2.8820960698689952</v>
      </c>
      <c r="M971">
        <v>0.57915609251968503</v>
      </c>
      <c r="N971">
        <v>0.20614473248031495</v>
      </c>
    </row>
    <row r="972" spans="1:14" x14ac:dyDescent="0.2">
      <c r="B972">
        <v>100</v>
      </c>
      <c r="C972">
        <v>7</v>
      </c>
      <c r="D972">
        <v>6.95</v>
      </c>
      <c r="E972">
        <v>3.6</v>
      </c>
      <c r="F972">
        <v>6.95</v>
      </c>
      <c r="G972">
        <v>3.6</v>
      </c>
      <c r="H972">
        <v>9.7450000000000002E-3</v>
      </c>
      <c r="I972">
        <v>0.58351064960629928</v>
      </c>
      <c r="J972">
        <v>0.21285075039370077</v>
      </c>
      <c r="K972">
        <v>0.79636140000000011</v>
      </c>
      <c r="L972">
        <v>2.7414075286415716</v>
      </c>
    </row>
    <row r="973" spans="1:14" x14ac:dyDescent="0.2">
      <c r="A973">
        <v>489027</v>
      </c>
      <c r="B973">
        <v>100</v>
      </c>
      <c r="C973">
        <v>7</v>
      </c>
      <c r="D973">
        <v>2.4500000000000002</v>
      </c>
      <c r="E973">
        <v>1.2</v>
      </c>
      <c r="F973">
        <v>2.4500000000000002</v>
      </c>
      <c r="G973">
        <v>1.2</v>
      </c>
      <c r="H973">
        <v>9.7450000000000002E-3</v>
      </c>
      <c r="I973">
        <v>0.21772785433070868</v>
      </c>
      <c r="J973">
        <v>4.7725945669291329E-2</v>
      </c>
      <c r="K973">
        <v>0.26545380000000002</v>
      </c>
      <c r="L973">
        <v>4.5620437956204389</v>
      </c>
      <c r="M973">
        <v>0.22208241141732288</v>
      </c>
      <c r="N973">
        <v>3.7841101082677131E-2</v>
      </c>
    </row>
    <row r="974" spans="1:14" x14ac:dyDescent="0.2">
      <c r="B974">
        <v>100</v>
      </c>
      <c r="C974">
        <v>7</v>
      </c>
      <c r="D974">
        <v>2.4500000000000002</v>
      </c>
      <c r="E974">
        <v>1.1499999999999999</v>
      </c>
      <c r="F974">
        <v>2.4500000000000002</v>
      </c>
      <c r="G974">
        <v>1.1499999999999999</v>
      </c>
      <c r="H974">
        <v>9.7450000000000002E-3</v>
      </c>
      <c r="I974">
        <v>0.2264369685039371</v>
      </c>
      <c r="J974">
        <v>2.7956256496062929E-2</v>
      </c>
      <c r="K974">
        <v>0.25439322500000006</v>
      </c>
      <c r="L974">
        <v>8.0996884735202705</v>
      </c>
    </row>
    <row r="975" spans="1:14" x14ac:dyDescent="0.2">
      <c r="A975">
        <v>489032</v>
      </c>
      <c r="B975">
        <v>100</v>
      </c>
      <c r="C975">
        <v>8</v>
      </c>
      <c r="D975">
        <v>1.1499999999999999</v>
      </c>
      <c r="E975">
        <v>0.85</v>
      </c>
      <c r="F975">
        <v>1.1499999999999999</v>
      </c>
      <c r="G975">
        <v>0.85</v>
      </c>
      <c r="H975">
        <v>3.8630000000000001E-3</v>
      </c>
      <c r="I975">
        <v>2.0714196850393694E-2</v>
      </c>
      <c r="J975">
        <v>5.3822388149606312E-2</v>
      </c>
      <c r="K975">
        <v>7.4536585000000002E-2</v>
      </c>
      <c r="L975">
        <v>0.38486209108402802</v>
      </c>
      <c r="M975">
        <v>2.2440379921259843E-2</v>
      </c>
      <c r="N975">
        <v>4.5519447578740158E-2</v>
      </c>
    </row>
    <row r="976" spans="1:14" x14ac:dyDescent="0.2">
      <c r="B976">
        <v>100</v>
      </c>
      <c r="C976">
        <v>8</v>
      </c>
      <c r="D976">
        <v>1.05</v>
      </c>
      <c r="E976">
        <v>0.7</v>
      </c>
      <c r="F976">
        <v>1.05</v>
      </c>
      <c r="G976">
        <v>0.7</v>
      </c>
      <c r="H976">
        <v>3.8630000000000001E-3</v>
      </c>
      <c r="I976">
        <v>2.4166562992125992E-2</v>
      </c>
      <c r="J976">
        <v>3.721650700787401E-2</v>
      </c>
      <c r="K976">
        <v>6.1383069999999998E-2</v>
      </c>
      <c r="L976">
        <v>0.64935064935064968</v>
      </c>
    </row>
    <row r="977" spans="1:14" x14ac:dyDescent="0.2">
      <c r="A977">
        <v>489033</v>
      </c>
      <c r="B977">
        <v>100</v>
      </c>
      <c r="C977">
        <v>8</v>
      </c>
      <c r="D977">
        <v>1.1499999999999999</v>
      </c>
      <c r="E977">
        <v>0.85</v>
      </c>
      <c r="F977">
        <v>1.1499999999999999</v>
      </c>
      <c r="G977">
        <v>0.85</v>
      </c>
      <c r="H977">
        <v>3.8630000000000001E-3</v>
      </c>
      <c r="I977">
        <v>2.0714196850393694E-2</v>
      </c>
      <c r="J977">
        <v>5.3822388149606312E-2</v>
      </c>
      <c r="K977">
        <v>7.4536585000000002E-2</v>
      </c>
      <c r="L977">
        <v>0.38486209108402802</v>
      </c>
      <c r="M977">
        <v>2.0714196850393694E-2</v>
      </c>
      <c r="N977">
        <v>5.3822388149606312E-2</v>
      </c>
    </row>
    <row r="978" spans="1:14" x14ac:dyDescent="0.2">
      <c r="B978">
        <v>100</v>
      </c>
      <c r="C978">
        <v>8</v>
      </c>
      <c r="D978">
        <v>1.1499999999999999</v>
      </c>
      <c r="E978">
        <v>0.85</v>
      </c>
      <c r="F978">
        <v>1.1499999999999999</v>
      </c>
      <c r="G978">
        <v>0.85</v>
      </c>
      <c r="H978">
        <v>3.8630000000000001E-3</v>
      </c>
      <c r="I978">
        <v>2.0714196850393694E-2</v>
      </c>
      <c r="J978">
        <v>5.3822388149606312E-2</v>
      </c>
      <c r="K978">
        <v>7.4536585000000002E-2</v>
      </c>
      <c r="L978">
        <v>0.38486209108402802</v>
      </c>
    </row>
    <row r="979" spans="1:14" x14ac:dyDescent="0.2">
      <c r="A979">
        <v>489034</v>
      </c>
      <c r="B979">
        <v>100</v>
      </c>
      <c r="C979">
        <v>8</v>
      </c>
      <c r="D979">
        <v>2.4500000000000002</v>
      </c>
      <c r="E979">
        <v>1.55</v>
      </c>
      <c r="F979">
        <v>2.4500000000000002</v>
      </c>
      <c r="G979">
        <v>1.55</v>
      </c>
      <c r="H979">
        <v>3.8630000000000001E-3</v>
      </c>
      <c r="I979">
        <v>6.2142590551181112E-2</v>
      </c>
      <c r="J979">
        <v>7.3777064448818888E-2</v>
      </c>
      <c r="K979">
        <v>0.135919655</v>
      </c>
      <c r="L979">
        <v>0.84230229293401992</v>
      </c>
      <c r="M979">
        <v>5.3511675196850399E-2</v>
      </c>
      <c r="N979">
        <v>6.9254464803149618E-2</v>
      </c>
    </row>
    <row r="980" spans="1:14" x14ac:dyDescent="0.2">
      <c r="B980">
        <v>100</v>
      </c>
      <c r="C980">
        <v>8</v>
      </c>
      <c r="D980">
        <v>1.9</v>
      </c>
      <c r="E980">
        <v>1.25</v>
      </c>
      <c r="F980">
        <v>1.9</v>
      </c>
      <c r="G980">
        <v>1.25</v>
      </c>
      <c r="H980">
        <v>3.8630000000000001E-3</v>
      </c>
      <c r="I980">
        <v>4.4880759842519685E-2</v>
      </c>
      <c r="J980">
        <v>6.4731865157480334E-2</v>
      </c>
      <c r="K980">
        <v>0.10961262500000002</v>
      </c>
      <c r="L980">
        <v>0.69333333333333313</v>
      </c>
    </row>
    <row r="981" spans="1:14" x14ac:dyDescent="0.2">
      <c r="A981">
        <v>489035</v>
      </c>
      <c r="B981">
        <v>100</v>
      </c>
      <c r="C981">
        <v>8</v>
      </c>
      <c r="D981">
        <v>5</v>
      </c>
      <c r="E981">
        <v>2.9</v>
      </c>
      <c r="F981">
        <v>5</v>
      </c>
      <c r="G981">
        <v>2.9</v>
      </c>
      <c r="H981">
        <v>3.8630000000000001E-3</v>
      </c>
      <c r="I981">
        <v>0.14499937795275591</v>
      </c>
      <c r="J981">
        <v>0.10930191204724413</v>
      </c>
      <c r="K981">
        <v>0.25430129000000001</v>
      </c>
      <c r="L981">
        <v>1.3265950726468727</v>
      </c>
      <c r="M981">
        <v>0.14672556102362205</v>
      </c>
      <c r="N981">
        <v>0.10757572897637797</v>
      </c>
    </row>
    <row r="982" spans="1:14" x14ac:dyDescent="0.2">
      <c r="B982">
        <v>100</v>
      </c>
      <c r="C982">
        <v>8</v>
      </c>
      <c r="D982">
        <v>5.05</v>
      </c>
      <c r="E982">
        <v>2.9</v>
      </c>
      <c r="F982">
        <v>5.05</v>
      </c>
      <c r="G982">
        <v>2.9</v>
      </c>
      <c r="H982">
        <v>3.8630000000000001E-3</v>
      </c>
      <c r="I982">
        <v>0.14845174409448819</v>
      </c>
      <c r="J982">
        <v>0.10584954590551182</v>
      </c>
      <c r="K982">
        <v>0.25430129000000001</v>
      </c>
      <c r="L982">
        <v>1.4024787997390735</v>
      </c>
    </row>
    <row r="983" spans="1:14" x14ac:dyDescent="0.2">
      <c r="A983">
        <v>489036</v>
      </c>
      <c r="B983">
        <v>100</v>
      </c>
      <c r="C983">
        <v>7</v>
      </c>
      <c r="D983">
        <v>5.3</v>
      </c>
      <c r="E983">
        <v>2.85</v>
      </c>
      <c r="F983">
        <v>5.3</v>
      </c>
      <c r="G983">
        <v>2.85</v>
      </c>
      <c r="H983">
        <v>9.7450000000000002E-3</v>
      </c>
      <c r="I983">
        <v>0.42674659448818891</v>
      </c>
      <c r="J983">
        <v>0.20370618051181111</v>
      </c>
      <c r="K983">
        <v>0.63045277499999997</v>
      </c>
      <c r="L983">
        <v>2.094912355707566</v>
      </c>
      <c r="M983">
        <v>0.42239203740157472</v>
      </c>
      <c r="N983">
        <v>0.19146987509842534</v>
      </c>
    </row>
    <row r="984" spans="1:14" x14ac:dyDescent="0.2">
      <c r="B984">
        <v>100</v>
      </c>
      <c r="C984">
        <v>7</v>
      </c>
      <c r="D984">
        <v>5.0999999999999996</v>
      </c>
      <c r="E984">
        <v>2.7</v>
      </c>
      <c r="F984">
        <v>5.0999999999999996</v>
      </c>
      <c r="G984">
        <v>2.7</v>
      </c>
      <c r="H984">
        <v>9.7450000000000002E-3</v>
      </c>
      <c r="I984">
        <v>0.41803748031496057</v>
      </c>
      <c r="J984">
        <v>0.17923356968503956</v>
      </c>
      <c r="K984">
        <v>0.59727105000000014</v>
      </c>
      <c r="L984">
        <v>2.3323615160349824</v>
      </c>
    </row>
    <row r="985" spans="1:14" x14ac:dyDescent="0.2">
      <c r="A985">
        <v>489037</v>
      </c>
      <c r="B985">
        <v>100</v>
      </c>
      <c r="C985">
        <v>6</v>
      </c>
      <c r="D985">
        <v>4.05</v>
      </c>
      <c r="E985">
        <v>2.0499999999999998</v>
      </c>
      <c r="F985">
        <v>4.05</v>
      </c>
      <c r="G985">
        <v>2.0499999999999998</v>
      </c>
      <c r="H985">
        <v>3.5767E-2</v>
      </c>
      <c r="I985">
        <v>1.2785998425196852</v>
      </c>
      <c r="J985">
        <v>0.38581750248031488</v>
      </c>
      <c r="K985">
        <v>1.6644173449999999</v>
      </c>
      <c r="L985">
        <v>3.3140016570008295</v>
      </c>
      <c r="M985">
        <v>1.2945823405511812</v>
      </c>
      <c r="N985">
        <v>0.36983500444881889</v>
      </c>
    </row>
    <row r="986" spans="1:14" x14ac:dyDescent="0.2">
      <c r="B986">
        <v>100</v>
      </c>
      <c r="C986">
        <v>6</v>
      </c>
      <c r="D986">
        <v>4.0999999999999996</v>
      </c>
      <c r="E986">
        <v>2.0499999999999998</v>
      </c>
      <c r="F986">
        <v>4.0999999999999996</v>
      </c>
      <c r="G986">
        <v>2.0499999999999998</v>
      </c>
      <c r="H986">
        <v>3.5767E-2</v>
      </c>
      <c r="I986">
        <v>1.3105648385826771</v>
      </c>
      <c r="J986">
        <v>0.35385250641732285</v>
      </c>
      <c r="K986">
        <v>1.6644173449999999</v>
      </c>
      <c r="L986">
        <v>3.7037037037037033</v>
      </c>
    </row>
    <row r="987" spans="1:14" x14ac:dyDescent="0.2">
      <c r="A987">
        <v>489038</v>
      </c>
      <c r="B987">
        <v>100</v>
      </c>
      <c r="C987">
        <v>6</v>
      </c>
      <c r="D987">
        <v>3.55</v>
      </c>
      <c r="E987">
        <v>1.8</v>
      </c>
      <c r="F987">
        <v>3.55</v>
      </c>
      <c r="G987">
        <v>1.8</v>
      </c>
      <c r="H987">
        <v>3.5767E-2</v>
      </c>
      <c r="I987">
        <v>1.1187748622047244</v>
      </c>
      <c r="J987">
        <v>0.34266475779527605</v>
      </c>
      <c r="K987">
        <v>1.4614396200000006</v>
      </c>
      <c r="L987">
        <v>3.2649253731343242</v>
      </c>
      <c r="M987">
        <v>1.1027923641732285</v>
      </c>
      <c r="N987">
        <v>0.37894502832677213</v>
      </c>
    </row>
    <row r="988" spans="1:14" x14ac:dyDescent="0.2">
      <c r="B988">
        <v>100</v>
      </c>
      <c r="C988">
        <v>6</v>
      </c>
      <c r="D988">
        <v>3.55</v>
      </c>
      <c r="E988">
        <v>1.85</v>
      </c>
      <c r="F988">
        <v>3.55</v>
      </c>
      <c r="G988">
        <v>1.85</v>
      </c>
      <c r="H988">
        <v>3.5767E-2</v>
      </c>
      <c r="I988">
        <v>1.0868098661417323</v>
      </c>
      <c r="J988">
        <v>0.41522529885826825</v>
      </c>
      <c r="K988">
        <v>1.5020351650000006</v>
      </c>
      <c r="L988">
        <v>2.6173979984603508</v>
      </c>
    </row>
    <row r="989" spans="1:14" x14ac:dyDescent="0.2">
      <c r="A989">
        <v>489039</v>
      </c>
      <c r="B989">
        <v>100</v>
      </c>
      <c r="C989">
        <v>7</v>
      </c>
      <c r="D989">
        <v>4</v>
      </c>
      <c r="E989">
        <v>2.0499999999999998</v>
      </c>
      <c r="F989">
        <v>4</v>
      </c>
      <c r="G989">
        <v>2.0499999999999998</v>
      </c>
      <c r="H989">
        <v>9.7450000000000002E-3</v>
      </c>
      <c r="I989">
        <v>0.33965545275590558</v>
      </c>
      <c r="J989">
        <v>0.11382812224409448</v>
      </c>
      <c r="K989">
        <v>0.45348357500000008</v>
      </c>
      <c r="L989">
        <v>2.9839326702371851</v>
      </c>
      <c r="M989">
        <v>0.33965545275590558</v>
      </c>
      <c r="N989">
        <v>0.10829783474409449</v>
      </c>
    </row>
    <row r="990" spans="1:14" x14ac:dyDescent="0.2">
      <c r="B990">
        <v>100</v>
      </c>
      <c r="C990">
        <v>7</v>
      </c>
      <c r="D990">
        <v>3.95</v>
      </c>
      <c r="E990">
        <v>2</v>
      </c>
      <c r="F990">
        <v>3.95</v>
      </c>
      <c r="G990">
        <v>2</v>
      </c>
      <c r="H990">
        <v>9.7450000000000002E-3</v>
      </c>
      <c r="I990">
        <v>0.33965545275590558</v>
      </c>
      <c r="J990">
        <v>0.1027675472440945</v>
      </c>
      <c r="K990">
        <v>0.44242300000000007</v>
      </c>
      <c r="L990">
        <v>3.3050847457627124</v>
      </c>
    </row>
    <row r="991" spans="1:14" x14ac:dyDescent="0.2">
      <c r="A991">
        <v>489040</v>
      </c>
      <c r="B991">
        <v>100</v>
      </c>
      <c r="C991">
        <v>7</v>
      </c>
      <c r="D991">
        <v>3.2</v>
      </c>
      <c r="E991">
        <v>1.55</v>
      </c>
      <c r="F991">
        <v>3.2</v>
      </c>
      <c r="G991">
        <v>1.55</v>
      </c>
      <c r="H991">
        <v>9.7450000000000002E-3</v>
      </c>
      <c r="I991">
        <v>0.28740076771653544</v>
      </c>
      <c r="J991">
        <v>5.5477057283464547E-2</v>
      </c>
      <c r="K991">
        <v>0.34287782499999997</v>
      </c>
      <c r="L991">
        <v>5.1805337519623258</v>
      </c>
      <c r="M991">
        <v>0.27869165354330716</v>
      </c>
      <c r="N991">
        <v>7.5246746456692895E-2</v>
      </c>
    </row>
    <row r="992" spans="1:14" x14ac:dyDescent="0.2">
      <c r="B992">
        <v>100</v>
      </c>
      <c r="C992">
        <v>7</v>
      </c>
      <c r="D992">
        <v>3.2</v>
      </c>
      <c r="E992">
        <v>1.65</v>
      </c>
      <c r="F992">
        <v>3.2</v>
      </c>
      <c r="G992">
        <v>1.65</v>
      </c>
      <c r="H992">
        <v>9.7450000000000002E-3</v>
      </c>
      <c r="I992">
        <v>0.26998253937007882</v>
      </c>
      <c r="J992">
        <v>9.5016435629921236E-2</v>
      </c>
      <c r="K992">
        <v>0.36499897500000006</v>
      </c>
      <c r="L992">
        <v>2.8414298808432648</v>
      </c>
    </row>
    <row r="993" spans="1:14" x14ac:dyDescent="0.2">
      <c r="A993">
        <v>489041</v>
      </c>
      <c r="B993">
        <v>100</v>
      </c>
      <c r="C993">
        <v>7</v>
      </c>
      <c r="D993">
        <v>3.95</v>
      </c>
      <c r="E993">
        <v>2.6</v>
      </c>
      <c r="F993">
        <v>3.95</v>
      </c>
      <c r="G993">
        <v>2.6</v>
      </c>
      <c r="H993">
        <v>9.7450000000000002E-3</v>
      </c>
      <c r="I993">
        <v>0.23514608267716539</v>
      </c>
      <c r="J993">
        <v>0.34000381732283458</v>
      </c>
      <c r="K993">
        <v>0.57514989999999999</v>
      </c>
      <c r="L993">
        <v>0.69159836065573799</v>
      </c>
      <c r="M993">
        <v>0.22208241141732288</v>
      </c>
      <c r="N993">
        <v>0.37518863858267715</v>
      </c>
    </row>
    <row r="994" spans="1:14" x14ac:dyDescent="0.2">
      <c r="B994">
        <v>100</v>
      </c>
      <c r="C994">
        <v>7</v>
      </c>
      <c r="D994">
        <v>4</v>
      </c>
      <c r="E994">
        <v>2.8</v>
      </c>
      <c r="F994">
        <v>4</v>
      </c>
      <c r="G994">
        <v>2.8</v>
      </c>
      <c r="H994">
        <v>9.7450000000000002E-3</v>
      </c>
      <c r="I994">
        <v>0.20901874015748034</v>
      </c>
      <c r="J994">
        <v>0.41037345984251972</v>
      </c>
      <c r="K994">
        <v>0.61939220000000006</v>
      </c>
      <c r="L994">
        <v>0.50933786078098475</v>
      </c>
    </row>
    <row r="995" spans="1:14" x14ac:dyDescent="0.2">
      <c r="A995">
        <v>489042</v>
      </c>
      <c r="B995">
        <v>100</v>
      </c>
      <c r="C995">
        <v>7</v>
      </c>
      <c r="D995">
        <v>3.65</v>
      </c>
      <c r="E995">
        <v>2.5</v>
      </c>
      <c r="F995">
        <v>3.65</v>
      </c>
      <c r="G995">
        <v>2.5</v>
      </c>
      <c r="H995">
        <v>9.7450000000000002E-3</v>
      </c>
      <c r="I995">
        <v>0.20030962598425198</v>
      </c>
      <c r="J995">
        <v>0.35271912401574812</v>
      </c>
      <c r="K995">
        <v>0.55302875000000007</v>
      </c>
      <c r="L995">
        <v>0.56790123456790109</v>
      </c>
      <c r="M995">
        <v>0.20030962598425198</v>
      </c>
      <c r="N995">
        <v>0.37484027401574804</v>
      </c>
    </row>
    <row r="996" spans="1:14" x14ac:dyDescent="0.2">
      <c r="B996">
        <v>100</v>
      </c>
      <c r="C996">
        <v>7</v>
      </c>
      <c r="D996">
        <v>3.85</v>
      </c>
      <c r="E996">
        <v>2.7</v>
      </c>
      <c r="F996">
        <v>3.85</v>
      </c>
      <c r="G996">
        <v>2.7</v>
      </c>
      <c r="H996">
        <v>9.7450000000000002E-3</v>
      </c>
      <c r="I996">
        <v>0.20030962598425198</v>
      </c>
      <c r="J996">
        <v>0.39696142401574802</v>
      </c>
      <c r="K996">
        <v>0.59727105000000003</v>
      </c>
      <c r="L996">
        <v>0.50460728389644582</v>
      </c>
    </row>
    <row r="997" spans="1:14" x14ac:dyDescent="0.2">
      <c r="A997">
        <v>489043</v>
      </c>
      <c r="B997">
        <v>100</v>
      </c>
      <c r="C997">
        <v>7</v>
      </c>
      <c r="D997">
        <v>4.95</v>
      </c>
      <c r="E997">
        <v>3.2</v>
      </c>
      <c r="F997">
        <v>4.95</v>
      </c>
      <c r="G997">
        <v>3.2</v>
      </c>
      <c r="H997">
        <v>9.7450000000000002E-3</v>
      </c>
      <c r="I997">
        <v>0.30481899606299218</v>
      </c>
      <c r="J997">
        <v>0.40305780393700791</v>
      </c>
      <c r="K997">
        <v>0.70787680000000008</v>
      </c>
      <c r="L997">
        <v>0.75626620570440806</v>
      </c>
      <c r="M997">
        <v>0.30917355314960637</v>
      </c>
      <c r="N997">
        <v>0.35999123435039371</v>
      </c>
    </row>
    <row r="998" spans="1:14" x14ac:dyDescent="0.2">
      <c r="B998">
        <v>100</v>
      </c>
      <c r="C998">
        <v>7</v>
      </c>
      <c r="D998">
        <v>4.6500000000000004</v>
      </c>
      <c r="E998">
        <v>2.85</v>
      </c>
      <c r="F998">
        <v>4.6500000000000004</v>
      </c>
      <c r="G998">
        <v>2.85</v>
      </c>
      <c r="H998">
        <v>9.7450000000000002E-3</v>
      </c>
      <c r="I998">
        <v>0.31352811023622057</v>
      </c>
      <c r="J998">
        <v>0.31692466476377951</v>
      </c>
      <c r="K998">
        <v>0.63045277500000008</v>
      </c>
      <c r="L998">
        <v>0.98928276999175635</v>
      </c>
    </row>
    <row r="999" spans="1:14" x14ac:dyDescent="0.2">
      <c r="A999">
        <v>489044</v>
      </c>
      <c r="B999">
        <v>100</v>
      </c>
      <c r="C999">
        <v>6</v>
      </c>
      <c r="D999">
        <v>4.3</v>
      </c>
      <c r="E999">
        <v>2.2999999999999998</v>
      </c>
      <c r="F999">
        <v>4.3</v>
      </c>
      <c r="G999">
        <v>2.2999999999999998</v>
      </c>
      <c r="H999">
        <v>3.5767E-2</v>
      </c>
      <c r="I999">
        <v>1.2785998425196852</v>
      </c>
      <c r="J999">
        <v>0.58879522748031465</v>
      </c>
      <c r="K999">
        <v>1.8673950699999997</v>
      </c>
      <c r="L999">
        <v>2.1715526601520101</v>
      </c>
      <c r="M999">
        <v>1.2626173444881892</v>
      </c>
      <c r="N999">
        <v>0.60477772551181064</v>
      </c>
    </row>
    <row r="1000" spans="1:14" x14ac:dyDescent="0.2">
      <c r="B1000">
        <v>100</v>
      </c>
      <c r="C1000">
        <v>6</v>
      </c>
      <c r="D1000">
        <v>4.25</v>
      </c>
      <c r="E1000">
        <v>2.2999999999999998</v>
      </c>
      <c r="F1000">
        <v>4.25</v>
      </c>
      <c r="G1000">
        <v>2.2999999999999998</v>
      </c>
      <c r="H1000">
        <v>3.5767E-2</v>
      </c>
      <c r="I1000">
        <v>1.2466348464566932</v>
      </c>
      <c r="J1000">
        <v>0.62076022354330662</v>
      </c>
      <c r="K1000">
        <v>1.8673950699999997</v>
      </c>
      <c r="L1000">
        <v>2.0082389289392397</v>
      </c>
    </row>
    <row r="1001" spans="1:14" x14ac:dyDescent="0.2">
      <c r="A1001">
        <v>489045</v>
      </c>
      <c r="B1001">
        <v>100</v>
      </c>
      <c r="C1001">
        <v>7</v>
      </c>
      <c r="D1001">
        <v>2.8</v>
      </c>
      <c r="E1001">
        <v>1.45</v>
      </c>
      <c r="F1001">
        <v>2.8</v>
      </c>
      <c r="G1001">
        <v>1.45</v>
      </c>
      <c r="H1001">
        <v>9.7450000000000002E-3</v>
      </c>
      <c r="I1001">
        <v>0.23514608267716536</v>
      </c>
      <c r="J1001">
        <v>8.5610592322834703E-2</v>
      </c>
      <c r="K1001">
        <v>0.32075667500000005</v>
      </c>
      <c r="L1001">
        <v>2.7466937945066108</v>
      </c>
      <c r="M1001">
        <v>0.23514608267716536</v>
      </c>
      <c r="N1001">
        <v>7.45500173228347E-2</v>
      </c>
    </row>
    <row r="1002" spans="1:14" x14ac:dyDescent="0.2">
      <c r="B1002">
        <v>100</v>
      </c>
      <c r="C1002">
        <v>7</v>
      </c>
      <c r="D1002">
        <v>2.7</v>
      </c>
      <c r="E1002">
        <v>1.35</v>
      </c>
      <c r="F1002">
        <v>2.7</v>
      </c>
      <c r="G1002">
        <v>1.35</v>
      </c>
      <c r="H1002">
        <v>9.7450000000000002E-3</v>
      </c>
      <c r="I1002">
        <v>0.23514608267716539</v>
      </c>
      <c r="J1002">
        <v>6.3489442322834697E-2</v>
      </c>
      <c r="K1002">
        <v>0.29863552500000007</v>
      </c>
      <c r="L1002">
        <v>3.7037037037037011</v>
      </c>
    </row>
    <row r="1003" spans="1:14" x14ac:dyDescent="0.2">
      <c r="A1003">
        <v>489046</v>
      </c>
      <c r="B1003">
        <v>100</v>
      </c>
      <c r="C1003">
        <v>7</v>
      </c>
      <c r="D1003">
        <v>4.05</v>
      </c>
      <c r="E1003">
        <v>2.15</v>
      </c>
      <c r="F1003">
        <v>4.05</v>
      </c>
      <c r="G1003">
        <v>2.15</v>
      </c>
      <c r="H1003">
        <v>9.7450000000000002E-3</v>
      </c>
      <c r="I1003">
        <v>0.33094633858267719</v>
      </c>
      <c r="J1003">
        <v>0.14465838641732279</v>
      </c>
      <c r="K1003">
        <v>0.47560472499999995</v>
      </c>
      <c r="L1003">
        <v>2.2877784467188449</v>
      </c>
      <c r="M1003">
        <v>0.33530089566929139</v>
      </c>
      <c r="N1003">
        <v>0.12371296683070865</v>
      </c>
    </row>
    <row r="1004" spans="1:14" x14ac:dyDescent="0.2">
      <c r="B1004">
        <v>100</v>
      </c>
      <c r="C1004">
        <v>7</v>
      </c>
      <c r="D1004">
        <v>3.95</v>
      </c>
      <c r="E1004">
        <v>2</v>
      </c>
      <c r="F1004">
        <v>3.95</v>
      </c>
      <c r="G1004">
        <v>2</v>
      </c>
      <c r="H1004">
        <v>9.7450000000000002E-3</v>
      </c>
      <c r="I1004">
        <v>0.33965545275590558</v>
      </c>
      <c r="J1004">
        <v>0.1027675472440945</v>
      </c>
      <c r="K1004">
        <v>0.44242300000000007</v>
      </c>
      <c r="L1004">
        <v>3.3050847457627124</v>
      </c>
    </row>
    <row r="1005" spans="1:14" x14ac:dyDescent="0.2">
      <c r="A1005">
        <v>489047</v>
      </c>
      <c r="B1005">
        <v>100</v>
      </c>
      <c r="C1005">
        <v>7</v>
      </c>
      <c r="D1005">
        <v>3.65</v>
      </c>
      <c r="E1005">
        <v>1.9</v>
      </c>
      <c r="F1005">
        <v>3.65</v>
      </c>
      <c r="G1005">
        <v>1.9</v>
      </c>
      <c r="H1005">
        <v>9.7450000000000002E-3</v>
      </c>
      <c r="I1005">
        <v>0.30481899606299218</v>
      </c>
      <c r="J1005">
        <v>0.11548285393700791</v>
      </c>
      <c r="K1005">
        <v>0.42030185000000009</v>
      </c>
      <c r="L1005">
        <v>2.6395173453996978</v>
      </c>
      <c r="M1005">
        <v>0.30481899606299218</v>
      </c>
      <c r="N1005">
        <v>0.11548285393700791</v>
      </c>
    </row>
    <row r="1006" spans="1:14" x14ac:dyDescent="0.2">
      <c r="B1006">
        <v>100</v>
      </c>
      <c r="C1006">
        <v>7</v>
      </c>
      <c r="D1006">
        <v>3.65</v>
      </c>
      <c r="E1006">
        <v>1.9</v>
      </c>
      <c r="F1006">
        <v>3.65</v>
      </c>
      <c r="G1006">
        <v>1.9</v>
      </c>
      <c r="H1006">
        <v>9.7450000000000002E-3</v>
      </c>
      <c r="I1006">
        <v>0.30481899606299218</v>
      </c>
      <c r="J1006">
        <v>0.11548285393700791</v>
      </c>
      <c r="K1006">
        <v>0.42030185000000009</v>
      </c>
      <c r="L1006">
        <v>2.6395173453996978</v>
      </c>
    </row>
    <row r="1007" spans="1:14" x14ac:dyDescent="0.2">
      <c r="A1007">
        <v>488261</v>
      </c>
      <c r="B1007">
        <v>100</v>
      </c>
      <c r="C1007">
        <v>7</v>
      </c>
      <c r="D1007">
        <v>3.7</v>
      </c>
      <c r="E1007">
        <v>1.9</v>
      </c>
      <c r="F1007">
        <v>3.7</v>
      </c>
      <c r="G1007">
        <v>1.9</v>
      </c>
      <c r="H1007">
        <v>9.7450000000000002E-3</v>
      </c>
      <c r="I1007">
        <v>0.31352811023622057</v>
      </c>
      <c r="J1007">
        <v>0.10677373976377956</v>
      </c>
      <c r="K1007">
        <v>0.42030185000000014</v>
      </c>
      <c r="L1007">
        <v>2.9363784665579118</v>
      </c>
      <c r="M1007">
        <v>0.33094633858267719</v>
      </c>
      <c r="N1007">
        <v>0.11147666141732288</v>
      </c>
    </row>
    <row r="1008" spans="1:14" x14ac:dyDescent="0.2">
      <c r="B1008">
        <v>100</v>
      </c>
      <c r="C1008">
        <v>7</v>
      </c>
      <c r="D1008">
        <v>4.0999999999999996</v>
      </c>
      <c r="E1008">
        <v>2.1</v>
      </c>
      <c r="F1008">
        <v>4.0999999999999996</v>
      </c>
      <c r="G1008">
        <v>2.1</v>
      </c>
      <c r="H1008">
        <v>9.7450000000000002E-3</v>
      </c>
      <c r="I1008">
        <v>0.34836456692913381</v>
      </c>
      <c r="J1008">
        <v>0.11617958307086619</v>
      </c>
      <c r="K1008">
        <v>0.46454414999999999</v>
      </c>
      <c r="L1008">
        <v>2.9985007496251859</v>
      </c>
    </row>
    <row r="1009" spans="1:14" x14ac:dyDescent="0.2">
      <c r="A1009">
        <v>489049</v>
      </c>
      <c r="B1009">
        <v>100</v>
      </c>
      <c r="C1009">
        <v>8</v>
      </c>
      <c r="D1009">
        <v>1.1000000000000001</v>
      </c>
      <c r="E1009">
        <v>0.95</v>
      </c>
      <c r="F1009">
        <v>1.1000000000000001</v>
      </c>
      <c r="G1009">
        <v>0.95</v>
      </c>
      <c r="H1009">
        <v>3.8630000000000001E-3</v>
      </c>
      <c r="I1009">
        <v>1.0357098425196861E-2</v>
      </c>
      <c r="J1009">
        <v>7.2948496574803151E-2</v>
      </c>
      <c r="K1009">
        <v>8.330559500000001E-2</v>
      </c>
      <c r="L1009">
        <v>0.14197823000473275</v>
      </c>
      <c r="M1009">
        <v>1.380946456692914E-2</v>
      </c>
      <c r="N1009">
        <v>6.2919372933070872E-2</v>
      </c>
    </row>
    <row r="1010" spans="1:14" x14ac:dyDescent="0.2">
      <c r="B1010">
        <v>100</v>
      </c>
      <c r="C1010">
        <v>8</v>
      </c>
      <c r="D1010">
        <v>1.05</v>
      </c>
      <c r="E1010">
        <v>0.8</v>
      </c>
      <c r="F1010">
        <v>1.05</v>
      </c>
      <c r="G1010">
        <v>0.8</v>
      </c>
      <c r="H1010">
        <v>3.8630000000000001E-3</v>
      </c>
      <c r="I1010">
        <v>1.726183070866142E-2</v>
      </c>
      <c r="J1010">
        <v>5.2890249291338592E-2</v>
      </c>
      <c r="K1010">
        <v>7.0152080000000006E-2</v>
      </c>
      <c r="L1010">
        <v>0.32637075718015662</v>
      </c>
    </row>
    <row r="1011" spans="1:14" x14ac:dyDescent="0.2">
      <c r="A1011">
        <v>489050</v>
      </c>
      <c r="B1011">
        <v>100</v>
      </c>
      <c r="C1011">
        <v>8</v>
      </c>
      <c r="D1011">
        <v>1.45</v>
      </c>
      <c r="E1011">
        <v>0.95</v>
      </c>
      <c r="F1011">
        <v>1.45</v>
      </c>
      <c r="G1011">
        <v>0.95</v>
      </c>
      <c r="H1011">
        <v>3.8630000000000001E-3</v>
      </c>
      <c r="I1011">
        <v>3.452366141732284E-2</v>
      </c>
      <c r="J1011">
        <v>4.8781933582677163E-2</v>
      </c>
      <c r="K1011">
        <v>8.330559500000001E-2</v>
      </c>
      <c r="L1011">
        <v>0.70771408351026199</v>
      </c>
      <c r="M1011">
        <v>3.1071295275590556E-2</v>
      </c>
      <c r="N1011">
        <v>6.3195562224409432E-2</v>
      </c>
    </row>
    <row r="1012" spans="1:14" x14ac:dyDescent="0.2">
      <c r="B1012">
        <v>100</v>
      </c>
      <c r="C1012">
        <v>8</v>
      </c>
      <c r="D1012">
        <v>1.6</v>
      </c>
      <c r="E1012">
        <v>1.2</v>
      </c>
      <c r="F1012">
        <v>1.6</v>
      </c>
      <c r="G1012">
        <v>1.2</v>
      </c>
      <c r="H1012">
        <v>3.8630000000000001E-3</v>
      </c>
      <c r="I1012">
        <v>2.7618929133858276E-2</v>
      </c>
      <c r="J1012">
        <v>7.7609190866141708E-2</v>
      </c>
      <c r="K1012">
        <v>0.10522811999999998</v>
      </c>
      <c r="L1012">
        <v>0.35587188612099663</v>
      </c>
    </row>
    <row r="1013" spans="1:14" x14ac:dyDescent="0.2">
      <c r="A1013">
        <v>489051</v>
      </c>
      <c r="B1013">
        <v>100</v>
      </c>
      <c r="C1013">
        <v>8</v>
      </c>
      <c r="D1013">
        <v>2.85</v>
      </c>
      <c r="E1013">
        <v>1.85</v>
      </c>
      <c r="F1013">
        <v>2.85</v>
      </c>
      <c r="G1013">
        <v>1.85</v>
      </c>
      <c r="H1013">
        <v>3.8630000000000001E-3</v>
      </c>
      <c r="I1013">
        <v>6.904732283464568E-2</v>
      </c>
      <c r="J1013">
        <v>9.3179362165354357E-2</v>
      </c>
      <c r="K1013">
        <v>0.16222668500000004</v>
      </c>
      <c r="L1013">
        <v>0.74101519081141154</v>
      </c>
      <c r="M1013">
        <v>7.0773505905511819E-2</v>
      </c>
      <c r="N1013">
        <v>9.364543159448821E-2</v>
      </c>
    </row>
    <row r="1014" spans="1:14" x14ac:dyDescent="0.2">
      <c r="B1014">
        <v>100</v>
      </c>
      <c r="C1014">
        <v>8</v>
      </c>
      <c r="D1014">
        <v>2.95</v>
      </c>
      <c r="E1014">
        <v>1.9</v>
      </c>
      <c r="F1014">
        <v>2.95</v>
      </c>
      <c r="G1014">
        <v>1.9</v>
      </c>
      <c r="H1014">
        <v>3.8630000000000001E-3</v>
      </c>
      <c r="I1014">
        <v>7.2499688976377971E-2</v>
      </c>
      <c r="J1014">
        <v>9.4111501023622049E-2</v>
      </c>
      <c r="K1014">
        <v>0.16661119000000002</v>
      </c>
      <c r="L1014">
        <v>0.77035950110051377</v>
      </c>
    </row>
    <row r="1015" spans="1:14" x14ac:dyDescent="0.2">
      <c r="A1015">
        <v>489052</v>
      </c>
      <c r="B1015">
        <v>100</v>
      </c>
      <c r="C1015">
        <v>8</v>
      </c>
      <c r="D1015">
        <v>6.55</v>
      </c>
      <c r="E1015">
        <v>3.85</v>
      </c>
      <c r="F1015">
        <v>6.55</v>
      </c>
      <c r="G1015">
        <v>3.85</v>
      </c>
      <c r="H1015">
        <v>3.8630000000000001E-3</v>
      </c>
      <c r="I1015">
        <v>0.18642777165354332</v>
      </c>
      <c r="J1015">
        <v>0.1511791133464567</v>
      </c>
      <c r="K1015">
        <v>0.33760688500000002</v>
      </c>
      <c r="L1015">
        <v>1.2331582553094314</v>
      </c>
      <c r="M1015">
        <v>0.18124922244094491</v>
      </c>
      <c r="N1015">
        <v>0.14539640005905513</v>
      </c>
    </row>
    <row r="1016" spans="1:14" x14ac:dyDescent="0.2">
      <c r="B1016">
        <v>100</v>
      </c>
      <c r="C1016">
        <v>8</v>
      </c>
      <c r="D1016">
        <v>6.15</v>
      </c>
      <c r="E1016">
        <v>3.6</v>
      </c>
      <c r="F1016">
        <v>6.15</v>
      </c>
      <c r="G1016">
        <v>3.6</v>
      </c>
      <c r="H1016">
        <v>3.8630000000000001E-3</v>
      </c>
      <c r="I1016">
        <v>0.17607067322834649</v>
      </c>
      <c r="J1016">
        <v>0.13961368677165353</v>
      </c>
      <c r="K1016">
        <v>0.31568436</v>
      </c>
      <c r="L1016">
        <v>1.2611275964391695</v>
      </c>
    </row>
    <row r="1017" spans="1:14" x14ac:dyDescent="0.2">
      <c r="A1017">
        <v>489053</v>
      </c>
      <c r="B1017">
        <v>100</v>
      </c>
      <c r="C1017">
        <v>7</v>
      </c>
      <c r="D1017">
        <v>4.55</v>
      </c>
      <c r="E1017">
        <v>2.5499999999999998</v>
      </c>
      <c r="F1017">
        <v>4.55</v>
      </c>
      <c r="G1017">
        <v>2.5499999999999998</v>
      </c>
      <c r="H1017">
        <v>9.7450000000000002E-3</v>
      </c>
      <c r="I1017">
        <v>0.34836456692913387</v>
      </c>
      <c r="J1017">
        <v>0.21572475807086622</v>
      </c>
      <c r="K1017">
        <v>0.56408932500000009</v>
      </c>
      <c r="L1017">
        <v>1.6148566814695191</v>
      </c>
      <c r="M1017">
        <v>0.34836456692913387</v>
      </c>
      <c r="N1017">
        <v>0.21019447057086621</v>
      </c>
    </row>
    <row r="1018" spans="1:14" x14ac:dyDescent="0.2">
      <c r="B1018">
        <v>100</v>
      </c>
      <c r="C1018">
        <v>7</v>
      </c>
      <c r="D1018">
        <v>4.5</v>
      </c>
      <c r="E1018">
        <v>2.5</v>
      </c>
      <c r="F1018">
        <v>4.5</v>
      </c>
      <c r="G1018">
        <v>2.5</v>
      </c>
      <c r="H1018">
        <v>9.7450000000000002E-3</v>
      </c>
      <c r="I1018">
        <v>0.34836456692913387</v>
      </c>
      <c r="J1018">
        <v>0.2046641830708662</v>
      </c>
      <c r="K1018">
        <v>0.55302875000000007</v>
      </c>
      <c r="L1018">
        <v>1.7021276595744677</v>
      </c>
    </row>
    <row r="1019" spans="1:14" x14ac:dyDescent="0.2">
      <c r="A1019">
        <v>489054</v>
      </c>
      <c r="B1019">
        <v>100</v>
      </c>
      <c r="C1019">
        <v>7</v>
      </c>
      <c r="D1019">
        <v>7.45</v>
      </c>
      <c r="E1019">
        <v>4.0999999999999996</v>
      </c>
      <c r="F1019">
        <v>7.45</v>
      </c>
      <c r="G1019">
        <v>4.0999999999999996</v>
      </c>
      <c r="H1019">
        <v>9.7450000000000002E-3</v>
      </c>
      <c r="I1019">
        <v>0.58351064960629939</v>
      </c>
      <c r="J1019">
        <v>0.32345650039370072</v>
      </c>
      <c r="K1019">
        <v>0.90696715000000006</v>
      </c>
      <c r="L1019">
        <v>1.8039849219170714</v>
      </c>
      <c r="M1019">
        <v>0.58786520669291353</v>
      </c>
      <c r="N1019">
        <v>0.31357165580708657</v>
      </c>
    </row>
    <row r="1020" spans="1:14" x14ac:dyDescent="0.2">
      <c r="B1020">
        <v>100</v>
      </c>
      <c r="C1020">
        <v>7</v>
      </c>
      <c r="D1020">
        <v>7.45</v>
      </c>
      <c r="E1020">
        <v>4.05</v>
      </c>
      <c r="F1020">
        <v>7.45</v>
      </c>
      <c r="G1020">
        <v>4.05</v>
      </c>
      <c r="H1020">
        <v>9.7450000000000002E-3</v>
      </c>
      <c r="I1020">
        <v>0.59221976377952767</v>
      </c>
      <c r="J1020">
        <v>0.30368681122047247</v>
      </c>
      <c r="K1020">
        <v>0.89590657500000015</v>
      </c>
      <c r="L1020">
        <v>1.9501003728133068</v>
      </c>
    </row>
    <row r="1021" spans="1:14" x14ac:dyDescent="0.2">
      <c r="A1021">
        <v>489055</v>
      </c>
      <c r="B1021">
        <v>100</v>
      </c>
      <c r="C1021">
        <v>6</v>
      </c>
      <c r="D1021">
        <v>2.25</v>
      </c>
      <c r="E1021">
        <v>1.1000000000000001</v>
      </c>
      <c r="F1021">
        <v>2.25</v>
      </c>
      <c r="G1021">
        <v>1.1000000000000001</v>
      </c>
      <c r="H1021">
        <v>3.5767E-2</v>
      </c>
      <c r="I1021">
        <v>0.73519490944881893</v>
      </c>
      <c r="J1021">
        <v>0.15790708055118122</v>
      </c>
      <c r="K1021">
        <v>0.89310199000000012</v>
      </c>
      <c r="L1021">
        <v>4.6558704453441262</v>
      </c>
      <c r="M1021">
        <v>0.73519490944881893</v>
      </c>
      <c r="N1021">
        <v>0.17820485305118114</v>
      </c>
    </row>
    <row r="1022" spans="1:14" x14ac:dyDescent="0.2">
      <c r="B1022">
        <v>100</v>
      </c>
      <c r="C1022">
        <v>6</v>
      </c>
      <c r="D1022">
        <v>2.2999999999999998</v>
      </c>
      <c r="E1022">
        <v>1.1499999999999999</v>
      </c>
      <c r="F1022">
        <v>2.2999999999999998</v>
      </c>
      <c r="G1022">
        <v>1.1499999999999999</v>
      </c>
      <c r="H1022">
        <v>3.5767E-2</v>
      </c>
      <c r="I1022">
        <v>0.73519490944881893</v>
      </c>
      <c r="J1022">
        <v>0.19850262555118106</v>
      </c>
      <c r="K1022">
        <v>0.93369753499999997</v>
      </c>
      <c r="L1022">
        <v>3.7037037037037046</v>
      </c>
    </row>
    <row r="1023" spans="1:14" x14ac:dyDescent="0.2">
      <c r="A1023">
        <v>489056</v>
      </c>
      <c r="B1023">
        <v>100</v>
      </c>
      <c r="C1023">
        <v>7</v>
      </c>
      <c r="D1023">
        <v>6.7</v>
      </c>
      <c r="E1023">
        <v>3.35</v>
      </c>
      <c r="F1023">
        <v>6.7</v>
      </c>
      <c r="G1023">
        <v>3.35</v>
      </c>
      <c r="H1023">
        <v>9.7450000000000002E-3</v>
      </c>
      <c r="I1023">
        <v>0.58351064960629928</v>
      </c>
      <c r="J1023">
        <v>0.15754787539370096</v>
      </c>
      <c r="K1023">
        <v>0.74105852500000025</v>
      </c>
      <c r="L1023">
        <v>3.7037037037037002</v>
      </c>
      <c r="M1023">
        <v>0.60963799212598424</v>
      </c>
      <c r="N1023">
        <v>0.13142053287401598</v>
      </c>
    </row>
    <row r="1024" spans="1:14" x14ac:dyDescent="0.2">
      <c r="B1024">
        <v>100</v>
      </c>
      <c r="C1024">
        <v>7</v>
      </c>
      <c r="D1024">
        <v>7</v>
      </c>
      <c r="E1024">
        <v>3.35</v>
      </c>
      <c r="F1024">
        <v>7</v>
      </c>
      <c r="G1024">
        <v>3.35</v>
      </c>
      <c r="H1024">
        <v>9.7450000000000002E-3</v>
      </c>
      <c r="I1024">
        <v>0.63576533464566931</v>
      </c>
      <c r="J1024">
        <v>0.10529319035433098</v>
      </c>
      <c r="K1024">
        <v>0.74105852500000025</v>
      </c>
      <c r="L1024">
        <v>6.0380479735318291</v>
      </c>
    </row>
    <row r="1025" spans="1:14" x14ac:dyDescent="0.2">
      <c r="A1025">
        <v>489057</v>
      </c>
      <c r="B1025">
        <v>100</v>
      </c>
      <c r="C1025">
        <v>7</v>
      </c>
      <c r="D1025">
        <v>6.55</v>
      </c>
      <c r="E1025">
        <v>3.3</v>
      </c>
      <c r="F1025">
        <v>6.55</v>
      </c>
      <c r="G1025">
        <v>3.3</v>
      </c>
      <c r="H1025">
        <v>9.7450000000000002E-3</v>
      </c>
      <c r="I1025">
        <v>0.56609242125984249</v>
      </c>
      <c r="J1025">
        <v>0.16390552874015743</v>
      </c>
      <c r="K1025">
        <v>0.7299979499999999</v>
      </c>
      <c r="L1025">
        <v>3.4537725823591932</v>
      </c>
      <c r="M1025">
        <v>0.57044697834645675</v>
      </c>
      <c r="N1025">
        <v>0.14296010915354324</v>
      </c>
    </row>
    <row r="1026" spans="1:14" x14ac:dyDescent="0.2">
      <c r="B1026">
        <v>100</v>
      </c>
      <c r="C1026">
        <v>7</v>
      </c>
      <c r="D1026">
        <v>6.45</v>
      </c>
      <c r="E1026">
        <v>3.15</v>
      </c>
      <c r="F1026">
        <v>6.45</v>
      </c>
      <c r="G1026">
        <v>3.15</v>
      </c>
      <c r="H1026">
        <v>9.7450000000000002E-3</v>
      </c>
      <c r="I1026">
        <v>0.57480153543307089</v>
      </c>
      <c r="J1026">
        <v>0.12201468956692904</v>
      </c>
      <c r="K1026">
        <v>0.69681622499999996</v>
      </c>
      <c r="L1026">
        <v>4.7109207708779479</v>
      </c>
    </row>
    <row r="1027" spans="1:14" x14ac:dyDescent="0.2">
      <c r="A1027">
        <v>489058</v>
      </c>
      <c r="B1027">
        <v>100</v>
      </c>
      <c r="C1027">
        <v>8</v>
      </c>
      <c r="D1027">
        <v>2</v>
      </c>
      <c r="E1027">
        <v>1.45</v>
      </c>
      <c r="F1027">
        <v>2</v>
      </c>
      <c r="G1027">
        <v>1.45</v>
      </c>
      <c r="H1027">
        <v>3.8630000000000001E-3</v>
      </c>
      <c r="I1027">
        <v>3.7976027559055124E-2</v>
      </c>
      <c r="J1027">
        <v>8.9174617440944889E-2</v>
      </c>
      <c r="K1027">
        <v>0.12715064500000001</v>
      </c>
      <c r="L1027">
        <v>0.42586140147115759</v>
      </c>
      <c r="M1027">
        <v>3.6249844488188979E-2</v>
      </c>
      <c r="N1027">
        <v>9.0900800511811028E-2</v>
      </c>
    </row>
    <row r="1028" spans="1:14" x14ac:dyDescent="0.2">
      <c r="B1028">
        <v>100</v>
      </c>
      <c r="C1028">
        <v>8</v>
      </c>
      <c r="D1028">
        <v>1.95</v>
      </c>
      <c r="E1028">
        <v>1.45</v>
      </c>
      <c r="F1028">
        <v>1.95</v>
      </c>
      <c r="G1028">
        <v>1.45</v>
      </c>
      <c r="H1028">
        <v>3.8630000000000001E-3</v>
      </c>
      <c r="I1028">
        <v>3.452366141732284E-2</v>
      </c>
      <c r="J1028">
        <v>9.2626983582677166E-2</v>
      </c>
      <c r="K1028">
        <v>0.12715064500000001</v>
      </c>
      <c r="L1028">
        <v>0.37271710771524419</v>
      </c>
    </row>
    <row r="1029" spans="1:14" x14ac:dyDescent="0.2">
      <c r="A1029">
        <v>489059</v>
      </c>
      <c r="B1029">
        <v>100</v>
      </c>
      <c r="C1029">
        <v>8</v>
      </c>
      <c r="D1029">
        <v>1.5</v>
      </c>
      <c r="E1029">
        <v>1</v>
      </c>
      <c r="F1029">
        <v>1.5</v>
      </c>
      <c r="G1029">
        <v>1</v>
      </c>
      <c r="H1029">
        <v>3.8630000000000001E-3</v>
      </c>
      <c r="I1029">
        <v>3.452366141732284E-2</v>
      </c>
      <c r="J1029">
        <v>5.3166438582677167E-2</v>
      </c>
      <c r="K1029">
        <v>8.7690100000000007E-2</v>
      </c>
      <c r="L1029">
        <v>0.64935064935064946</v>
      </c>
      <c r="M1029">
        <v>3.7976027559055124E-2</v>
      </c>
      <c r="N1029">
        <v>5.6290829940944878E-2</v>
      </c>
    </row>
    <row r="1030" spans="1:14" x14ac:dyDescent="0.2">
      <c r="B1030">
        <v>100</v>
      </c>
      <c r="C1030">
        <v>8</v>
      </c>
      <c r="D1030">
        <v>1.75</v>
      </c>
      <c r="E1030">
        <v>1.1499999999999999</v>
      </c>
      <c r="F1030">
        <v>1.75</v>
      </c>
      <c r="G1030">
        <v>1.1499999999999999</v>
      </c>
      <c r="H1030">
        <v>3.8630000000000001E-3</v>
      </c>
      <c r="I1030">
        <v>4.1428393700787408E-2</v>
      </c>
      <c r="J1030">
        <v>5.9415221299212589E-2</v>
      </c>
      <c r="K1030">
        <v>0.100843615</v>
      </c>
      <c r="L1030">
        <v>0.697269029633934</v>
      </c>
    </row>
    <row r="1031" spans="1:14" x14ac:dyDescent="0.2">
      <c r="A1031">
        <v>489060</v>
      </c>
      <c r="B1031">
        <v>100</v>
      </c>
      <c r="C1031">
        <v>8</v>
      </c>
      <c r="D1031">
        <v>1.85</v>
      </c>
      <c r="E1031">
        <v>1.35</v>
      </c>
      <c r="F1031">
        <v>1.85</v>
      </c>
      <c r="G1031">
        <v>1.35</v>
      </c>
      <c r="H1031">
        <v>3.8630000000000001E-3</v>
      </c>
      <c r="I1031">
        <v>3.452366141732284E-2</v>
      </c>
      <c r="J1031">
        <v>8.3857973582677173E-2</v>
      </c>
      <c r="K1031">
        <v>0.11838163500000001</v>
      </c>
      <c r="L1031">
        <v>0.41169205434335121</v>
      </c>
      <c r="M1031">
        <v>3.6249844488188979E-2</v>
      </c>
      <c r="N1031">
        <v>7.5555033011811046E-2</v>
      </c>
    </row>
    <row r="1032" spans="1:14" x14ac:dyDescent="0.2">
      <c r="B1032">
        <v>100</v>
      </c>
      <c r="C1032">
        <v>8</v>
      </c>
      <c r="D1032">
        <v>1.75</v>
      </c>
      <c r="E1032">
        <v>1.2</v>
      </c>
      <c r="F1032">
        <v>1.75</v>
      </c>
      <c r="G1032">
        <v>1.2</v>
      </c>
      <c r="H1032">
        <v>3.8630000000000001E-3</v>
      </c>
      <c r="I1032">
        <v>3.7976027559055124E-2</v>
      </c>
      <c r="J1032">
        <v>6.7252092440944905E-2</v>
      </c>
      <c r="K1032">
        <v>0.10522812000000004</v>
      </c>
      <c r="L1032">
        <v>0.56468172484599577</v>
      </c>
    </row>
    <row r="1033" spans="1:14" x14ac:dyDescent="0.2">
      <c r="A1033">
        <v>489061</v>
      </c>
      <c r="B1033">
        <v>100</v>
      </c>
      <c r="C1033">
        <v>8</v>
      </c>
      <c r="D1033">
        <v>3.55</v>
      </c>
      <c r="E1033">
        <v>2.35</v>
      </c>
      <c r="F1033">
        <v>3.55</v>
      </c>
      <c r="G1033">
        <v>2.35</v>
      </c>
      <c r="H1033">
        <v>3.8630000000000001E-3</v>
      </c>
      <c r="I1033">
        <v>8.2856787401574775E-2</v>
      </c>
      <c r="J1033">
        <v>0.12321494759842523</v>
      </c>
      <c r="K1033">
        <v>0.20607173500000001</v>
      </c>
      <c r="L1033">
        <v>0.67245727094424168</v>
      </c>
      <c r="M1033">
        <v>7.9404421259842511E-2</v>
      </c>
      <c r="N1033">
        <v>0.1069370412401575</v>
      </c>
    </row>
    <row r="1034" spans="1:14" x14ac:dyDescent="0.2">
      <c r="B1034">
        <v>100</v>
      </c>
      <c r="C1034">
        <v>8</v>
      </c>
      <c r="D1034">
        <v>3</v>
      </c>
      <c r="E1034">
        <v>1.9</v>
      </c>
      <c r="F1034">
        <v>3</v>
      </c>
      <c r="G1034">
        <v>1.9</v>
      </c>
      <c r="H1034">
        <v>3.8630000000000001E-3</v>
      </c>
      <c r="I1034">
        <v>7.5952055118110248E-2</v>
      </c>
      <c r="J1034">
        <v>9.0659134881889772E-2</v>
      </c>
      <c r="K1034">
        <v>0.16661119000000002</v>
      </c>
      <c r="L1034">
        <v>0.8377760853008378</v>
      </c>
    </row>
    <row r="1035" spans="1:14" x14ac:dyDescent="0.2">
      <c r="A1035">
        <v>489062</v>
      </c>
      <c r="B1035">
        <v>100</v>
      </c>
      <c r="C1035">
        <v>7</v>
      </c>
      <c r="D1035">
        <v>6.45</v>
      </c>
      <c r="E1035">
        <v>3.6</v>
      </c>
      <c r="F1035">
        <v>6.45</v>
      </c>
      <c r="G1035">
        <v>3.6</v>
      </c>
      <c r="H1035">
        <v>9.7450000000000002E-3</v>
      </c>
      <c r="I1035">
        <v>0.49641950787401579</v>
      </c>
      <c r="J1035">
        <v>0.29994189212598427</v>
      </c>
      <c r="K1035">
        <v>0.79636140000000011</v>
      </c>
      <c r="L1035">
        <v>1.6550522648083623</v>
      </c>
      <c r="M1035">
        <v>0.46593760826771657</v>
      </c>
      <c r="N1035">
        <v>0.24193919173228345</v>
      </c>
    </row>
    <row r="1036" spans="1:14" x14ac:dyDescent="0.2">
      <c r="B1036">
        <v>100</v>
      </c>
      <c r="C1036">
        <v>7</v>
      </c>
      <c r="D1036">
        <v>5.3</v>
      </c>
      <c r="E1036">
        <v>2.8</v>
      </c>
      <c r="F1036">
        <v>5.3</v>
      </c>
      <c r="G1036">
        <v>2.8</v>
      </c>
      <c r="H1036">
        <v>9.7450000000000002E-3</v>
      </c>
      <c r="I1036">
        <v>0.43545570866141731</v>
      </c>
      <c r="J1036">
        <v>0.18393649133858261</v>
      </c>
      <c r="K1036">
        <v>0.61939219999999995</v>
      </c>
      <c r="L1036">
        <v>2.3674242424242431</v>
      </c>
    </row>
    <row r="1037" spans="1:14" x14ac:dyDescent="0.2">
      <c r="A1037">
        <v>489063</v>
      </c>
      <c r="B1037">
        <v>100</v>
      </c>
      <c r="C1037">
        <v>6</v>
      </c>
      <c r="D1037">
        <v>3</v>
      </c>
      <c r="E1037">
        <v>1.6</v>
      </c>
      <c r="F1037">
        <v>3</v>
      </c>
      <c r="G1037">
        <v>1.6</v>
      </c>
      <c r="H1037">
        <v>3.5767E-2</v>
      </c>
      <c r="I1037">
        <v>0.89501988976377955</v>
      </c>
      <c r="J1037">
        <v>0.40403755023622068</v>
      </c>
      <c r="K1037">
        <v>1.2990574400000003</v>
      </c>
      <c r="L1037">
        <v>2.2151898734177204</v>
      </c>
      <c r="M1037">
        <v>0.91100238779527554</v>
      </c>
      <c r="N1037">
        <v>0.38805505220472464</v>
      </c>
    </row>
    <row r="1038" spans="1:14" x14ac:dyDescent="0.2">
      <c r="B1038">
        <v>100</v>
      </c>
      <c r="C1038">
        <v>6</v>
      </c>
      <c r="D1038">
        <v>3.05</v>
      </c>
      <c r="E1038">
        <v>1.6</v>
      </c>
      <c r="F1038">
        <v>3.05</v>
      </c>
      <c r="G1038">
        <v>1.6</v>
      </c>
      <c r="H1038">
        <v>3.5767E-2</v>
      </c>
      <c r="I1038">
        <v>0.92698488582677152</v>
      </c>
      <c r="J1038">
        <v>0.3720725541732286</v>
      </c>
      <c r="K1038">
        <v>1.2990574400000001</v>
      </c>
      <c r="L1038">
        <v>2.4914089347079016</v>
      </c>
    </row>
    <row r="1039" spans="1:14" x14ac:dyDescent="0.2">
      <c r="A1039">
        <v>489064</v>
      </c>
      <c r="B1039">
        <v>100</v>
      </c>
      <c r="C1039">
        <v>7</v>
      </c>
      <c r="D1039">
        <v>5.7</v>
      </c>
      <c r="E1039">
        <v>2.95</v>
      </c>
      <c r="F1039">
        <v>5.7</v>
      </c>
      <c r="G1039">
        <v>2.95</v>
      </c>
      <c r="H1039">
        <v>9.7450000000000002E-3</v>
      </c>
      <c r="I1039">
        <v>0.47900127952755911</v>
      </c>
      <c r="J1039">
        <v>0.17357264547244103</v>
      </c>
      <c r="K1039">
        <v>0.65257392500000011</v>
      </c>
      <c r="L1039">
        <v>2.7596588058203704</v>
      </c>
      <c r="M1039">
        <v>0.48335583661417325</v>
      </c>
      <c r="N1039">
        <v>0.1636878008858268</v>
      </c>
    </row>
    <row r="1040" spans="1:14" x14ac:dyDescent="0.2">
      <c r="B1040">
        <v>100</v>
      </c>
      <c r="C1040">
        <v>7</v>
      </c>
      <c r="D1040">
        <v>5.7</v>
      </c>
      <c r="E1040">
        <v>2.9</v>
      </c>
      <c r="F1040">
        <v>5.7</v>
      </c>
      <c r="G1040">
        <v>2.9</v>
      </c>
      <c r="H1040">
        <v>9.7450000000000002E-3</v>
      </c>
      <c r="I1040">
        <v>0.48771039370078745</v>
      </c>
      <c r="J1040">
        <v>0.15380295629921256</v>
      </c>
      <c r="K1040">
        <v>0.64151334999999998</v>
      </c>
      <c r="L1040">
        <v>3.17100792751982</v>
      </c>
    </row>
    <row r="1041" spans="1:14" x14ac:dyDescent="0.2">
      <c r="A1041">
        <v>489065</v>
      </c>
      <c r="B1041">
        <v>100</v>
      </c>
      <c r="C1041">
        <v>7</v>
      </c>
      <c r="D1041">
        <v>4.5</v>
      </c>
      <c r="E1041">
        <v>2.25</v>
      </c>
      <c r="F1041">
        <v>4.5</v>
      </c>
      <c r="G1041">
        <v>2.25</v>
      </c>
      <c r="H1041">
        <v>9.7450000000000002E-3</v>
      </c>
      <c r="I1041">
        <v>0.39191013779527567</v>
      </c>
      <c r="J1041">
        <v>0.10581573720472433</v>
      </c>
      <c r="K1041">
        <v>0.49772587499999998</v>
      </c>
      <c r="L1041">
        <v>3.7037037037037073</v>
      </c>
      <c r="M1041">
        <v>0.39191013779527567</v>
      </c>
      <c r="N1041">
        <v>0.11134602470472435</v>
      </c>
    </row>
    <row r="1042" spans="1:14" x14ac:dyDescent="0.2">
      <c r="B1042">
        <v>100</v>
      </c>
      <c r="C1042">
        <v>7</v>
      </c>
      <c r="D1042">
        <v>4.55</v>
      </c>
      <c r="E1042">
        <v>2.2999999999999998</v>
      </c>
      <c r="F1042">
        <v>4.55</v>
      </c>
      <c r="G1042">
        <v>2.2999999999999998</v>
      </c>
      <c r="H1042">
        <v>9.7450000000000002E-3</v>
      </c>
      <c r="I1042">
        <v>0.39191013779527567</v>
      </c>
      <c r="J1042">
        <v>0.11687631220472439</v>
      </c>
      <c r="K1042">
        <v>0.50878645000000011</v>
      </c>
      <c r="L1042">
        <v>3.3532041728763056</v>
      </c>
    </row>
    <row r="1043" spans="1:14" x14ac:dyDescent="0.2">
      <c r="A1043">
        <v>489066</v>
      </c>
      <c r="B1043">
        <v>100</v>
      </c>
      <c r="C1043">
        <v>7</v>
      </c>
      <c r="D1043">
        <v>4.5</v>
      </c>
      <c r="E1043">
        <v>2.25</v>
      </c>
      <c r="F1043">
        <v>4.5</v>
      </c>
      <c r="G1043">
        <v>2.25</v>
      </c>
      <c r="H1043">
        <v>9.7450000000000002E-3</v>
      </c>
      <c r="I1043">
        <v>0.39191013779527567</v>
      </c>
      <c r="J1043">
        <v>0.10581573720472433</v>
      </c>
      <c r="K1043">
        <v>0.49772587499999998</v>
      </c>
      <c r="L1043">
        <v>3.7037037037037073</v>
      </c>
      <c r="M1043">
        <v>0.39191013779527567</v>
      </c>
      <c r="N1043">
        <v>0.10581573720472433</v>
      </c>
    </row>
    <row r="1044" spans="1:14" x14ac:dyDescent="0.2">
      <c r="B1044">
        <v>100</v>
      </c>
      <c r="C1044">
        <v>7</v>
      </c>
      <c r="D1044">
        <v>4.5</v>
      </c>
      <c r="E1044">
        <v>2.25</v>
      </c>
      <c r="F1044">
        <v>4.5</v>
      </c>
      <c r="G1044">
        <v>2.25</v>
      </c>
      <c r="H1044">
        <v>9.7450000000000002E-3</v>
      </c>
      <c r="I1044">
        <v>0.39191013779527567</v>
      </c>
      <c r="J1044">
        <v>0.10581573720472433</v>
      </c>
      <c r="K1044">
        <v>0.49772587499999998</v>
      </c>
      <c r="L1044">
        <v>3.7037037037037073</v>
      </c>
    </row>
    <row r="1045" spans="1:14" x14ac:dyDescent="0.2">
      <c r="A1045">
        <v>489068</v>
      </c>
      <c r="B1045">
        <v>100</v>
      </c>
      <c r="C1045">
        <v>8</v>
      </c>
      <c r="D1045">
        <v>1.1000000000000001</v>
      </c>
      <c r="E1045">
        <v>0.75</v>
      </c>
      <c r="F1045">
        <v>1.1000000000000001</v>
      </c>
      <c r="G1045">
        <v>0.75</v>
      </c>
      <c r="H1045">
        <v>3.8630000000000001E-3</v>
      </c>
      <c r="I1045">
        <v>2.4166562992125992E-2</v>
      </c>
      <c r="J1045">
        <v>4.1601012007874E-2</v>
      </c>
      <c r="K1045">
        <v>6.5767574999999995E-2</v>
      </c>
      <c r="L1045">
        <v>0.5809128630705398</v>
      </c>
      <c r="M1045">
        <v>2.4166562992125981E-2</v>
      </c>
      <c r="N1045">
        <v>4.3793264507874019E-2</v>
      </c>
    </row>
    <row r="1046" spans="1:14" x14ac:dyDescent="0.2">
      <c r="B1046">
        <v>100</v>
      </c>
      <c r="C1046">
        <v>8</v>
      </c>
      <c r="D1046">
        <v>1.1499999999999999</v>
      </c>
      <c r="E1046">
        <v>0.8</v>
      </c>
      <c r="F1046">
        <v>1.1499999999999999</v>
      </c>
      <c r="G1046">
        <v>0.8</v>
      </c>
      <c r="H1046">
        <v>3.8630000000000001E-3</v>
      </c>
      <c r="I1046">
        <v>2.4166562992125974E-2</v>
      </c>
      <c r="J1046">
        <v>4.5985517007874031E-2</v>
      </c>
      <c r="K1046">
        <v>7.0152080000000006E-2</v>
      </c>
      <c r="L1046">
        <v>0.52552552552552512</v>
      </c>
    </row>
    <row r="1047" spans="1:14" x14ac:dyDescent="0.2">
      <c r="A1047">
        <v>489069</v>
      </c>
      <c r="B1047">
        <v>100</v>
      </c>
      <c r="C1047">
        <v>8</v>
      </c>
      <c r="D1047">
        <v>2.95</v>
      </c>
      <c r="E1047">
        <v>2</v>
      </c>
      <c r="F1047">
        <v>2.95</v>
      </c>
      <c r="G1047">
        <v>2</v>
      </c>
      <c r="H1047">
        <v>3.8630000000000001E-3</v>
      </c>
      <c r="I1047">
        <v>6.5594956692913403E-2</v>
      </c>
      <c r="J1047">
        <v>0.10978524330708662</v>
      </c>
      <c r="K1047">
        <v>0.17538020000000004</v>
      </c>
      <c r="L1047">
        <v>0.59748427672955984</v>
      </c>
      <c r="M1047">
        <v>6.904732283464568E-2</v>
      </c>
      <c r="N1047">
        <v>0.10633287716535435</v>
      </c>
    </row>
    <row r="1048" spans="1:14" x14ac:dyDescent="0.2">
      <c r="B1048">
        <v>100</v>
      </c>
      <c r="C1048">
        <v>8</v>
      </c>
      <c r="D1048">
        <v>3.05</v>
      </c>
      <c r="E1048">
        <v>2</v>
      </c>
      <c r="F1048">
        <v>3.05</v>
      </c>
      <c r="G1048">
        <v>2</v>
      </c>
      <c r="H1048">
        <v>3.8630000000000001E-3</v>
      </c>
      <c r="I1048">
        <v>7.2499688976377943E-2</v>
      </c>
      <c r="J1048">
        <v>0.10288051102362207</v>
      </c>
      <c r="K1048">
        <v>0.17538020000000001</v>
      </c>
      <c r="L1048">
        <v>0.70469798657718097</v>
      </c>
    </row>
    <row r="1049" spans="1:14" x14ac:dyDescent="0.2">
      <c r="A1049">
        <v>489070</v>
      </c>
      <c r="B1049">
        <v>100</v>
      </c>
      <c r="C1049">
        <v>8</v>
      </c>
      <c r="D1049">
        <v>4.0999999999999996</v>
      </c>
      <c r="E1049">
        <v>2.7</v>
      </c>
      <c r="F1049">
        <v>4.0999999999999996</v>
      </c>
      <c r="G1049">
        <v>2.7</v>
      </c>
      <c r="H1049">
        <v>3.8630000000000001E-3</v>
      </c>
      <c r="I1049">
        <v>9.6666251968503897E-2</v>
      </c>
      <c r="J1049">
        <v>0.1400970180314961</v>
      </c>
      <c r="K1049">
        <v>0.23676327</v>
      </c>
      <c r="L1049">
        <v>0.68999507146377481</v>
      </c>
      <c r="M1049">
        <v>9.3213885826771634E-2</v>
      </c>
      <c r="N1049">
        <v>0.13258812167322842</v>
      </c>
    </row>
    <row r="1050" spans="1:14" x14ac:dyDescent="0.2">
      <c r="B1050">
        <v>100</v>
      </c>
      <c r="C1050">
        <v>8</v>
      </c>
      <c r="D1050">
        <v>3.75</v>
      </c>
      <c r="E1050">
        <v>2.4500000000000002</v>
      </c>
      <c r="F1050">
        <v>3.75</v>
      </c>
      <c r="G1050">
        <v>2.4500000000000002</v>
      </c>
      <c r="H1050">
        <v>3.8630000000000001E-3</v>
      </c>
      <c r="I1050">
        <v>8.976151968503937E-2</v>
      </c>
      <c r="J1050">
        <v>0.12507922531496071</v>
      </c>
      <c r="K1050">
        <v>0.21484074500000008</v>
      </c>
      <c r="L1050">
        <v>0.71763731714049084</v>
      </c>
    </row>
    <row r="1051" spans="1:14" x14ac:dyDescent="0.2">
      <c r="A1051">
        <v>489071</v>
      </c>
      <c r="B1051">
        <v>100</v>
      </c>
      <c r="C1051">
        <v>8</v>
      </c>
      <c r="D1051">
        <v>5.7</v>
      </c>
      <c r="E1051">
        <v>3.8</v>
      </c>
      <c r="F1051">
        <v>5.7</v>
      </c>
      <c r="G1051">
        <v>3.8</v>
      </c>
      <c r="H1051">
        <v>3.8630000000000001E-3</v>
      </c>
      <c r="I1051">
        <v>0.13118991338582681</v>
      </c>
      <c r="J1051">
        <v>0.20203246661417323</v>
      </c>
      <c r="K1051">
        <v>0.33322238000000004</v>
      </c>
      <c r="L1051">
        <v>0.64935064935064946</v>
      </c>
      <c r="M1051">
        <v>0.13636846259842522</v>
      </c>
      <c r="N1051">
        <v>0.21219968490157487</v>
      </c>
    </row>
    <row r="1052" spans="1:14" x14ac:dyDescent="0.2">
      <c r="B1052">
        <v>100</v>
      </c>
      <c r="C1052">
        <v>8</v>
      </c>
      <c r="D1052">
        <v>6.2</v>
      </c>
      <c r="E1052">
        <v>4.1500000000000004</v>
      </c>
      <c r="F1052">
        <v>6.2</v>
      </c>
      <c r="G1052">
        <v>4.1500000000000004</v>
      </c>
      <c r="H1052">
        <v>3.8630000000000001E-3</v>
      </c>
      <c r="I1052">
        <v>0.14154701181102361</v>
      </c>
      <c r="J1052">
        <v>0.22236690318897651</v>
      </c>
      <c r="K1052">
        <v>0.36391391500000014</v>
      </c>
      <c r="L1052">
        <v>0.63654712001241998</v>
      </c>
    </row>
    <row r="1053" spans="1:14" x14ac:dyDescent="0.2">
      <c r="A1053">
        <v>489072</v>
      </c>
      <c r="B1053">
        <v>100</v>
      </c>
      <c r="C1053">
        <v>7</v>
      </c>
      <c r="D1053">
        <v>4.25</v>
      </c>
      <c r="E1053">
        <v>2.6</v>
      </c>
      <c r="F1053">
        <v>4.25</v>
      </c>
      <c r="G1053">
        <v>2.6</v>
      </c>
      <c r="H1053">
        <v>9.7450000000000002E-3</v>
      </c>
      <c r="I1053">
        <v>0.28740076771653539</v>
      </c>
      <c r="J1053">
        <v>0.28774913228346455</v>
      </c>
      <c r="K1053">
        <v>0.57514989999999999</v>
      </c>
      <c r="L1053">
        <v>0.99878934624697324</v>
      </c>
      <c r="M1053">
        <v>0.29175532480314958</v>
      </c>
      <c r="N1053">
        <v>0.27786428769685034</v>
      </c>
    </row>
    <row r="1054" spans="1:14" x14ac:dyDescent="0.2">
      <c r="B1054">
        <v>100</v>
      </c>
      <c r="C1054">
        <v>7</v>
      </c>
      <c r="D1054">
        <v>4.25</v>
      </c>
      <c r="E1054">
        <v>2.5499999999999998</v>
      </c>
      <c r="F1054">
        <v>4.25</v>
      </c>
      <c r="G1054">
        <v>2.5499999999999998</v>
      </c>
      <c r="H1054">
        <v>9.7450000000000002E-3</v>
      </c>
      <c r="I1054">
        <v>0.29610988188976384</v>
      </c>
      <c r="J1054">
        <v>0.26797944311023619</v>
      </c>
      <c r="K1054">
        <v>0.56408932500000009</v>
      </c>
      <c r="L1054">
        <v>1.104972375690608</v>
      </c>
    </row>
    <row r="1055" spans="1:14" x14ac:dyDescent="0.2">
      <c r="A1055">
        <v>489073</v>
      </c>
      <c r="B1055">
        <v>100</v>
      </c>
      <c r="C1055">
        <v>6</v>
      </c>
      <c r="D1055">
        <v>2.4</v>
      </c>
      <c r="E1055">
        <v>1.3</v>
      </c>
      <c r="F1055">
        <v>2.4</v>
      </c>
      <c r="G1055">
        <v>1.3</v>
      </c>
      <c r="H1055">
        <v>3.5767E-2</v>
      </c>
      <c r="I1055">
        <v>0.70322991338582685</v>
      </c>
      <c r="J1055">
        <v>0.35225425661417326</v>
      </c>
      <c r="K1055">
        <v>1.0554841700000002</v>
      </c>
      <c r="L1055">
        <v>1.9963702359346642</v>
      </c>
      <c r="M1055">
        <v>0.68724741535433065</v>
      </c>
      <c r="N1055">
        <v>0.34793898214566943</v>
      </c>
    </row>
    <row r="1056" spans="1:14" x14ac:dyDescent="0.2">
      <c r="B1056">
        <v>100</v>
      </c>
      <c r="C1056">
        <v>6</v>
      </c>
      <c r="D1056">
        <v>2.2999999999999998</v>
      </c>
      <c r="E1056">
        <v>1.25</v>
      </c>
      <c r="F1056">
        <v>2.2999999999999998</v>
      </c>
      <c r="G1056">
        <v>1.25</v>
      </c>
      <c r="H1056">
        <v>3.5767E-2</v>
      </c>
      <c r="I1056">
        <v>0.67126491732283455</v>
      </c>
      <c r="J1056">
        <v>0.3436237076771656</v>
      </c>
      <c r="K1056">
        <v>1.0148886250000002</v>
      </c>
      <c r="L1056">
        <v>1.9534883720930216</v>
      </c>
    </row>
    <row r="1057" spans="1:14" x14ac:dyDescent="0.2">
      <c r="A1057">
        <v>489074</v>
      </c>
      <c r="B1057">
        <v>100</v>
      </c>
      <c r="C1057">
        <v>7</v>
      </c>
      <c r="D1057">
        <v>6.55</v>
      </c>
      <c r="E1057">
        <v>3.45</v>
      </c>
      <c r="F1057">
        <v>6.55</v>
      </c>
      <c r="G1057">
        <v>3.45</v>
      </c>
      <c r="H1057">
        <v>9.7450000000000002E-3</v>
      </c>
      <c r="I1057">
        <v>0.53996507874015753</v>
      </c>
      <c r="J1057">
        <v>0.22321459625984258</v>
      </c>
      <c r="K1057">
        <v>0.76317967500000017</v>
      </c>
      <c r="L1057">
        <v>2.4190401872805301</v>
      </c>
      <c r="M1057">
        <v>0.56173786417322835</v>
      </c>
      <c r="N1057">
        <v>0.20697209832677171</v>
      </c>
    </row>
    <row r="1058" spans="1:14" x14ac:dyDescent="0.2">
      <c r="B1058">
        <v>100</v>
      </c>
      <c r="C1058">
        <v>7</v>
      </c>
      <c r="D1058">
        <v>6.85</v>
      </c>
      <c r="E1058">
        <v>3.5</v>
      </c>
      <c r="F1058">
        <v>6.85</v>
      </c>
      <c r="G1058">
        <v>3.5</v>
      </c>
      <c r="H1058">
        <v>9.7450000000000002E-3</v>
      </c>
      <c r="I1058">
        <v>0.58351064960629917</v>
      </c>
      <c r="J1058">
        <v>0.19072960039370088</v>
      </c>
      <c r="K1058">
        <v>0.77424025000000007</v>
      </c>
      <c r="L1058">
        <v>3.0593607305936055</v>
      </c>
    </row>
    <row r="1059" spans="1:14" x14ac:dyDescent="0.2">
      <c r="A1059">
        <v>489075</v>
      </c>
      <c r="B1059">
        <v>100</v>
      </c>
      <c r="C1059">
        <v>7</v>
      </c>
      <c r="D1059">
        <v>6.35</v>
      </c>
      <c r="E1059">
        <v>3.2</v>
      </c>
      <c r="F1059">
        <v>6.35</v>
      </c>
      <c r="G1059">
        <v>3.2</v>
      </c>
      <c r="H1059">
        <v>9.7450000000000002E-3</v>
      </c>
      <c r="I1059">
        <v>0.54867419291338582</v>
      </c>
      <c r="J1059">
        <v>0.15920260708661441</v>
      </c>
      <c r="K1059">
        <v>0.70787680000000019</v>
      </c>
      <c r="L1059">
        <v>3.4463894967177193</v>
      </c>
      <c r="M1059">
        <v>0.54867419291338582</v>
      </c>
      <c r="N1059">
        <v>0.15920260708661441</v>
      </c>
    </row>
    <row r="1060" spans="1:14" x14ac:dyDescent="0.2">
      <c r="B1060">
        <v>100</v>
      </c>
      <c r="C1060">
        <v>7</v>
      </c>
      <c r="D1060">
        <v>6.35</v>
      </c>
      <c r="E1060">
        <v>3.2</v>
      </c>
      <c r="F1060">
        <v>6.35</v>
      </c>
      <c r="G1060">
        <v>3.2</v>
      </c>
      <c r="H1060">
        <v>9.7450000000000002E-3</v>
      </c>
      <c r="I1060">
        <v>0.54867419291338582</v>
      </c>
      <c r="J1060">
        <v>0.15920260708661441</v>
      </c>
      <c r="K1060">
        <v>0.70787680000000019</v>
      </c>
      <c r="L1060">
        <v>3.4463894967177193</v>
      </c>
    </row>
    <row r="1061" spans="1:14" x14ac:dyDescent="0.2">
      <c r="A1061">
        <v>489076</v>
      </c>
      <c r="B1061">
        <v>100</v>
      </c>
      <c r="C1061">
        <v>7</v>
      </c>
      <c r="D1061">
        <v>6.45</v>
      </c>
      <c r="E1061">
        <v>3.3</v>
      </c>
      <c r="F1061">
        <v>6.45</v>
      </c>
      <c r="G1061">
        <v>3.3</v>
      </c>
      <c r="H1061">
        <v>9.7450000000000002E-3</v>
      </c>
      <c r="I1061">
        <v>0.54867419291338593</v>
      </c>
      <c r="J1061">
        <v>0.18132375708661413</v>
      </c>
      <c r="K1061">
        <v>0.72999795000000001</v>
      </c>
      <c r="L1061">
        <v>3.0259365994236322</v>
      </c>
      <c r="M1061">
        <v>0.55738330708661421</v>
      </c>
      <c r="N1061">
        <v>0.16155406791338583</v>
      </c>
    </row>
    <row r="1062" spans="1:14" x14ac:dyDescent="0.2">
      <c r="B1062">
        <v>100</v>
      </c>
      <c r="C1062">
        <v>7</v>
      </c>
      <c r="D1062">
        <v>6.45</v>
      </c>
      <c r="E1062">
        <v>3.2</v>
      </c>
      <c r="F1062">
        <v>6.45</v>
      </c>
      <c r="G1062">
        <v>3.2</v>
      </c>
      <c r="H1062">
        <v>9.7450000000000002E-3</v>
      </c>
      <c r="I1062">
        <v>0.56609242125984249</v>
      </c>
      <c r="J1062">
        <v>0.14178437874015754</v>
      </c>
      <c r="K1062">
        <v>0.70787679999999997</v>
      </c>
      <c r="L1062">
        <v>3.9926289926289908</v>
      </c>
    </row>
    <row r="1063" spans="1:14" x14ac:dyDescent="0.2">
      <c r="A1063">
        <v>489078</v>
      </c>
      <c r="B1063">
        <v>100</v>
      </c>
      <c r="C1063">
        <v>8</v>
      </c>
      <c r="D1063">
        <v>1.55</v>
      </c>
      <c r="E1063">
        <v>1.05</v>
      </c>
      <c r="F1063">
        <v>1.55</v>
      </c>
      <c r="G1063">
        <v>1.05</v>
      </c>
      <c r="H1063">
        <v>3.8630000000000001E-3</v>
      </c>
      <c r="I1063">
        <v>3.452366141732284E-2</v>
      </c>
      <c r="J1063">
        <v>5.7550943582677178E-2</v>
      </c>
      <c r="K1063">
        <v>9.2074605000000018E-2</v>
      </c>
      <c r="L1063">
        <v>0.59988002399520091</v>
      </c>
      <c r="M1063">
        <v>3.2797478346456702E-2</v>
      </c>
      <c r="N1063">
        <v>5.2700369153543314E-2</v>
      </c>
    </row>
    <row r="1064" spans="1:14" x14ac:dyDescent="0.2">
      <c r="B1064">
        <v>100</v>
      </c>
      <c r="C1064">
        <v>8</v>
      </c>
      <c r="D1064">
        <v>1.35</v>
      </c>
      <c r="E1064">
        <v>0.9</v>
      </c>
      <c r="F1064">
        <v>1.35</v>
      </c>
      <c r="G1064">
        <v>0.9</v>
      </c>
      <c r="H1064">
        <v>3.8630000000000001E-3</v>
      </c>
      <c r="I1064">
        <v>3.1071295275590556E-2</v>
      </c>
      <c r="J1064">
        <v>4.7849794724409457E-2</v>
      </c>
      <c r="K1064">
        <v>7.8921090000000013E-2</v>
      </c>
      <c r="L1064">
        <v>0.64935064935064934</v>
      </c>
    </row>
    <row r="1065" spans="1:14" x14ac:dyDescent="0.2">
      <c r="A1065">
        <v>489079</v>
      </c>
      <c r="B1065">
        <v>100</v>
      </c>
      <c r="C1065">
        <v>8</v>
      </c>
      <c r="D1065">
        <v>1.9</v>
      </c>
      <c r="E1065">
        <v>1.2</v>
      </c>
      <c r="F1065">
        <v>1.9</v>
      </c>
      <c r="G1065">
        <v>1.2</v>
      </c>
      <c r="H1065">
        <v>3.8630000000000001E-3</v>
      </c>
      <c r="I1065">
        <v>4.8333125984251969E-2</v>
      </c>
      <c r="J1065">
        <v>5.6894994015748032E-2</v>
      </c>
      <c r="K1065">
        <v>0.10522812000000001</v>
      </c>
      <c r="L1065">
        <v>0.84951456310679607</v>
      </c>
      <c r="M1065">
        <v>4.6606942913385824E-2</v>
      </c>
      <c r="N1065">
        <v>6.0813429586614183E-2</v>
      </c>
    </row>
    <row r="1066" spans="1:14" x14ac:dyDescent="0.2">
      <c r="B1066">
        <v>100</v>
      </c>
      <c r="C1066">
        <v>8</v>
      </c>
      <c r="D1066">
        <v>1.9</v>
      </c>
      <c r="E1066">
        <v>1.25</v>
      </c>
      <c r="F1066">
        <v>1.9</v>
      </c>
      <c r="G1066">
        <v>1.25</v>
      </c>
      <c r="H1066">
        <v>3.8630000000000001E-3</v>
      </c>
      <c r="I1066">
        <v>4.4880759842519685E-2</v>
      </c>
      <c r="J1066">
        <v>6.4731865157480334E-2</v>
      </c>
      <c r="K1066">
        <v>0.10961262500000002</v>
      </c>
      <c r="L1066">
        <v>0.69333333333333313</v>
      </c>
    </row>
    <row r="1067" spans="1:14" x14ac:dyDescent="0.2">
      <c r="A1067">
        <v>489080</v>
      </c>
      <c r="B1067">
        <v>100</v>
      </c>
      <c r="C1067">
        <v>8</v>
      </c>
      <c r="D1067">
        <v>4.1500000000000004</v>
      </c>
      <c r="E1067">
        <v>2.75</v>
      </c>
      <c r="F1067">
        <v>4.1500000000000004</v>
      </c>
      <c r="G1067">
        <v>2.75</v>
      </c>
      <c r="H1067">
        <v>3.8630000000000001E-3</v>
      </c>
      <c r="I1067">
        <v>9.6666251968503966E-2</v>
      </c>
      <c r="J1067">
        <v>0.14448152303149606</v>
      </c>
      <c r="K1067">
        <v>0.24114777500000001</v>
      </c>
      <c r="L1067">
        <v>0.66905615292712095</v>
      </c>
      <c r="M1067">
        <v>0.10184480118110237</v>
      </c>
      <c r="N1067">
        <v>0.16999450881889766</v>
      </c>
    </row>
    <row r="1068" spans="1:14" x14ac:dyDescent="0.2">
      <c r="B1068">
        <v>100</v>
      </c>
      <c r="C1068">
        <v>8</v>
      </c>
      <c r="D1068">
        <v>5</v>
      </c>
      <c r="E1068">
        <v>3.45</v>
      </c>
      <c r="F1068">
        <v>5</v>
      </c>
      <c r="G1068">
        <v>3.45</v>
      </c>
      <c r="H1068">
        <v>3.8630000000000001E-3</v>
      </c>
      <c r="I1068">
        <v>0.10702335039370078</v>
      </c>
      <c r="J1068">
        <v>0.19550749460629926</v>
      </c>
      <c r="K1068">
        <v>0.30253084500000005</v>
      </c>
      <c r="L1068">
        <v>0.54741303196185753</v>
      </c>
    </row>
    <row r="1069" spans="1:14" x14ac:dyDescent="0.2">
      <c r="A1069">
        <v>489081</v>
      </c>
      <c r="B1069">
        <v>100</v>
      </c>
      <c r="C1069">
        <v>8</v>
      </c>
      <c r="D1069">
        <v>6.2</v>
      </c>
      <c r="E1069">
        <v>3.75</v>
      </c>
      <c r="F1069">
        <v>6.2</v>
      </c>
      <c r="G1069">
        <v>3.75</v>
      </c>
      <c r="H1069">
        <v>3.8630000000000001E-3</v>
      </c>
      <c r="I1069">
        <v>0.16916594094488194</v>
      </c>
      <c r="J1069">
        <v>0.15967193405511815</v>
      </c>
      <c r="K1069">
        <v>0.32883787500000006</v>
      </c>
      <c r="L1069">
        <v>1.0594594594594595</v>
      </c>
      <c r="M1069">
        <v>0.17602866929133859</v>
      </c>
      <c r="N1069">
        <v>0.22066234320866149</v>
      </c>
    </row>
    <row r="1070" spans="1:14" x14ac:dyDescent="0.2">
      <c r="B1070">
        <v>100</v>
      </c>
      <c r="C1070">
        <v>7</v>
      </c>
      <c r="D1070">
        <v>3.15</v>
      </c>
      <c r="E1070">
        <v>2.1</v>
      </c>
      <c r="F1070">
        <v>3.15</v>
      </c>
      <c r="G1070">
        <v>2.1</v>
      </c>
      <c r="H1070">
        <v>9.7450000000000002E-3</v>
      </c>
      <c r="I1070">
        <v>0.18289139763779524</v>
      </c>
      <c r="J1070">
        <v>0.28165275236220483</v>
      </c>
      <c r="K1070">
        <v>0.46454415000000004</v>
      </c>
      <c r="L1070">
        <v>0.64935064935064901</v>
      </c>
    </row>
    <row r="1071" spans="1:14" x14ac:dyDescent="0.2">
      <c r="A1071">
        <v>489082</v>
      </c>
      <c r="B1071">
        <v>100</v>
      </c>
      <c r="C1071">
        <v>7</v>
      </c>
      <c r="D1071">
        <v>4.6500000000000004</v>
      </c>
      <c r="E1071">
        <v>2.65</v>
      </c>
      <c r="F1071">
        <v>4.6500000000000004</v>
      </c>
      <c r="G1071">
        <v>2.65</v>
      </c>
      <c r="H1071">
        <v>9.7450000000000002E-3</v>
      </c>
      <c r="I1071">
        <v>0.34836456692913392</v>
      </c>
      <c r="J1071">
        <v>0.23784590807086597</v>
      </c>
      <c r="K1071">
        <v>0.5862104749999999</v>
      </c>
      <c r="L1071">
        <v>1.4646649578908837</v>
      </c>
      <c r="M1071">
        <v>0.35271912401574812</v>
      </c>
      <c r="N1071">
        <v>0.25561250098425192</v>
      </c>
    </row>
    <row r="1072" spans="1:14" x14ac:dyDescent="0.2">
      <c r="B1072">
        <v>100</v>
      </c>
      <c r="C1072">
        <v>7</v>
      </c>
      <c r="D1072">
        <v>4.9000000000000004</v>
      </c>
      <c r="E1072">
        <v>2.85</v>
      </c>
      <c r="F1072">
        <v>4.9000000000000004</v>
      </c>
      <c r="G1072">
        <v>2.85</v>
      </c>
      <c r="H1072">
        <v>9.7450000000000002E-3</v>
      </c>
      <c r="I1072">
        <v>0.35707368110236226</v>
      </c>
      <c r="J1072">
        <v>0.27337909389763787</v>
      </c>
      <c r="K1072">
        <v>0.63045277500000019</v>
      </c>
      <c r="L1072">
        <v>1.3061484549219495</v>
      </c>
    </row>
    <row r="1073" spans="1:14" x14ac:dyDescent="0.2">
      <c r="A1073">
        <v>489083</v>
      </c>
      <c r="B1073">
        <v>100</v>
      </c>
      <c r="C1073">
        <v>7</v>
      </c>
      <c r="D1073">
        <v>4.9000000000000004</v>
      </c>
      <c r="E1073">
        <v>2.9</v>
      </c>
      <c r="F1073">
        <v>4.9000000000000004</v>
      </c>
      <c r="G1073">
        <v>2.9</v>
      </c>
      <c r="H1073">
        <v>9.7450000000000002E-3</v>
      </c>
      <c r="I1073">
        <v>0.34836456692913392</v>
      </c>
      <c r="J1073">
        <v>0.29314878307086617</v>
      </c>
      <c r="K1073">
        <v>0.64151335000000009</v>
      </c>
      <c r="L1073">
        <v>1.1883541295306002</v>
      </c>
      <c r="M1073">
        <v>0.34836456692913387</v>
      </c>
      <c r="N1073">
        <v>0.30420935807086613</v>
      </c>
    </row>
    <row r="1074" spans="1:14" x14ac:dyDescent="0.2">
      <c r="B1074">
        <v>100</v>
      </c>
      <c r="C1074">
        <v>7</v>
      </c>
      <c r="D1074">
        <v>5</v>
      </c>
      <c r="E1074">
        <v>3</v>
      </c>
      <c r="F1074">
        <v>5</v>
      </c>
      <c r="G1074">
        <v>3</v>
      </c>
      <c r="H1074">
        <v>9.7450000000000002E-3</v>
      </c>
      <c r="I1074">
        <v>0.34836456692913387</v>
      </c>
      <c r="J1074">
        <v>0.31526993307086609</v>
      </c>
      <c r="K1074">
        <v>0.66363449999999991</v>
      </c>
      <c r="L1074">
        <v>1.104972375690608</v>
      </c>
    </row>
    <row r="1075" spans="1:14" x14ac:dyDescent="0.2">
      <c r="A1075">
        <v>489084</v>
      </c>
      <c r="B1075">
        <v>100</v>
      </c>
      <c r="C1075">
        <v>6</v>
      </c>
      <c r="D1075">
        <v>2.85</v>
      </c>
      <c r="E1075">
        <v>1.4</v>
      </c>
      <c r="F1075">
        <v>2.85</v>
      </c>
      <c r="G1075">
        <v>1.4</v>
      </c>
      <c r="H1075">
        <v>3.5767E-2</v>
      </c>
      <c r="I1075">
        <v>0.92698488582677185</v>
      </c>
      <c r="J1075">
        <v>0.20969037417322808</v>
      </c>
      <c r="K1075">
        <v>1.1366752599999999</v>
      </c>
      <c r="L1075">
        <v>4.4207317073170795</v>
      </c>
      <c r="M1075">
        <v>0.92698488582677174</v>
      </c>
      <c r="N1075">
        <v>0.2299881466732282</v>
      </c>
    </row>
    <row r="1076" spans="1:14" x14ac:dyDescent="0.2">
      <c r="B1076">
        <v>100</v>
      </c>
      <c r="C1076">
        <v>6</v>
      </c>
      <c r="D1076">
        <v>2.9</v>
      </c>
      <c r="E1076">
        <v>1.45</v>
      </c>
      <c r="F1076">
        <v>2.9</v>
      </c>
      <c r="G1076">
        <v>1.45</v>
      </c>
      <c r="H1076">
        <v>3.5767E-2</v>
      </c>
      <c r="I1076">
        <v>0.92698488582677174</v>
      </c>
      <c r="J1076">
        <v>0.25028591917322829</v>
      </c>
      <c r="K1076">
        <v>1.177270805</v>
      </c>
      <c r="L1076">
        <v>3.7037037037037051</v>
      </c>
    </row>
    <row r="1077" spans="1:14" x14ac:dyDescent="0.2">
      <c r="A1077">
        <v>489085</v>
      </c>
      <c r="B1077">
        <v>100</v>
      </c>
      <c r="C1077">
        <v>6</v>
      </c>
      <c r="D1077">
        <v>3.05</v>
      </c>
      <c r="E1077">
        <v>1.5</v>
      </c>
      <c r="F1077">
        <v>3.05</v>
      </c>
      <c r="G1077">
        <v>1.5</v>
      </c>
      <c r="H1077">
        <v>3.5767E-2</v>
      </c>
      <c r="I1077">
        <v>0.99091487795275579</v>
      </c>
      <c r="J1077">
        <v>0.22695147204724406</v>
      </c>
      <c r="K1077">
        <v>1.2178663499999998</v>
      </c>
      <c r="L1077">
        <v>4.3661971830985919</v>
      </c>
      <c r="M1077">
        <v>1.0068973759842519</v>
      </c>
      <c r="N1077">
        <v>0.23126674651574813</v>
      </c>
    </row>
    <row r="1078" spans="1:14" x14ac:dyDescent="0.2">
      <c r="B1078">
        <v>100</v>
      </c>
      <c r="C1078">
        <v>6</v>
      </c>
      <c r="D1078">
        <v>3.15</v>
      </c>
      <c r="E1078">
        <v>1.55</v>
      </c>
      <c r="F1078">
        <v>3.15</v>
      </c>
      <c r="G1078">
        <v>1.55</v>
      </c>
      <c r="H1078">
        <v>3.5767E-2</v>
      </c>
      <c r="I1078">
        <v>1.0228798740157479</v>
      </c>
      <c r="J1078">
        <v>0.23558202098425218</v>
      </c>
      <c r="K1078">
        <v>1.2584618949999999</v>
      </c>
      <c r="L1078">
        <v>4.3419267299864268</v>
      </c>
    </row>
    <row r="1079" spans="1:14" x14ac:dyDescent="0.2">
      <c r="A1079">
        <v>489088</v>
      </c>
      <c r="B1079">
        <v>100</v>
      </c>
      <c r="C1079">
        <v>8</v>
      </c>
      <c r="D1079">
        <v>2.9</v>
      </c>
      <c r="E1079">
        <v>2.0499999999999998</v>
      </c>
      <c r="F1079">
        <v>2.9</v>
      </c>
      <c r="G1079">
        <v>2.0499999999999998</v>
      </c>
      <c r="H1079">
        <v>3.8630000000000001E-3</v>
      </c>
      <c r="I1079">
        <v>5.8690224409448828E-2</v>
      </c>
      <c r="J1079">
        <v>0.12107448059055116</v>
      </c>
      <c r="K1079">
        <v>0.179764705</v>
      </c>
      <c r="L1079">
        <v>0.4847447961220418</v>
      </c>
      <c r="M1079">
        <v>6.3868773622047251E-2</v>
      </c>
      <c r="N1079">
        <v>0.12904944637795276</v>
      </c>
    </row>
    <row r="1080" spans="1:14" x14ac:dyDescent="0.2">
      <c r="B1080">
        <v>100</v>
      </c>
      <c r="C1080">
        <v>8</v>
      </c>
      <c r="D1080">
        <v>3.35</v>
      </c>
      <c r="E1080">
        <v>2.35</v>
      </c>
      <c r="F1080">
        <v>3.35</v>
      </c>
      <c r="G1080">
        <v>2.35</v>
      </c>
      <c r="H1080">
        <v>3.8630000000000001E-3</v>
      </c>
      <c r="I1080">
        <v>6.904732283464568E-2</v>
      </c>
      <c r="J1080">
        <v>0.13702441216535435</v>
      </c>
      <c r="K1080">
        <v>0.20607173500000003</v>
      </c>
      <c r="L1080">
        <v>0.5039052658100277</v>
      </c>
    </row>
    <row r="1081" spans="1:14" x14ac:dyDescent="0.2">
      <c r="A1081">
        <v>489089</v>
      </c>
      <c r="B1081">
        <v>100</v>
      </c>
      <c r="C1081">
        <v>8</v>
      </c>
      <c r="D1081">
        <v>2.6</v>
      </c>
      <c r="E1081">
        <v>1.8</v>
      </c>
      <c r="F1081">
        <v>2.6</v>
      </c>
      <c r="G1081">
        <v>1.8</v>
      </c>
      <c r="H1081">
        <v>3.8630000000000001E-3</v>
      </c>
      <c r="I1081">
        <v>5.5237858267716537E-2</v>
      </c>
      <c r="J1081">
        <v>0.10260432173228348</v>
      </c>
      <c r="K1081">
        <v>0.15784218000000003</v>
      </c>
      <c r="L1081">
        <v>0.53835800807537004</v>
      </c>
      <c r="M1081">
        <v>5.5237858267716544E-2</v>
      </c>
      <c r="N1081">
        <v>0.10698882673228348</v>
      </c>
    </row>
    <row r="1082" spans="1:14" x14ac:dyDescent="0.2">
      <c r="B1082">
        <v>100</v>
      </c>
      <c r="C1082">
        <v>8</v>
      </c>
      <c r="D1082">
        <v>2.7</v>
      </c>
      <c r="E1082">
        <v>1.9</v>
      </c>
      <c r="F1082">
        <v>2.7</v>
      </c>
      <c r="G1082">
        <v>1.9</v>
      </c>
      <c r="H1082">
        <v>3.8630000000000001E-3</v>
      </c>
      <c r="I1082">
        <v>5.5237858267716551E-2</v>
      </c>
      <c r="J1082">
        <v>0.11137333173228348</v>
      </c>
      <c r="K1082">
        <v>0.16661119000000002</v>
      </c>
      <c r="L1082">
        <v>0.49597024178549298</v>
      </c>
    </row>
    <row r="1083" spans="1:14" x14ac:dyDescent="0.2">
      <c r="A1083">
        <v>489090</v>
      </c>
      <c r="B1083">
        <v>100</v>
      </c>
      <c r="C1083">
        <v>8</v>
      </c>
      <c r="D1083">
        <v>4.45</v>
      </c>
      <c r="E1083">
        <v>3</v>
      </c>
      <c r="F1083">
        <v>4.45</v>
      </c>
      <c r="G1083">
        <v>3</v>
      </c>
      <c r="H1083">
        <v>3.8630000000000001E-3</v>
      </c>
      <c r="I1083">
        <v>0.10011861811023623</v>
      </c>
      <c r="J1083">
        <v>0.16295168188976375</v>
      </c>
      <c r="K1083">
        <v>0.26307029999999998</v>
      </c>
      <c r="L1083">
        <v>0.61440677966101709</v>
      </c>
      <c r="M1083">
        <v>9.8392435039370063E-2</v>
      </c>
      <c r="N1083">
        <v>0.18440813746062992</v>
      </c>
    </row>
    <row r="1084" spans="1:14" x14ac:dyDescent="0.2">
      <c r="B1084">
        <v>100</v>
      </c>
      <c r="C1084">
        <v>8</v>
      </c>
      <c r="D1084">
        <v>4.8499999999999996</v>
      </c>
      <c r="E1084">
        <v>3.45</v>
      </c>
      <c r="F1084">
        <v>4.8499999999999996</v>
      </c>
      <c r="G1084">
        <v>3.45</v>
      </c>
      <c r="H1084">
        <v>3.8630000000000001E-3</v>
      </c>
      <c r="I1084">
        <v>9.6666251968503897E-2</v>
      </c>
      <c r="J1084">
        <v>0.2058645930314961</v>
      </c>
      <c r="K1084">
        <v>0.30253084499999999</v>
      </c>
      <c r="L1084">
        <v>0.4695623008552739</v>
      </c>
    </row>
    <row r="1085" spans="1:14" x14ac:dyDescent="0.2">
      <c r="A1085">
        <v>489091</v>
      </c>
      <c r="B1085">
        <v>100</v>
      </c>
      <c r="C1085">
        <v>8</v>
      </c>
      <c r="D1085">
        <v>4.75</v>
      </c>
      <c r="E1085">
        <v>3.2</v>
      </c>
      <c r="F1085">
        <v>4.75</v>
      </c>
      <c r="G1085">
        <v>3.2</v>
      </c>
      <c r="H1085">
        <v>3.8630000000000001E-3</v>
      </c>
      <c r="I1085">
        <v>0.10702335039370078</v>
      </c>
      <c r="J1085">
        <v>0.17358496960629929</v>
      </c>
      <c r="K1085">
        <v>0.28060832000000008</v>
      </c>
      <c r="L1085">
        <v>0.61654733492442293</v>
      </c>
      <c r="M1085">
        <v>0.11047571653543306</v>
      </c>
      <c r="N1085">
        <v>0.17890161346456701</v>
      </c>
    </row>
    <row r="1086" spans="1:14" x14ac:dyDescent="0.2">
      <c r="B1086">
        <v>100</v>
      </c>
      <c r="C1086">
        <v>8</v>
      </c>
      <c r="D1086">
        <v>5.05</v>
      </c>
      <c r="E1086">
        <v>3.4</v>
      </c>
      <c r="F1086">
        <v>5.05</v>
      </c>
      <c r="G1086">
        <v>3.4</v>
      </c>
      <c r="H1086">
        <v>3.8630000000000001E-3</v>
      </c>
      <c r="I1086">
        <v>0.11392808267716535</v>
      </c>
      <c r="J1086">
        <v>0.1842182573228347</v>
      </c>
      <c r="K1086">
        <v>0.29814634000000007</v>
      </c>
      <c r="L1086">
        <v>0.61844077961019472</v>
      </c>
    </row>
    <row r="1087" spans="1:14" x14ac:dyDescent="0.2">
      <c r="A1087">
        <v>489092</v>
      </c>
      <c r="B1087">
        <v>100</v>
      </c>
      <c r="C1087">
        <v>8</v>
      </c>
      <c r="D1087">
        <v>6.65</v>
      </c>
      <c r="E1087">
        <v>4</v>
      </c>
      <c r="F1087">
        <v>6.65</v>
      </c>
      <c r="G1087">
        <v>4</v>
      </c>
      <c r="H1087">
        <v>3.8630000000000001E-3</v>
      </c>
      <c r="I1087">
        <v>0.18297540551181105</v>
      </c>
      <c r="J1087">
        <v>0.16778499448818901</v>
      </c>
      <c r="K1087">
        <v>0.35076040000000008</v>
      </c>
      <c r="L1087">
        <v>1.0905349794238681</v>
      </c>
      <c r="M1087">
        <v>0.18815395472440949</v>
      </c>
      <c r="N1087">
        <v>0.16699095027559052</v>
      </c>
    </row>
    <row r="1088" spans="1:14" x14ac:dyDescent="0.2">
      <c r="B1088">
        <v>100</v>
      </c>
      <c r="C1088">
        <v>8</v>
      </c>
      <c r="D1088">
        <v>6.9</v>
      </c>
      <c r="E1088">
        <v>4.0999999999999996</v>
      </c>
      <c r="F1088">
        <v>6.9</v>
      </c>
      <c r="G1088">
        <v>4.0999999999999996</v>
      </c>
      <c r="H1088">
        <v>3.8630000000000001E-3</v>
      </c>
      <c r="I1088">
        <v>0.19333250393700793</v>
      </c>
      <c r="J1088">
        <v>0.16619690606299206</v>
      </c>
      <c r="K1088">
        <v>0.35952940999999999</v>
      </c>
      <c r="L1088">
        <v>1.1632737847943506</v>
      </c>
    </row>
    <row r="1089" spans="1:14" x14ac:dyDescent="0.2">
      <c r="A1089">
        <v>489093</v>
      </c>
      <c r="B1089">
        <v>100</v>
      </c>
      <c r="C1089">
        <v>7</v>
      </c>
      <c r="D1089">
        <v>3.85</v>
      </c>
      <c r="E1089">
        <v>2.2999999999999998</v>
      </c>
      <c r="F1089">
        <v>3.85</v>
      </c>
      <c r="G1089">
        <v>2.2999999999999998</v>
      </c>
      <c r="H1089">
        <v>9.7450000000000002E-3</v>
      </c>
      <c r="I1089">
        <v>0.26998253937007882</v>
      </c>
      <c r="J1089">
        <v>0.2388039106299211</v>
      </c>
      <c r="K1089">
        <v>0.50878644999999989</v>
      </c>
      <c r="L1089">
        <v>1.1305616338439106</v>
      </c>
      <c r="M1089">
        <v>0.27433709645669296</v>
      </c>
      <c r="N1089">
        <v>0.245509928543307</v>
      </c>
    </row>
    <row r="1090" spans="1:14" x14ac:dyDescent="0.2">
      <c r="B1090">
        <v>100</v>
      </c>
      <c r="C1090">
        <v>7</v>
      </c>
      <c r="D1090">
        <v>4</v>
      </c>
      <c r="E1090">
        <v>2.4</v>
      </c>
      <c r="F1090">
        <v>4</v>
      </c>
      <c r="G1090">
        <v>2.4</v>
      </c>
      <c r="H1090">
        <v>9.7450000000000002E-3</v>
      </c>
      <c r="I1090">
        <v>0.27869165354330711</v>
      </c>
      <c r="J1090">
        <v>0.25221594645669293</v>
      </c>
      <c r="K1090">
        <v>0.53090760000000004</v>
      </c>
      <c r="L1090">
        <v>1.1049723756906078</v>
      </c>
    </row>
    <row r="1091" spans="1:14" x14ac:dyDescent="0.2">
      <c r="A1091">
        <v>489094</v>
      </c>
      <c r="B1091">
        <v>100</v>
      </c>
      <c r="C1091">
        <v>6</v>
      </c>
      <c r="D1091">
        <v>2.65</v>
      </c>
      <c r="E1091">
        <v>1.35</v>
      </c>
      <c r="F1091">
        <v>2.65</v>
      </c>
      <c r="G1091">
        <v>1.35</v>
      </c>
      <c r="H1091">
        <v>3.5767E-2</v>
      </c>
      <c r="I1091">
        <v>0.83108989763779517</v>
      </c>
      <c r="J1091">
        <v>0.26498981736220484</v>
      </c>
      <c r="K1091">
        <v>1.0960797150000001</v>
      </c>
      <c r="L1091">
        <v>3.1363088057901067</v>
      </c>
      <c r="M1091">
        <v>0.83108989763779517</v>
      </c>
      <c r="N1091">
        <v>0.26498981736220484</v>
      </c>
    </row>
    <row r="1092" spans="1:14" x14ac:dyDescent="0.2">
      <c r="B1092">
        <v>100</v>
      </c>
      <c r="C1092">
        <v>6</v>
      </c>
      <c r="D1092">
        <v>2.65</v>
      </c>
      <c r="E1092">
        <v>1.35</v>
      </c>
      <c r="F1092">
        <v>2.65</v>
      </c>
      <c r="G1092">
        <v>1.35</v>
      </c>
      <c r="H1092">
        <v>3.5767E-2</v>
      </c>
      <c r="I1092">
        <v>0.83108989763779517</v>
      </c>
      <c r="J1092">
        <v>0.26498981736220484</v>
      </c>
      <c r="K1092">
        <v>1.0960797150000001</v>
      </c>
      <c r="L1092">
        <v>3.1363088057901067</v>
      </c>
    </row>
    <row r="1093" spans="1:14" x14ac:dyDescent="0.2">
      <c r="A1093">
        <v>489095</v>
      </c>
      <c r="B1093">
        <v>100</v>
      </c>
      <c r="C1093">
        <v>6</v>
      </c>
      <c r="D1093">
        <v>2.4</v>
      </c>
      <c r="E1093">
        <v>1.25</v>
      </c>
      <c r="F1093">
        <v>2.4</v>
      </c>
      <c r="G1093">
        <v>1.25</v>
      </c>
      <c r="H1093">
        <v>3.5767E-2</v>
      </c>
      <c r="I1093">
        <v>0.73519490944881893</v>
      </c>
      <c r="J1093">
        <v>0.27969371555118133</v>
      </c>
      <c r="K1093">
        <v>1.0148886250000002</v>
      </c>
      <c r="L1093">
        <v>2.6285714285714263</v>
      </c>
      <c r="M1093">
        <v>0.75117740748031492</v>
      </c>
      <c r="N1093">
        <v>0.28400899001968516</v>
      </c>
    </row>
    <row r="1094" spans="1:14" x14ac:dyDescent="0.2">
      <c r="B1094">
        <v>100</v>
      </c>
      <c r="C1094">
        <v>6</v>
      </c>
      <c r="D1094">
        <v>2.5</v>
      </c>
      <c r="E1094">
        <v>1.3</v>
      </c>
      <c r="F1094">
        <v>2.5</v>
      </c>
      <c r="G1094">
        <v>1.3</v>
      </c>
      <c r="H1094">
        <v>3.5767E-2</v>
      </c>
      <c r="I1094">
        <v>0.7671599055118109</v>
      </c>
      <c r="J1094">
        <v>0.28832426448818893</v>
      </c>
      <c r="K1094">
        <v>1.0554841699999997</v>
      </c>
      <c r="L1094">
        <v>2.6607538802660753</v>
      </c>
    </row>
    <row r="1095" spans="1:14" x14ac:dyDescent="0.2">
      <c r="A1095">
        <v>489096</v>
      </c>
      <c r="B1095">
        <v>100</v>
      </c>
      <c r="C1095">
        <v>8</v>
      </c>
      <c r="D1095">
        <v>2.65</v>
      </c>
      <c r="E1095">
        <v>2</v>
      </c>
      <c r="F1095">
        <v>2.65</v>
      </c>
      <c r="G1095">
        <v>2</v>
      </c>
      <c r="H1095">
        <v>3.8630000000000001E-3</v>
      </c>
      <c r="I1095">
        <v>4.4880759842519685E-2</v>
      </c>
      <c r="J1095">
        <v>0.13049944015748033</v>
      </c>
      <c r="K1095">
        <v>0.17538020000000001</v>
      </c>
      <c r="L1095">
        <v>0.3439153439153439</v>
      </c>
      <c r="M1095">
        <v>4.6606942913385838E-2</v>
      </c>
      <c r="N1095">
        <v>0.11342748958661419</v>
      </c>
    </row>
    <row r="1096" spans="1:14" x14ac:dyDescent="0.2">
      <c r="B1096">
        <v>100</v>
      </c>
      <c r="C1096">
        <v>8</v>
      </c>
      <c r="D1096">
        <v>2.35</v>
      </c>
      <c r="E1096">
        <v>1.65</v>
      </c>
      <c r="F1096">
        <v>2.35</v>
      </c>
      <c r="G1096">
        <v>1.65</v>
      </c>
      <c r="H1096">
        <v>3.8630000000000001E-3</v>
      </c>
      <c r="I1096">
        <v>4.8333125984251983E-2</v>
      </c>
      <c r="J1096">
        <v>9.6355539015748046E-2</v>
      </c>
      <c r="K1096">
        <v>0.14468866500000002</v>
      </c>
      <c r="L1096">
        <v>0.50161232533142253</v>
      </c>
    </row>
    <row r="1097" spans="1:14" x14ac:dyDescent="0.2">
      <c r="A1097">
        <v>489097</v>
      </c>
      <c r="B1097">
        <v>100</v>
      </c>
      <c r="C1097">
        <v>8</v>
      </c>
      <c r="D1097">
        <v>3.15</v>
      </c>
      <c r="E1097">
        <v>2.15</v>
      </c>
      <c r="F1097">
        <v>3.15</v>
      </c>
      <c r="G1097">
        <v>2.15</v>
      </c>
      <c r="H1097">
        <v>3.8630000000000001E-3</v>
      </c>
      <c r="I1097">
        <v>6.904732283464568E-2</v>
      </c>
      <c r="J1097">
        <v>0.11948639216535435</v>
      </c>
      <c r="K1097">
        <v>0.18853371500000005</v>
      </c>
      <c r="L1097">
        <v>0.57786766830395841</v>
      </c>
      <c r="M1097">
        <v>7.0773505905511819E-2</v>
      </c>
      <c r="N1097">
        <v>0.11556795659448821</v>
      </c>
    </row>
    <row r="1098" spans="1:14" x14ac:dyDescent="0.2">
      <c r="B1098">
        <v>100</v>
      </c>
      <c r="C1098">
        <v>8</v>
      </c>
      <c r="D1098">
        <v>3.15</v>
      </c>
      <c r="E1098">
        <v>2.1</v>
      </c>
      <c r="F1098">
        <v>3.15</v>
      </c>
      <c r="G1098">
        <v>2.1</v>
      </c>
      <c r="H1098">
        <v>3.8630000000000001E-3</v>
      </c>
      <c r="I1098">
        <v>7.2499688976377943E-2</v>
      </c>
      <c r="J1098">
        <v>0.11164952102362208</v>
      </c>
      <c r="K1098">
        <v>0.18414921000000001</v>
      </c>
      <c r="L1098">
        <v>0.64935064935064912</v>
      </c>
    </row>
    <row r="1099" spans="1:14" x14ac:dyDescent="0.2">
      <c r="A1099">
        <v>489098</v>
      </c>
      <c r="B1099">
        <v>100</v>
      </c>
      <c r="C1099">
        <v>8</v>
      </c>
      <c r="D1099">
        <v>3.1</v>
      </c>
      <c r="E1099">
        <v>2.15</v>
      </c>
      <c r="F1099">
        <v>3.1</v>
      </c>
      <c r="G1099">
        <v>2.15</v>
      </c>
      <c r="H1099">
        <v>3.8630000000000001E-3</v>
      </c>
      <c r="I1099">
        <v>6.5594956692913403E-2</v>
      </c>
      <c r="J1099">
        <v>0.12293875830708662</v>
      </c>
      <c r="K1099">
        <v>0.18853371500000002</v>
      </c>
      <c r="L1099">
        <v>0.53355798932884035</v>
      </c>
      <c r="M1099">
        <v>7.2499688976377957E-2</v>
      </c>
      <c r="N1099">
        <v>0.13137979352362206</v>
      </c>
    </row>
    <row r="1100" spans="1:14" x14ac:dyDescent="0.2">
      <c r="B1100">
        <v>100</v>
      </c>
      <c r="C1100">
        <v>8</v>
      </c>
      <c r="D1100">
        <v>3.65</v>
      </c>
      <c r="E1100">
        <v>2.5</v>
      </c>
      <c r="F1100">
        <v>3.65</v>
      </c>
      <c r="G1100">
        <v>2.5</v>
      </c>
      <c r="H1100">
        <v>3.8630000000000001E-3</v>
      </c>
      <c r="I1100">
        <v>7.9404421259842511E-2</v>
      </c>
      <c r="J1100">
        <v>0.1398208287401575</v>
      </c>
      <c r="K1100">
        <v>0.21922525000000001</v>
      </c>
      <c r="L1100">
        <v>0.56790123456790109</v>
      </c>
    </row>
    <row r="1101" spans="1:14" x14ac:dyDescent="0.2">
      <c r="A1101">
        <v>489099</v>
      </c>
      <c r="B1101">
        <v>100</v>
      </c>
      <c r="C1101">
        <v>8</v>
      </c>
      <c r="D1101">
        <v>5.9</v>
      </c>
      <c r="E1101">
        <v>3.85</v>
      </c>
      <c r="F1101">
        <v>5.9</v>
      </c>
      <c r="G1101">
        <v>3.85</v>
      </c>
      <c r="H1101">
        <v>3.8630000000000001E-3</v>
      </c>
      <c r="I1101">
        <v>0.14154701181102364</v>
      </c>
      <c r="J1101">
        <v>0.19605987318897639</v>
      </c>
      <c r="K1101">
        <v>0.33760688500000002</v>
      </c>
      <c r="L1101">
        <v>0.72195809121324184</v>
      </c>
      <c r="M1101">
        <v>0.14672556102362205</v>
      </c>
      <c r="N1101">
        <v>0.17772780897637794</v>
      </c>
    </row>
    <row r="1102" spans="1:14" x14ac:dyDescent="0.2">
      <c r="B1102">
        <v>100</v>
      </c>
      <c r="C1102">
        <v>8</v>
      </c>
      <c r="D1102">
        <v>5.75</v>
      </c>
      <c r="E1102">
        <v>3.55</v>
      </c>
      <c r="F1102">
        <v>5.75</v>
      </c>
      <c r="G1102">
        <v>3.55</v>
      </c>
      <c r="H1102">
        <v>3.8630000000000001E-3</v>
      </c>
      <c r="I1102">
        <v>0.1519041102362205</v>
      </c>
      <c r="J1102">
        <v>0.15939574476377949</v>
      </c>
      <c r="K1102">
        <v>0.31129985500000001</v>
      </c>
      <c r="L1102">
        <v>0.95299978340914049</v>
      </c>
    </row>
    <row r="1103" spans="1:14" x14ac:dyDescent="0.2">
      <c r="A1103">
        <v>489100</v>
      </c>
      <c r="B1103">
        <v>100</v>
      </c>
      <c r="C1103">
        <v>8</v>
      </c>
      <c r="D1103">
        <v>6.35</v>
      </c>
      <c r="E1103">
        <v>3.8</v>
      </c>
      <c r="F1103">
        <v>6.35</v>
      </c>
      <c r="G1103">
        <v>3.8</v>
      </c>
      <c r="H1103">
        <v>3.8630000000000001E-3</v>
      </c>
      <c r="I1103">
        <v>0.17607067322834646</v>
      </c>
      <c r="J1103">
        <v>0.15715170677165358</v>
      </c>
      <c r="K1103">
        <v>0.33322238000000004</v>
      </c>
      <c r="L1103">
        <v>1.1203866432337433</v>
      </c>
      <c r="M1103">
        <v>0.17261830708661419</v>
      </c>
      <c r="N1103">
        <v>0.16718083041338586</v>
      </c>
    </row>
    <row r="1104" spans="1:14" x14ac:dyDescent="0.2">
      <c r="B1104">
        <v>100</v>
      </c>
      <c r="C1104">
        <v>8</v>
      </c>
      <c r="D1104">
        <v>6.4</v>
      </c>
      <c r="E1104">
        <v>3.95</v>
      </c>
      <c r="F1104">
        <v>6.4</v>
      </c>
      <c r="G1104">
        <v>3.95</v>
      </c>
      <c r="H1104">
        <v>3.8630000000000001E-3</v>
      </c>
      <c r="I1104">
        <v>0.16916594094488194</v>
      </c>
      <c r="J1104">
        <v>0.17720995405511814</v>
      </c>
      <c r="K1104">
        <v>0.3463758950000001</v>
      </c>
      <c r="L1104">
        <v>0.95460744204169112</v>
      </c>
    </row>
    <row r="1105" spans="1:14" x14ac:dyDescent="0.2">
      <c r="A1105">
        <v>489101</v>
      </c>
      <c r="B1105">
        <v>100</v>
      </c>
      <c r="C1105">
        <v>7</v>
      </c>
      <c r="D1105">
        <v>5.75</v>
      </c>
      <c r="E1105">
        <v>3.15</v>
      </c>
      <c r="F1105">
        <v>5.75</v>
      </c>
      <c r="G1105">
        <v>3.15</v>
      </c>
      <c r="H1105">
        <v>9.7450000000000002E-3</v>
      </c>
      <c r="I1105">
        <v>0.45287393700787409</v>
      </c>
      <c r="J1105">
        <v>0.24394228799212592</v>
      </c>
      <c r="K1105">
        <v>0.69681622500000007</v>
      </c>
      <c r="L1105">
        <v>1.8564798286326321</v>
      </c>
      <c r="M1105">
        <v>0.44416482283464565</v>
      </c>
      <c r="N1105">
        <v>0.27477255216535446</v>
      </c>
    </row>
    <row r="1106" spans="1:14" x14ac:dyDescent="0.2">
      <c r="B1106">
        <v>100</v>
      </c>
      <c r="C1106">
        <v>7</v>
      </c>
      <c r="D1106">
        <v>5.85</v>
      </c>
      <c r="E1106">
        <v>3.35</v>
      </c>
      <c r="F1106">
        <v>5.85</v>
      </c>
      <c r="G1106">
        <v>3.35</v>
      </c>
      <c r="H1106">
        <v>9.7450000000000002E-3</v>
      </c>
      <c r="I1106">
        <v>0.43545570866141725</v>
      </c>
      <c r="J1106">
        <v>0.30560281633858305</v>
      </c>
      <c r="K1106">
        <v>0.74105852500000036</v>
      </c>
      <c r="L1106">
        <v>1.4249073810202317</v>
      </c>
    </row>
    <row r="1107" spans="1:14" x14ac:dyDescent="0.2">
      <c r="A1107">
        <v>489102</v>
      </c>
      <c r="B1107">
        <v>100</v>
      </c>
      <c r="C1107">
        <v>7</v>
      </c>
      <c r="D1107">
        <v>7.75</v>
      </c>
      <c r="E1107">
        <v>4.25</v>
      </c>
      <c r="F1107">
        <v>7.75</v>
      </c>
      <c r="G1107">
        <v>4.25</v>
      </c>
      <c r="H1107">
        <v>9.7450000000000002E-3</v>
      </c>
      <c r="I1107">
        <v>0.60963799212598435</v>
      </c>
      <c r="J1107">
        <v>0.3305108828740157</v>
      </c>
      <c r="K1107">
        <v>0.94014887499999999</v>
      </c>
      <c r="L1107">
        <v>1.8445322793148886</v>
      </c>
      <c r="M1107">
        <v>0.61834710629921252</v>
      </c>
      <c r="N1107">
        <v>0.31074119370078751</v>
      </c>
    </row>
    <row r="1108" spans="1:14" x14ac:dyDescent="0.2">
      <c r="B1108">
        <v>100</v>
      </c>
      <c r="C1108">
        <v>7</v>
      </c>
      <c r="D1108">
        <v>7.75</v>
      </c>
      <c r="E1108">
        <v>4.1500000000000004</v>
      </c>
      <c r="F1108">
        <v>7.75</v>
      </c>
      <c r="G1108">
        <v>4.1500000000000004</v>
      </c>
      <c r="H1108">
        <v>9.7450000000000002E-3</v>
      </c>
      <c r="I1108">
        <v>0.62705622047244081</v>
      </c>
      <c r="J1108">
        <v>0.29097150452755932</v>
      </c>
      <c r="K1108">
        <v>0.91802772500000018</v>
      </c>
      <c r="L1108">
        <v>2.1550434001795846</v>
      </c>
    </row>
    <row r="1109" spans="1:14" x14ac:dyDescent="0.2">
      <c r="A1109">
        <v>489103</v>
      </c>
      <c r="B1109">
        <v>100</v>
      </c>
      <c r="C1109">
        <v>7</v>
      </c>
      <c r="D1109">
        <v>7.15</v>
      </c>
      <c r="E1109">
        <v>3.85</v>
      </c>
      <c r="F1109">
        <v>7.15</v>
      </c>
      <c r="G1109">
        <v>3.85</v>
      </c>
      <c r="H1109">
        <v>9.7450000000000002E-3</v>
      </c>
      <c r="I1109">
        <v>0.57480153543307089</v>
      </c>
      <c r="J1109">
        <v>0.27686273956692914</v>
      </c>
      <c r="K1109">
        <v>0.85166427500000008</v>
      </c>
      <c r="L1109">
        <v>2.0761245674740483</v>
      </c>
      <c r="M1109">
        <v>0.60092887795275585</v>
      </c>
      <c r="N1109">
        <v>0.28391712204724423</v>
      </c>
    </row>
    <row r="1110" spans="1:14" x14ac:dyDescent="0.2">
      <c r="B1110">
        <v>100</v>
      </c>
      <c r="C1110">
        <v>7</v>
      </c>
      <c r="D1110">
        <v>7.75</v>
      </c>
      <c r="E1110">
        <v>4.1500000000000004</v>
      </c>
      <c r="F1110">
        <v>7.75</v>
      </c>
      <c r="G1110">
        <v>4.1500000000000004</v>
      </c>
      <c r="H1110">
        <v>9.7450000000000002E-3</v>
      </c>
      <c r="I1110">
        <v>0.62705622047244081</v>
      </c>
      <c r="J1110">
        <v>0.29097150452755932</v>
      </c>
      <c r="K1110">
        <v>0.91802772500000018</v>
      </c>
      <c r="L1110">
        <v>2.1550434001795846</v>
      </c>
    </row>
    <row r="1111" spans="1:14" x14ac:dyDescent="0.2">
      <c r="A1111">
        <v>489106</v>
      </c>
      <c r="B1111">
        <v>100</v>
      </c>
      <c r="C1111">
        <v>8</v>
      </c>
      <c r="D1111">
        <v>1.35</v>
      </c>
      <c r="E1111">
        <v>1.05</v>
      </c>
      <c r="F1111">
        <v>1.35</v>
      </c>
      <c r="G1111">
        <v>1.05</v>
      </c>
      <c r="H1111">
        <v>3.8630000000000001E-3</v>
      </c>
      <c r="I1111">
        <v>2.0714196850393704E-2</v>
      </c>
      <c r="J1111">
        <v>7.1360408149606314E-2</v>
      </c>
      <c r="K1111">
        <v>9.2074605000000018E-2</v>
      </c>
      <c r="L1111">
        <v>0.29027576197387517</v>
      </c>
      <c r="M1111">
        <v>2.0714196850393704E-2</v>
      </c>
      <c r="N1111">
        <v>6.6975903149606303E-2</v>
      </c>
    </row>
    <row r="1112" spans="1:14" x14ac:dyDescent="0.2">
      <c r="B1112">
        <v>100</v>
      </c>
      <c r="C1112">
        <v>8</v>
      </c>
      <c r="D1112">
        <v>1.25</v>
      </c>
      <c r="E1112">
        <v>0.95</v>
      </c>
      <c r="F1112">
        <v>1.25</v>
      </c>
      <c r="G1112">
        <v>0.95</v>
      </c>
      <c r="H1112">
        <v>3.8630000000000001E-3</v>
      </c>
      <c r="I1112">
        <v>2.0714196850393704E-2</v>
      </c>
      <c r="J1112">
        <v>6.2591398149606292E-2</v>
      </c>
      <c r="K1112">
        <v>8.3305594999999996E-2</v>
      </c>
      <c r="L1112">
        <v>0.33094318808604534</v>
      </c>
    </row>
    <row r="1113" spans="1:14" x14ac:dyDescent="0.2">
      <c r="A1113">
        <v>489107</v>
      </c>
      <c r="B1113">
        <v>100</v>
      </c>
      <c r="C1113">
        <v>8</v>
      </c>
      <c r="D1113">
        <v>1.65</v>
      </c>
      <c r="E1113">
        <v>1.2</v>
      </c>
      <c r="F1113">
        <v>1.65</v>
      </c>
      <c r="G1113">
        <v>1.2</v>
      </c>
      <c r="H1113">
        <v>3.8630000000000001E-3</v>
      </c>
      <c r="I1113">
        <v>3.1071295275590546E-2</v>
      </c>
      <c r="J1113">
        <v>7.4156824724409431E-2</v>
      </c>
      <c r="K1113">
        <v>0.10522811999999998</v>
      </c>
      <c r="L1113">
        <v>0.41899441340782123</v>
      </c>
      <c r="M1113">
        <v>3.1071295275590546E-2</v>
      </c>
      <c r="N1113">
        <v>7.4156824724409431E-2</v>
      </c>
    </row>
    <row r="1114" spans="1:14" x14ac:dyDescent="0.2">
      <c r="B1114">
        <v>100</v>
      </c>
      <c r="C1114">
        <v>8</v>
      </c>
      <c r="D1114">
        <v>1.65</v>
      </c>
      <c r="E1114">
        <v>1.2</v>
      </c>
      <c r="F1114">
        <v>1.65</v>
      </c>
      <c r="G1114">
        <v>1.2</v>
      </c>
      <c r="H1114">
        <v>3.8630000000000001E-3</v>
      </c>
      <c r="I1114">
        <v>3.1071295275590546E-2</v>
      </c>
      <c r="J1114">
        <v>7.4156824724409431E-2</v>
      </c>
      <c r="K1114">
        <v>0.10522811999999998</v>
      </c>
      <c r="L1114">
        <v>0.41899441340782123</v>
      </c>
    </row>
    <row r="1115" spans="1:14" x14ac:dyDescent="0.2">
      <c r="A1115">
        <v>489108</v>
      </c>
      <c r="B1115">
        <v>100</v>
      </c>
      <c r="C1115">
        <v>8</v>
      </c>
      <c r="D1115">
        <v>2.5</v>
      </c>
      <c r="E1115">
        <v>1.8</v>
      </c>
      <c r="F1115">
        <v>2.5</v>
      </c>
      <c r="G1115">
        <v>1.8</v>
      </c>
      <c r="H1115">
        <v>3.8630000000000001E-3</v>
      </c>
      <c r="I1115">
        <v>4.8333125984251969E-2</v>
      </c>
      <c r="J1115">
        <v>0.10950905401574804</v>
      </c>
      <c r="K1115">
        <v>0.15784218</v>
      </c>
      <c r="L1115">
        <v>0.44136191677175285</v>
      </c>
      <c r="M1115">
        <v>4.3154576771653547E-2</v>
      </c>
      <c r="N1115">
        <v>0.12126436072834644</v>
      </c>
    </row>
    <row r="1116" spans="1:14" x14ac:dyDescent="0.2">
      <c r="B1116">
        <v>100</v>
      </c>
      <c r="C1116">
        <v>8</v>
      </c>
      <c r="D1116">
        <v>2.5</v>
      </c>
      <c r="E1116">
        <v>1.95</v>
      </c>
      <c r="F1116">
        <v>2.5</v>
      </c>
      <c r="G1116">
        <v>1.95</v>
      </c>
      <c r="H1116">
        <v>3.8630000000000001E-3</v>
      </c>
      <c r="I1116">
        <v>3.7976027559055124E-2</v>
      </c>
      <c r="J1116">
        <v>0.13301966744094484</v>
      </c>
      <c r="K1116">
        <v>0.17099569499999998</v>
      </c>
      <c r="L1116">
        <v>0.28549182455229705</v>
      </c>
    </row>
    <row r="1117" spans="1:14" x14ac:dyDescent="0.2">
      <c r="A1117">
        <v>489109</v>
      </c>
      <c r="B1117">
        <v>100</v>
      </c>
      <c r="C1117">
        <v>8</v>
      </c>
      <c r="D1117">
        <v>3</v>
      </c>
      <c r="E1117">
        <v>2.1</v>
      </c>
      <c r="F1117">
        <v>3</v>
      </c>
      <c r="G1117">
        <v>2.1</v>
      </c>
      <c r="H1117">
        <v>3.8630000000000001E-3</v>
      </c>
      <c r="I1117">
        <v>6.2142590551181091E-2</v>
      </c>
      <c r="J1117">
        <v>0.12200661944881891</v>
      </c>
      <c r="K1117">
        <v>0.18414921000000001</v>
      </c>
      <c r="L1117">
        <v>0.50933786078098453</v>
      </c>
      <c r="M1117">
        <v>6.2142590551181091E-2</v>
      </c>
      <c r="N1117">
        <v>0.12200661944881891</v>
      </c>
    </row>
    <row r="1118" spans="1:14" x14ac:dyDescent="0.2">
      <c r="B1118">
        <v>100</v>
      </c>
      <c r="C1118">
        <v>8</v>
      </c>
      <c r="D1118">
        <v>3</v>
      </c>
      <c r="E1118">
        <v>2.1</v>
      </c>
      <c r="F1118">
        <v>3</v>
      </c>
      <c r="G1118">
        <v>2.1</v>
      </c>
      <c r="H1118">
        <v>3.8630000000000001E-3</v>
      </c>
      <c r="I1118">
        <v>6.2142590551181091E-2</v>
      </c>
      <c r="J1118">
        <v>0.12200661944881891</v>
      </c>
      <c r="K1118">
        <v>0.18414921000000001</v>
      </c>
      <c r="L1118">
        <v>0.50933786078098453</v>
      </c>
    </row>
    <row r="1119" spans="1:14" x14ac:dyDescent="0.2">
      <c r="A1119">
        <v>489110</v>
      </c>
      <c r="B1119">
        <v>100</v>
      </c>
      <c r="C1119">
        <v>8</v>
      </c>
      <c r="D1119">
        <v>2.5</v>
      </c>
      <c r="E1119">
        <v>1.8</v>
      </c>
      <c r="F1119">
        <v>2.5</v>
      </c>
      <c r="G1119">
        <v>1.8</v>
      </c>
      <c r="H1119">
        <v>3.8630000000000001E-3</v>
      </c>
      <c r="I1119">
        <v>4.8333125984251969E-2</v>
      </c>
      <c r="J1119">
        <v>0.10950905401574804</v>
      </c>
      <c r="K1119">
        <v>0.15784218</v>
      </c>
      <c r="L1119">
        <v>0.44136191677175285</v>
      </c>
      <c r="M1119">
        <v>5.6964041338582683E-2</v>
      </c>
      <c r="N1119">
        <v>0.10526264366141733</v>
      </c>
    </row>
    <row r="1120" spans="1:14" x14ac:dyDescent="0.2">
      <c r="B1120">
        <v>100</v>
      </c>
      <c r="C1120">
        <v>8</v>
      </c>
      <c r="D1120">
        <v>2.85</v>
      </c>
      <c r="E1120">
        <v>1.9</v>
      </c>
      <c r="F1120">
        <v>2.85</v>
      </c>
      <c r="G1120">
        <v>1.9</v>
      </c>
      <c r="H1120">
        <v>3.8630000000000001E-3</v>
      </c>
      <c r="I1120">
        <v>6.5594956692913403E-2</v>
      </c>
      <c r="J1120">
        <v>0.10101623330708662</v>
      </c>
      <c r="K1120">
        <v>0.16661119000000002</v>
      </c>
      <c r="L1120">
        <v>0.64935064935064946</v>
      </c>
    </row>
    <row r="1121" spans="1:14" x14ac:dyDescent="0.2">
      <c r="A1121">
        <v>489111</v>
      </c>
      <c r="B1121">
        <v>100</v>
      </c>
      <c r="C1121">
        <v>8</v>
      </c>
      <c r="D1121">
        <v>4.2</v>
      </c>
      <c r="E1121">
        <v>2.75</v>
      </c>
      <c r="F1121">
        <v>4.2</v>
      </c>
      <c r="G1121">
        <v>2.75</v>
      </c>
      <c r="H1121">
        <v>3.8630000000000001E-3</v>
      </c>
      <c r="I1121">
        <v>0.10011861811023623</v>
      </c>
      <c r="J1121">
        <v>0.14102915688976378</v>
      </c>
      <c r="K1121">
        <v>0.24114777500000001</v>
      </c>
      <c r="L1121">
        <v>0.70991432068543459</v>
      </c>
      <c r="M1121">
        <v>0.10011861811023623</v>
      </c>
      <c r="N1121">
        <v>0.14102915688976378</v>
      </c>
    </row>
    <row r="1122" spans="1:14" x14ac:dyDescent="0.2">
      <c r="B1122">
        <v>100</v>
      </c>
      <c r="C1122">
        <v>8</v>
      </c>
      <c r="D1122">
        <v>4.2</v>
      </c>
      <c r="E1122">
        <v>2.75</v>
      </c>
      <c r="F1122">
        <v>4.2</v>
      </c>
      <c r="G1122">
        <v>2.75</v>
      </c>
      <c r="H1122">
        <v>3.8630000000000001E-3</v>
      </c>
      <c r="I1122">
        <v>0.10011861811023623</v>
      </c>
      <c r="J1122">
        <v>0.14102915688976378</v>
      </c>
      <c r="K1122">
        <v>0.24114777500000001</v>
      </c>
      <c r="L1122">
        <v>0.70991432068543459</v>
      </c>
    </row>
    <row r="1123" spans="1:14" x14ac:dyDescent="0.2">
      <c r="A1123">
        <v>489112</v>
      </c>
      <c r="B1123">
        <v>100</v>
      </c>
      <c r="C1123">
        <v>8</v>
      </c>
      <c r="D1123">
        <v>6.6</v>
      </c>
      <c r="E1123">
        <v>4.05</v>
      </c>
      <c r="F1123">
        <v>6.6</v>
      </c>
      <c r="G1123">
        <v>4.05</v>
      </c>
      <c r="H1123">
        <v>3.8630000000000001E-3</v>
      </c>
      <c r="I1123">
        <v>0.17607067322834646</v>
      </c>
      <c r="J1123">
        <v>0.17907423177165352</v>
      </c>
      <c r="K1123">
        <v>0.35514490499999996</v>
      </c>
      <c r="L1123">
        <v>0.98322729901677286</v>
      </c>
      <c r="M1123">
        <v>0.16571357480314963</v>
      </c>
      <c r="N1123">
        <v>0.17408556269685041</v>
      </c>
    </row>
    <row r="1124" spans="1:14" x14ac:dyDescent="0.2">
      <c r="B1124">
        <v>100</v>
      </c>
      <c r="C1124">
        <v>8</v>
      </c>
      <c r="D1124">
        <v>5.95</v>
      </c>
      <c r="E1124">
        <v>3.7</v>
      </c>
      <c r="F1124">
        <v>5.95</v>
      </c>
      <c r="G1124">
        <v>3.7</v>
      </c>
      <c r="H1124">
        <v>3.8630000000000001E-3</v>
      </c>
      <c r="I1124">
        <v>0.15535647637795277</v>
      </c>
      <c r="J1124">
        <v>0.1690968936220473</v>
      </c>
      <c r="K1124">
        <v>0.32445337000000007</v>
      </c>
      <c r="L1124">
        <v>0.91874234381380138</v>
      </c>
    </row>
    <row r="1125" spans="1:14" x14ac:dyDescent="0.2">
      <c r="A1125">
        <v>489113</v>
      </c>
      <c r="B1125">
        <v>100</v>
      </c>
      <c r="C1125">
        <v>6</v>
      </c>
      <c r="D1125">
        <v>5.95</v>
      </c>
      <c r="E1125">
        <v>2.85</v>
      </c>
      <c r="F1125">
        <v>5.95</v>
      </c>
      <c r="G1125">
        <v>2.85</v>
      </c>
      <c r="H1125">
        <v>3.5767E-2</v>
      </c>
      <c r="I1125">
        <v>1.981829755905512</v>
      </c>
      <c r="J1125">
        <v>0.33211630909448858</v>
      </c>
      <c r="K1125">
        <v>2.3139460650000006</v>
      </c>
      <c r="L1125">
        <v>5.9672762271414754</v>
      </c>
      <c r="M1125">
        <v>1.9658472578740158</v>
      </c>
      <c r="N1125">
        <v>0.32780103462598464</v>
      </c>
    </row>
    <row r="1126" spans="1:14" x14ac:dyDescent="0.2">
      <c r="B1126">
        <v>100</v>
      </c>
      <c r="C1126">
        <v>6</v>
      </c>
      <c r="D1126">
        <v>5.85</v>
      </c>
      <c r="E1126">
        <v>2.8</v>
      </c>
      <c r="F1126">
        <v>5.85</v>
      </c>
      <c r="G1126">
        <v>2.8</v>
      </c>
      <c r="H1126">
        <v>3.5767E-2</v>
      </c>
      <c r="I1126">
        <v>1.9498647598425196</v>
      </c>
      <c r="J1126">
        <v>0.32348576015748071</v>
      </c>
      <c r="K1126">
        <v>2.2733505200000002</v>
      </c>
      <c r="L1126">
        <v>6.0276679841897156</v>
      </c>
    </row>
    <row r="1127" spans="1:14" x14ac:dyDescent="0.2">
      <c r="A1127">
        <v>489114</v>
      </c>
      <c r="B1127">
        <v>100</v>
      </c>
      <c r="C1127">
        <v>6</v>
      </c>
      <c r="D1127">
        <v>6.15</v>
      </c>
      <c r="E1127">
        <v>3</v>
      </c>
      <c r="F1127">
        <v>6.15</v>
      </c>
      <c r="G1127">
        <v>3</v>
      </c>
      <c r="H1127">
        <v>3.5767E-2</v>
      </c>
      <c r="I1127">
        <v>2.0137947519685042</v>
      </c>
      <c r="J1127">
        <v>0.42193794803149531</v>
      </c>
      <c r="K1127">
        <v>2.4357326999999995</v>
      </c>
      <c r="L1127">
        <v>4.7727272727272823</v>
      </c>
      <c r="M1127">
        <v>1.9818297559055118</v>
      </c>
      <c r="N1127">
        <v>0.43360517159448819</v>
      </c>
    </row>
    <row r="1128" spans="1:14" x14ac:dyDescent="0.2">
      <c r="B1128">
        <v>100</v>
      </c>
      <c r="C1128">
        <v>6</v>
      </c>
      <c r="D1128">
        <v>6</v>
      </c>
      <c r="E1128">
        <v>2.95</v>
      </c>
      <c r="F1128">
        <v>6</v>
      </c>
      <c r="G1128">
        <v>2.95</v>
      </c>
      <c r="H1128">
        <v>3.5767E-2</v>
      </c>
      <c r="I1128">
        <v>1.9498647598425196</v>
      </c>
      <c r="J1128">
        <v>0.44527239515748107</v>
      </c>
      <c r="K1128">
        <v>2.3951371550000005</v>
      </c>
      <c r="L1128">
        <v>4.3790380473797486</v>
      </c>
    </row>
    <row r="1129" spans="1:14" x14ac:dyDescent="0.2">
      <c r="A1129">
        <v>489119</v>
      </c>
      <c r="B1129">
        <v>100</v>
      </c>
      <c r="C1129">
        <v>8</v>
      </c>
      <c r="D1129">
        <v>1.35</v>
      </c>
      <c r="E1129">
        <v>0.95</v>
      </c>
      <c r="F1129">
        <v>1.35</v>
      </c>
      <c r="G1129">
        <v>0.95</v>
      </c>
      <c r="H1129">
        <v>3.8630000000000001E-3</v>
      </c>
      <c r="I1129">
        <v>2.7618929133858276E-2</v>
      </c>
      <c r="J1129">
        <v>5.5686665866141738E-2</v>
      </c>
      <c r="K1129">
        <v>8.330559500000001E-2</v>
      </c>
      <c r="L1129">
        <v>0.49597024178549298</v>
      </c>
      <c r="M1129">
        <v>2.9345112204724411E-2</v>
      </c>
      <c r="N1129">
        <v>5.8344987795275596E-2</v>
      </c>
    </row>
    <row r="1130" spans="1:14" x14ac:dyDescent="0.2">
      <c r="B1130">
        <v>100</v>
      </c>
      <c r="C1130">
        <v>8</v>
      </c>
      <c r="D1130">
        <v>1.5</v>
      </c>
      <c r="E1130">
        <v>1.05</v>
      </c>
      <c r="F1130">
        <v>1.5</v>
      </c>
      <c r="G1130">
        <v>1.05</v>
      </c>
      <c r="H1130">
        <v>3.8630000000000001E-3</v>
      </c>
      <c r="I1130">
        <v>3.1071295275590546E-2</v>
      </c>
      <c r="J1130">
        <v>6.1003309724409455E-2</v>
      </c>
      <c r="K1130">
        <v>9.2074605000000004E-2</v>
      </c>
      <c r="L1130">
        <v>0.50933786078098453</v>
      </c>
    </row>
    <row r="1131" spans="1:14" x14ac:dyDescent="0.2">
      <c r="A1131">
        <v>489120</v>
      </c>
      <c r="B1131">
        <v>100</v>
      </c>
      <c r="C1131">
        <v>8</v>
      </c>
      <c r="D1131">
        <v>2.0499999999999998</v>
      </c>
      <c r="E1131">
        <v>1.5</v>
      </c>
      <c r="F1131">
        <v>2.0499999999999998</v>
      </c>
      <c r="G1131">
        <v>1.5</v>
      </c>
      <c r="H1131">
        <v>3.8630000000000001E-3</v>
      </c>
      <c r="I1131">
        <v>3.7976027559055103E-2</v>
      </c>
      <c r="J1131">
        <v>9.3559122440944886E-2</v>
      </c>
      <c r="K1131">
        <v>0.13153514999999999</v>
      </c>
      <c r="L1131">
        <v>0.40590405904059024</v>
      </c>
      <c r="M1131">
        <v>3.6249844488188972E-2</v>
      </c>
      <c r="N1131">
        <v>8.213179051181102E-2</v>
      </c>
    </row>
    <row r="1132" spans="1:14" x14ac:dyDescent="0.2">
      <c r="B1132">
        <v>100</v>
      </c>
      <c r="C1132">
        <v>8</v>
      </c>
      <c r="D1132">
        <v>1.7</v>
      </c>
      <c r="E1132">
        <v>1.2</v>
      </c>
      <c r="F1132">
        <v>1.7</v>
      </c>
      <c r="G1132">
        <v>1.2</v>
      </c>
      <c r="H1132">
        <v>3.8630000000000001E-3</v>
      </c>
      <c r="I1132">
        <v>3.452366141732284E-2</v>
      </c>
      <c r="J1132">
        <v>7.0704458582677168E-2</v>
      </c>
      <c r="K1132">
        <v>0.10522812000000001</v>
      </c>
      <c r="L1132">
        <v>0.48828125000000006</v>
      </c>
    </row>
    <row r="1133" spans="1:14" x14ac:dyDescent="0.2">
      <c r="A1133">
        <v>489121</v>
      </c>
      <c r="B1133">
        <v>100</v>
      </c>
      <c r="C1133">
        <v>8</v>
      </c>
      <c r="D1133">
        <v>3.25</v>
      </c>
      <c r="E1133">
        <v>2.25</v>
      </c>
      <c r="F1133">
        <v>3.25</v>
      </c>
      <c r="G1133">
        <v>2.25</v>
      </c>
      <c r="H1133">
        <v>3.8630000000000001E-3</v>
      </c>
      <c r="I1133">
        <v>6.904732283464568E-2</v>
      </c>
      <c r="J1133">
        <v>0.1282554021653543</v>
      </c>
      <c r="K1133">
        <v>0.19730272499999998</v>
      </c>
      <c r="L1133">
        <v>0.53835800807537026</v>
      </c>
      <c r="M1133">
        <v>7.0773505905511819E-2</v>
      </c>
      <c r="N1133">
        <v>0.11337570409448816</v>
      </c>
    </row>
    <row r="1134" spans="1:14" x14ac:dyDescent="0.2">
      <c r="B1134">
        <v>100</v>
      </c>
      <c r="C1134">
        <v>8</v>
      </c>
      <c r="D1134">
        <v>3</v>
      </c>
      <c r="E1134">
        <v>1.95</v>
      </c>
      <c r="F1134">
        <v>3</v>
      </c>
      <c r="G1134">
        <v>1.95</v>
      </c>
      <c r="H1134">
        <v>3.8630000000000001E-3</v>
      </c>
      <c r="I1134">
        <v>7.2499688976377957E-2</v>
      </c>
      <c r="J1134">
        <v>9.8496006023622032E-2</v>
      </c>
      <c r="K1134">
        <v>0.170995695</v>
      </c>
      <c r="L1134">
        <v>0.73606729758149336</v>
      </c>
    </row>
    <row r="1135" spans="1:14" x14ac:dyDescent="0.2">
      <c r="A1135">
        <v>489122</v>
      </c>
      <c r="B1135">
        <v>100</v>
      </c>
      <c r="C1135">
        <v>8</v>
      </c>
      <c r="D1135">
        <v>2.9</v>
      </c>
      <c r="E1135">
        <v>2</v>
      </c>
      <c r="F1135">
        <v>2.9</v>
      </c>
      <c r="G1135">
        <v>2</v>
      </c>
      <c r="H1135">
        <v>3.8630000000000001E-3</v>
      </c>
      <c r="I1135">
        <v>6.2142590551181091E-2</v>
      </c>
      <c r="J1135">
        <v>0.1132376094488189</v>
      </c>
      <c r="K1135">
        <v>0.17538019999999999</v>
      </c>
      <c r="L1135">
        <v>0.54878048780487798</v>
      </c>
      <c r="M1135">
        <v>6.9047322834645666E-2</v>
      </c>
      <c r="N1135">
        <v>0.11071738216535432</v>
      </c>
    </row>
    <row r="1136" spans="1:14" x14ac:dyDescent="0.2">
      <c r="B1136">
        <v>100</v>
      </c>
      <c r="C1136">
        <v>8</v>
      </c>
      <c r="D1136">
        <v>3.2</v>
      </c>
      <c r="E1136">
        <v>2.1</v>
      </c>
      <c r="F1136">
        <v>3.2</v>
      </c>
      <c r="G1136">
        <v>2.1</v>
      </c>
      <c r="H1136">
        <v>3.8630000000000001E-3</v>
      </c>
      <c r="I1136">
        <v>7.5952055118110248E-2</v>
      </c>
      <c r="J1136">
        <v>0.10819715488188975</v>
      </c>
      <c r="K1136">
        <v>0.18414921000000001</v>
      </c>
      <c r="L1136">
        <v>0.70197830248883242</v>
      </c>
    </row>
    <row r="1137" spans="1:14" x14ac:dyDescent="0.2">
      <c r="A1137">
        <v>489124</v>
      </c>
      <c r="B1137">
        <v>100</v>
      </c>
      <c r="C1137">
        <v>8</v>
      </c>
      <c r="D1137">
        <v>4.0999999999999996</v>
      </c>
      <c r="E1137">
        <v>2.65</v>
      </c>
      <c r="F1137">
        <v>4.0999999999999996</v>
      </c>
      <c r="G1137">
        <v>2.65</v>
      </c>
      <c r="H1137">
        <v>3.8630000000000001E-3</v>
      </c>
      <c r="I1137">
        <v>0.1001186181102362</v>
      </c>
      <c r="J1137">
        <v>0.13226014688976379</v>
      </c>
      <c r="K1137">
        <v>0.23237876499999999</v>
      </c>
      <c r="L1137">
        <v>0.75698251109370907</v>
      </c>
      <c r="M1137">
        <v>0.10874953346456692</v>
      </c>
      <c r="N1137">
        <v>0.14116725153543305</v>
      </c>
    </row>
    <row r="1138" spans="1:14" x14ac:dyDescent="0.2">
      <c r="B1138">
        <v>100</v>
      </c>
      <c r="C1138">
        <v>8</v>
      </c>
      <c r="D1138">
        <v>4.75</v>
      </c>
      <c r="E1138">
        <v>3.05</v>
      </c>
      <c r="F1138">
        <v>4.75</v>
      </c>
      <c r="G1138">
        <v>3.05</v>
      </c>
      <c r="H1138">
        <v>3.8630000000000001E-3</v>
      </c>
      <c r="I1138">
        <v>0.11738044881889766</v>
      </c>
      <c r="J1138">
        <v>0.15007435618110232</v>
      </c>
      <c r="K1138">
        <v>0.26745480499999996</v>
      </c>
      <c r="L1138">
        <v>0.78214860823556509</v>
      </c>
    </row>
    <row r="1139" spans="1:14" x14ac:dyDescent="0.2">
      <c r="A1139">
        <v>489125</v>
      </c>
      <c r="B1139">
        <v>100</v>
      </c>
      <c r="C1139">
        <v>7</v>
      </c>
      <c r="D1139">
        <v>6.85</v>
      </c>
      <c r="E1139">
        <v>3.75</v>
      </c>
      <c r="F1139">
        <v>6.85</v>
      </c>
      <c r="G1139">
        <v>3.75</v>
      </c>
      <c r="H1139">
        <v>9.7450000000000002E-3</v>
      </c>
      <c r="I1139">
        <v>0.53996507874015753</v>
      </c>
      <c r="J1139">
        <v>0.28957804625984268</v>
      </c>
      <c r="K1139">
        <v>0.82954312500000027</v>
      </c>
      <c r="L1139">
        <v>1.8646616541353376</v>
      </c>
      <c r="M1139">
        <v>0.57915609251968503</v>
      </c>
      <c r="N1139">
        <v>0.2946293324803152</v>
      </c>
    </row>
    <row r="1140" spans="1:14" x14ac:dyDescent="0.2">
      <c r="B1140">
        <v>100</v>
      </c>
      <c r="C1140">
        <v>7</v>
      </c>
      <c r="D1140">
        <v>7.7</v>
      </c>
      <c r="E1140">
        <v>4.1500000000000004</v>
      </c>
      <c r="F1140">
        <v>7.7</v>
      </c>
      <c r="G1140">
        <v>4.1500000000000004</v>
      </c>
      <c r="H1140">
        <v>9.7450000000000002E-3</v>
      </c>
      <c r="I1140">
        <v>0.61834710629921263</v>
      </c>
      <c r="J1140">
        <v>0.29968061870078766</v>
      </c>
      <c r="K1140">
        <v>0.91802772500000029</v>
      </c>
      <c r="L1140">
        <v>2.0633536762569005</v>
      </c>
    </row>
    <row r="1141" spans="1:14" x14ac:dyDescent="0.2">
      <c r="A1141">
        <v>489127</v>
      </c>
      <c r="B1141">
        <v>100</v>
      </c>
      <c r="C1141">
        <v>6</v>
      </c>
      <c r="D1141">
        <v>4.25</v>
      </c>
      <c r="E1141">
        <v>2</v>
      </c>
      <c r="F1141">
        <v>4.25</v>
      </c>
      <c r="G1141">
        <v>2</v>
      </c>
      <c r="H1141">
        <v>3.5767E-2</v>
      </c>
      <c r="I1141">
        <v>1.4384248228346459</v>
      </c>
      <c r="J1141">
        <v>0.18539697716535436</v>
      </c>
      <c r="K1141">
        <v>1.6238218000000002</v>
      </c>
      <c r="L1141">
        <v>7.7586206896551726</v>
      </c>
      <c r="M1141">
        <v>1.4384248228346459</v>
      </c>
      <c r="N1141">
        <v>0.20569474966535428</v>
      </c>
    </row>
    <row r="1142" spans="1:14" x14ac:dyDescent="0.2">
      <c r="B1142">
        <v>100</v>
      </c>
      <c r="C1142">
        <v>6</v>
      </c>
      <c r="D1142">
        <v>4.3</v>
      </c>
      <c r="E1142">
        <v>2.0499999999999998</v>
      </c>
      <c r="F1142">
        <v>4.3</v>
      </c>
      <c r="G1142">
        <v>2.0499999999999998</v>
      </c>
      <c r="H1142">
        <v>3.5767E-2</v>
      </c>
      <c r="I1142">
        <v>1.4384248228346459</v>
      </c>
      <c r="J1142">
        <v>0.22599252216535423</v>
      </c>
      <c r="K1142">
        <v>1.6644173450000002</v>
      </c>
      <c r="L1142">
        <v>6.3649222065063684</v>
      </c>
    </row>
    <row r="1143" spans="1:14" x14ac:dyDescent="0.2">
      <c r="A1143">
        <v>489133</v>
      </c>
      <c r="B1143">
        <v>100</v>
      </c>
      <c r="C1143">
        <v>8</v>
      </c>
      <c r="D1143">
        <v>1.05</v>
      </c>
      <c r="E1143">
        <v>0.85</v>
      </c>
      <c r="F1143">
        <v>1.05</v>
      </c>
      <c r="G1143">
        <v>0.85</v>
      </c>
      <c r="H1143">
        <v>3.8630000000000001E-3</v>
      </c>
      <c r="I1143">
        <v>1.3809464566929138E-2</v>
      </c>
      <c r="J1143">
        <v>6.0727120433070866E-2</v>
      </c>
      <c r="K1143">
        <v>7.4536585000000002E-2</v>
      </c>
      <c r="L1143">
        <v>0.22740193291642985</v>
      </c>
      <c r="M1143">
        <v>1.726183070866142E-2</v>
      </c>
      <c r="N1143">
        <v>6.3851511791338578E-2</v>
      </c>
    </row>
    <row r="1144" spans="1:14" x14ac:dyDescent="0.2">
      <c r="B1144">
        <v>100</v>
      </c>
      <c r="C1144">
        <v>8</v>
      </c>
      <c r="D1144">
        <v>1.3</v>
      </c>
      <c r="E1144">
        <v>1</v>
      </c>
      <c r="F1144">
        <v>1.3</v>
      </c>
      <c r="G1144">
        <v>1</v>
      </c>
      <c r="H1144">
        <v>3.8630000000000001E-3</v>
      </c>
      <c r="I1144">
        <v>2.0714196850393704E-2</v>
      </c>
      <c r="J1144">
        <v>6.6975903149606303E-2</v>
      </c>
      <c r="K1144">
        <v>8.7690100000000007E-2</v>
      </c>
      <c r="L1144">
        <v>0.30927835051546393</v>
      </c>
    </row>
    <row r="1145" spans="1:14" x14ac:dyDescent="0.2">
      <c r="A1145">
        <v>489134</v>
      </c>
      <c r="B1145">
        <v>100</v>
      </c>
      <c r="C1145">
        <v>8</v>
      </c>
      <c r="D1145">
        <v>1.4</v>
      </c>
      <c r="E1145">
        <v>1.05</v>
      </c>
      <c r="F1145">
        <v>1.4</v>
      </c>
      <c r="G1145">
        <v>1.05</v>
      </c>
      <c r="H1145">
        <v>3.8630000000000001E-3</v>
      </c>
      <c r="I1145">
        <v>2.4166562992125974E-2</v>
      </c>
      <c r="J1145">
        <v>6.7908042007874023E-2</v>
      </c>
      <c r="K1145">
        <v>9.2074605000000004E-2</v>
      </c>
      <c r="L1145">
        <v>0.35587188612099624</v>
      </c>
      <c r="M1145">
        <v>2.9345112204724407E-2</v>
      </c>
      <c r="N1145">
        <v>7.3690755295275606E-2</v>
      </c>
    </row>
    <row r="1146" spans="1:14" x14ac:dyDescent="0.2">
      <c r="B1146">
        <v>100</v>
      </c>
      <c r="C1146">
        <v>8</v>
      </c>
      <c r="D1146">
        <v>1.8</v>
      </c>
      <c r="E1146">
        <v>1.3</v>
      </c>
      <c r="F1146">
        <v>1.8</v>
      </c>
      <c r="G1146">
        <v>1.3</v>
      </c>
      <c r="H1146">
        <v>3.8630000000000001E-3</v>
      </c>
      <c r="I1146">
        <v>3.452366141732284E-2</v>
      </c>
      <c r="J1146">
        <v>7.9473468582677176E-2</v>
      </c>
      <c r="K1146">
        <v>0.11399713000000002</v>
      </c>
      <c r="L1146">
        <v>0.43440486533449174</v>
      </c>
    </row>
    <row r="1147" spans="1:14" x14ac:dyDescent="0.2">
      <c r="A1147">
        <v>489135</v>
      </c>
      <c r="B1147">
        <v>100</v>
      </c>
      <c r="C1147">
        <v>8</v>
      </c>
      <c r="D1147">
        <v>2.5</v>
      </c>
      <c r="E1147">
        <v>1.65</v>
      </c>
      <c r="F1147">
        <v>2.5</v>
      </c>
      <c r="G1147">
        <v>1.65</v>
      </c>
      <c r="H1147">
        <v>3.8630000000000001E-3</v>
      </c>
      <c r="I1147">
        <v>5.8690224409448828E-2</v>
      </c>
      <c r="J1147">
        <v>8.5998440590551187E-2</v>
      </c>
      <c r="K1147">
        <v>0.14468866500000002</v>
      </c>
      <c r="L1147">
        <v>0.68245684464070666</v>
      </c>
      <c r="M1147">
        <v>5.0059309055118115E-2</v>
      </c>
      <c r="N1147">
        <v>7.7091335944881906E-2</v>
      </c>
    </row>
    <row r="1148" spans="1:14" x14ac:dyDescent="0.2">
      <c r="B1148">
        <v>100</v>
      </c>
      <c r="C1148">
        <v>8</v>
      </c>
      <c r="D1148">
        <v>1.85</v>
      </c>
      <c r="E1148">
        <v>1.25</v>
      </c>
      <c r="F1148">
        <v>1.85</v>
      </c>
      <c r="G1148">
        <v>1.25</v>
      </c>
      <c r="H1148">
        <v>3.8630000000000001E-3</v>
      </c>
      <c r="I1148">
        <v>4.1428393700787408E-2</v>
      </c>
      <c r="J1148">
        <v>6.8184231299212611E-2</v>
      </c>
      <c r="K1148">
        <v>0.10961262500000002</v>
      </c>
      <c r="L1148">
        <v>0.60759493670886078</v>
      </c>
    </row>
    <row r="1149" spans="1:14" x14ac:dyDescent="0.2">
      <c r="A1149">
        <v>489136</v>
      </c>
      <c r="B1149">
        <v>100</v>
      </c>
      <c r="C1149">
        <v>8</v>
      </c>
      <c r="D1149">
        <v>5.4</v>
      </c>
      <c r="E1149">
        <v>3.3</v>
      </c>
      <c r="F1149">
        <v>5.4</v>
      </c>
      <c r="G1149">
        <v>3.3</v>
      </c>
      <c r="H1149">
        <v>3.8630000000000001E-3</v>
      </c>
      <c r="I1149">
        <v>0.14499937795275594</v>
      </c>
      <c r="J1149">
        <v>0.1443779520472441</v>
      </c>
      <c r="K1149">
        <v>0.28937733000000004</v>
      </c>
      <c r="L1149">
        <v>1.004304160688666</v>
      </c>
      <c r="M1149">
        <v>0.14499937795275591</v>
      </c>
      <c r="N1149">
        <v>0.14218569954724411</v>
      </c>
    </row>
    <row r="1150" spans="1:14" x14ac:dyDescent="0.2">
      <c r="B1150">
        <v>100</v>
      </c>
      <c r="C1150">
        <v>8</v>
      </c>
      <c r="D1150">
        <v>5.35</v>
      </c>
      <c r="E1150">
        <v>3.25</v>
      </c>
      <c r="F1150">
        <v>5.35</v>
      </c>
      <c r="G1150">
        <v>3.25</v>
      </c>
      <c r="H1150">
        <v>3.8630000000000001E-3</v>
      </c>
      <c r="I1150">
        <v>0.14499937795275589</v>
      </c>
      <c r="J1150">
        <v>0.13999344704724412</v>
      </c>
      <c r="K1150">
        <v>0.28499282500000001</v>
      </c>
      <c r="L1150">
        <v>1.0357583230579528</v>
      </c>
    </row>
    <row r="1151" spans="1:14" x14ac:dyDescent="0.2">
      <c r="A1151">
        <v>489137</v>
      </c>
      <c r="B1151">
        <v>100</v>
      </c>
      <c r="C1151">
        <v>8</v>
      </c>
      <c r="D1151">
        <v>5.85</v>
      </c>
      <c r="E1151">
        <v>3.45</v>
      </c>
      <c r="F1151">
        <v>5.85</v>
      </c>
      <c r="G1151">
        <v>3.45</v>
      </c>
      <c r="H1151">
        <v>3.8630000000000001E-3</v>
      </c>
      <c r="I1151">
        <v>0.16571357480314955</v>
      </c>
      <c r="J1151">
        <v>0.13681727019685047</v>
      </c>
      <c r="K1151">
        <v>0.30253084500000005</v>
      </c>
      <c r="L1151">
        <v>1.2112036336108998</v>
      </c>
      <c r="M1151">
        <v>0.16571357480314955</v>
      </c>
      <c r="N1151">
        <v>0.13681727019685047</v>
      </c>
    </row>
    <row r="1152" spans="1:14" x14ac:dyDescent="0.2">
      <c r="A1152">
        <v>489138</v>
      </c>
      <c r="B1152">
        <v>100</v>
      </c>
      <c r="C1152">
        <v>7</v>
      </c>
      <c r="D1152">
        <v>3.1</v>
      </c>
      <c r="E1152">
        <v>1.9</v>
      </c>
      <c r="F1152">
        <v>3.1</v>
      </c>
      <c r="G1152">
        <v>1.9</v>
      </c>
      <c r="H1152">
        <v>9.7450000000000002E-3</v>
      </c>
      <c r="I1152">
        <v>0.20901874015748034</v>
      </c>
      <c r="J1152">
        <v>0.21128310984251975</v>
      </c>
      <c r="K1152">
        <v>0.42030185000000009</v>
      </c>
      <c r="L1152">
        <v>0.98928276999175579</v>
      </c>
      <c r="M1152">
        <v>0.22643696850393702</v>
      </c>
      <c r="N1152">
        <v>0.20492545649606303</v>
      </c>
    </row>
    <row r="1153" spans="1:14" x14ac:dyDescent="0.2">
      <c r="B1153">
        <v>100</v>
      </c>
      <c r="C1153">
        <v>7</v>
      </c>
      <c r="D1153">
        <v>3.4</v>
      </c>
      <c r="E1153">
        <v>2</v>
      </c>
      <c r="F1153">
        <v>3.4</v>
      </c>
      <c r="G1153">
        <v>2</v>
      </c>
      <c r="H1153">
        <v>9.7450000000000002E-3</v>
      </c>
      <c r="I1153">
        <v>0.2438551968503937</v>
      </c>
      <c r="J1153">
        <v>0.19856780314960634</v>
      </c>
      <c r="K1153">
        <v>0.44242300000000001</v>
      </c>
      <c r="L1153">
        <v>1.2280701754385963</v>
      </c>
    </row>
    <row r="1154" spans="1:14" x14ac:dyDescent="0.2">
      <c r="A1154">
        <v>489139</v>
      </c>
      <c r="B1154">
        <v>100</v>
      </c>
      <c r="C1154">
        <v>7</v>
      </c>
      <c r="D1154">
        <v>5.55</v>
      </c>
      <c r="E1154">
        <v>3.55</v>
      </c>
      <c r="F1154">
        <v>5.55</v>
      </c>
      <c r="G1154">
        <v>3.55</v>
      </c>
      <c r="H1154">
        <v>9.7450000000000002E-3</v>
      </c>
      <c r="I1154">
        <v>0.34836456692913387</v>
      </c>
      <c r="J1154">
        <v>0.43693625807086611</v>
      </c>
      <c r="K1154">
        <v>0.78530082499999998</v>
      </c>
      <c r="L1154">
        <v>0.79728921666334474</v>
      </c>
      <c r="M1154">
        <v>0.34836456692913387</v>
      </c>
      <c r="N1154">
        <v>0.36504252057086617</v>
      </c>
    </row>
    <row r="1155" spans="1:14" x14ac:dyDescent="0.2">
      <c r="B1155">
        <v>100</v>
      </c>
      <c r="C1155">
        <v>7</v>
      </c>
      <c r="D1155">
        <v>4.9000000000000004</v>
      </c>
      <c r="E1155">
        <v>2.9</v>
      </c>
      <c r="F1155">
        <v>4.9000000000000004</v>
      </c>
      <c r="G1155">
        <v>2.9</v>
      </c>
      <c r="H1155">
        <v>9.7450000000000002E-3</v>
      </c>
      <c r="I1155">
        <v>0.34836456692913392</v>
      </c>
      <c r="J1155">
        <v>0.29314878307086617</v>
      </c>
      <c r="K1155">
        <v>0.64151335000000009</v>
      </c>
      <c r="L1155">
        <v>1.1883541295306002</v>
      </c>
    </row>
    <row r="1156" spans="1:14" x14ac:dyDescent="0.2">
      <c r="A1156">
        <v>489140</v>
      </c>
      <c r="B1156">
        <v>100</v>
      </c>
      <c r="C1156">
        <v>6</v>
      </c>
      <c r="D1156">
        <v>7.3</v>
      </c>
      <c r="E1156">
        <v>3.45</v>
      </c>
      <c r="F1156">
        <v>7.3</v>
      </c>
      <c r="G1156">
        <v>3.45</v>
      </c>
      <c r="H1156">
        <v>3.5767E-2</v>
      </c>
      <c r="I1156">
        <v>2.4613046968503935</v>
      </c>
      <c r="J1156">
        <v>0.33978790814960647</v>
      </c>
      <c r="K1156">
        <v>2.801092605</v>
      </c>
      <c r="L1156">
        <v>7.2436500470366845</v>
      </c>
      <c r="M1156">
        <v>2.5571996850393699</v>
      </c>
      <c r="N1156">
        <v>0.3656795549606302</v>
      </c>
    </row>
    <row r="1157" spans="1:14" x14ac:dyDescent="0.2">
      <c r="B1157">
        <v>100</v>
      </c>
      <c r="C1157">
        <v>6</v>
      </c>
      <c r="D1157">
        <v>7.9</v>
      </c>
      <c r="E1157">
        <v>3.75</v>
      </c>
      <c r="F1157">
        <v>7.9</v>
      </c>
      <c r="G1157">
        <v>3.75</v>
      </c>
      <c r="H1157">
        <v>3.5767E-2</v>
      </c>
      <c r="I1157">
        <v>2.6530946732283467</v>
      </c>
      <c r="J1157">
        <v>0.39157120177165394</v>
      </c>
      <c r="K1157">
        <v>3.0446658750000006</v>
      </c>
      <c r="L1157">
        <v>6.775510204081626</v>
      </c>
    </row>
    <row r="1158" spans="1:14" x14ac:dyDescent="0.2">
      <c r="A1158">
        <v>489141</v>
      </c>
      <c r="B1158">
        <v>100</v>
      </c>
      <c r="C1158">
        <v>5</v>
      </c>
      <c r="D1158">
        <v>2.8</v>
      </c>
      <c r="E1158">
        <v>1.35</v>
      </c>
      <c r="F1158">
        <v>2.8</v>
      </c>
      <c r="G1158">
        <v>1.35</v>
      </c>
      <c r="H1158">
        <v>0.123026</v>
      </c>
      <c r="I1158">
        <v>3.1885045590551169</v>
      </c>
      <c r="J1158">
        <v>0.58162721094488279</v>
      </c>
      <c r="K1158">
        <v>3.7701317699999999</v>
      </c>
      <c r="L1158">
        <v>5.4820415879016906</v>
      </c>
      <c r="M1158">
        <v>3.1885045590551169</v>
      </c>
      <c r="N1158">
        <v>0.51180995594488243</v>
      </c>
    </row>
    <row r="1159" spans="1:14" x14ac:dyDescent="0.2">
      <c r="B1159">
        <v>100</v>
      </c>
      <c r="C1159">
        <v>5</v>
      </c>
      <c r="D1159">
        <v>2.75</v>
      </c>
      <c r="E1159">
        <v>1.3</v>
      </c>
      <c r="F1159">
        <v>2.75</v>
      </c>
      <c r="G1159">
        <v>1.3</v>
      </c>
      <c r="H1159">
        <v>0.123026</v>
      </c>
      <c r="I1159">
        <v>3.1885045590551173</v>
      </c>
      <c r="J1159">
        <v>0.44199270094488213</v>
      </c>
      <c r="K1159">
        <v>3.6304972599999994</v>
      </c>
      <c r="L1159">
        <v>7.2139303482587005</v>
      </c>
    </row>
    <row r="1160" spans="1:14" x14ac:dyDescent="0.2">
      <c r="A1160">
        <v>488262</v>
      </c>
      <c r="B1160">
        <v>100</v>
      </c>
      <c r="C1160">
        <v>6</v>
      </c>
      <c r="D1160">
        <v>3.95</v>
      </c>
      <c r="E1160">
        <v>2.15</v>
      </c>
      <c r="F1160">
        <v>3.95</v>
      </c>
      <c r="G1160">
        <v>2.15</v>
      </c>
      <c r="H1160">
        <v>3.5767E-2</v>
      </c>
      <c r="I1160">
        <v>1.1507398582677169</v>
      </c>
      <c r="J1160">
        <v>0.59486857673228322</v>
      </c>
      <c r="K1160">
        <v>1.7456084350000001</v>
      </c>
      <c r="L1160">
        <v>1.9344438473938756</v>
      </c>
      <c r="M1160">
        <v>1.1507398582677169</v>
      </c>
      <c r="N1160">
        <v>0.55427303173228326</v>
      </c>
    </row>
    <row r="1161" spans="1:14" x14ac:dyDescent="0.2">
      <c r="B1161">
        <v>100</v>
      </c>
      <c r="C1161">
        <v>6</v>
      </c>
      <c r="D1161">
        <v>3.85</v>
      </c>
      <c r="E1161">
        <v>2.0499999999999998</v>
      </c>
      <c r="F1161">
        <v>3.85</v>
      </c>
      <c r="G1161">
        <v>2.0499999999999998</v>
      </c>
      <c r="H1161">
        <v>3.5767E-2</v>
      </c>
      <c r="I1161">
        <v>1.1507398582677169</v>
      </c>
      <c r="J1161">
        <v>0.51367748673228331</v>
      </c>
      <c r="K1161">
        <v>1.6644173450000002</v>
      </c>
      <c r="L1161">
        <v>2.2401991288114513</v>
      </c>
    </row>
    <row r="1162" spans="1:14" x14ac:dyDescent="0.2">
      <c r="A1162">
        <v>489147</v>
      </c>
      <c r="B1162">
        <v>100</v>
      </c>
      <c r="C1162">
        <v>8</v>
      </c>
      <c r="D1162">
        <v>1.5</v>
      </c>
      <c r="E1162">
        <v>1.05</v>
      </c>
      <c r="F1162">
        <v>1.5</v>
      </c>
      <c r="G1162">
        <v>1.05</v>
      </c>
      <c r="H1162">
        <v>3.8630000000000001E-3</v>
      </c>
      <c r="I1162">
        <v>3.1071295275590546E-2</v>
      </c>
      <c r="J1162">
        <v>6.1003309724409455E-2</v>
      </c>
      <c r="K1162">
        <v>9.2074605000000004E-2</v>
      </c>
      <c r="L1162">
        <v>0.50933786078098453</v>
      </c>
      <c r="M1162">
        <v>3.1071295275590546E-2</v>
      </c>
      <c r="N1162">
        <v>6.319556222440946E-2</v>
      </c>
    </row>
    <row r="1163" spans="1:14" x14ac:dyDescent="0.2">
      <c r="B1163">
        <v>100</v>
      </c>
      <c r="C1163">
        <v>8</v>
      </c>
      <c r="D1163">
        <v>1.55</v>
      </c>
      <c r="E1163">
        <v>1.1000000000000001</v>
      </c>
      <c r="F1163">
        <v>1.55</v>
      </c>
      <c r="G1163">
        <v>1.1000000000000001</v>
      </c>
      <c r="H1163">
        <v>3.8630000000000001E-3</v>
      </c>
      <c r="I1163">
        <v>3.1071295275590546E-2</v>
      </c>
      <c r="J1163">
        <v>6.5387814724409465E-2</v>
      </c>
      <c r="K1163">
        <v>9.6459110000000015E-2</v>
      </c>
      <c r="L1163">
        <v>0.47518479408658904</v>
      </c>
    </row>
    <row r="1164" spans="1:14" x14ac:dyDescent="0.2">
      <c r="A1164">
        <v>489148</v>
      </c>
      <c r="B1164">
        <v>100</v>
      </c>
      <c r="C1164">
        <v>8</v>
      </c>
      <c r="D1164">
        <v>1.25</v>
      </c>
      <c r="E1164">
        <v>0.95</v>
      </c>
      <c r="F1164">
        <v>1.25</v>
      </c>
      <c r="G1164">
        <v>0.95</v>
      </c>
      <c r="H1164">
        <v>3.8630000000000001E-3</v>
      </c>
      <c r="I1164">
        <v>2.0714196850393704E-2</v>
      </c>
      <c r="J1164">
        <v>6.2591398149606292E-2</v>
      </c>
      <c r="K1164">
        <v>8.3305594999999996E-2</v>
      </c>
      <c r="L1164">
        <v>0.33094318808604534</v>
      </c>
      <c r="M1164">
        <v>2.2440379921259843E-2</v>
      </c>
      <c r="N1164">
        <v>5.8672962578740155E-2</v>
      </c>
    </row>
    <row r="1165" spans="1:14" x14ac:dyDescent="0.2">
      <c r="B1165">
        <v>100</v>
      </c>
      <c r="C1165">
        <v>8</v>
      </c>
      <c r="D1165">
        <v>1.25</v>
      </c>
      <c r="E1165">
        <v>0.9</v>
      </c>
      <c r="F1165">
        <v>1.25</v>
      </c>
      <c r="G1165">
        <v>0.9</v>
      </c>
      <c r="H1165">
        <v>3.8630000000000001E-3</v>
      </c>
      <c r="I1165">
        <v>2.4166562992125985E-2</v>
      </c>
      <c r="J1165">
        <v>5.4754527007874018E-2</v>
      </c>
      <c r="K1165">
        <v>7.8921089999999999E-2</v>
      </c>
      <c r="L1165">
        <v>0.44136191677175285</v>
      </c>
    </row>
    <row r="1166" spans="1:14" x14ac:dyDescent="0.2">
      <c r="A1166">
        <v>489149</v>
      </c>
      <c r="B1166">
        <v>100</v>
      </c>
      <c r="C1166">
        <v>8</v>
      </c>
      <c r="D1166">
        <v>1.55</v>
      </c>
      <c r="E1166">
        <v>1.1499999999999999</v>
      </c>
      <c r="F1166">
        <v>1.55</v>
      </c>
      <c r="G1166">
        <v>1.1499999999999999</v>
      </c>
      <c r="H1166">
        <v>3.8630000000000001E-3</v>
      </c>
      <c r="I1166">
        <v>2.7618929133858276E-2</v>
      </c>
      <c r="J1166">
        <v>7.3224685866141725E-2</v>
      </c>
      <c r="K1166">
        <v>0.100843615</v>
      </c>
      <c r="L1166">
        <v>0.37718057520037734</v>
      </c>
      <c r="M1166">
        <v>3.1071295275590556E-2</v>
      </c>
      <c r="N1166">
        <v>7.4156824724409459E-2</v>
      </c>
    </row>
    <row r="1167" spans="1:14" x14ac:dyDescent="0.2">
      <c r="B1167">
        <v>100</v>
      </c>
      <c r="C1167">
        <v>8</v>
      </c>
      <c r="D1167">
        <v>1.75</v>
      </c>
      <c r="E1167">
        <v>1.25</v>
      </c>
      <c r="F1167">
        <v>1.75</v>
      </c>
      <c r="G1167">
        <v>1.25</v>
      </c>
      <c r="H1167">
        <v>3.8630000000000001E-3</v>
      </c>
      <c r="I1167">
        <v>3.452366141732284E-2</v>
      </c>
      <c r="J1167">
        <v>7.5088963582677193E-2</v>
      </c>
      <c r="K1167">
        <v>0.10961262500000003</v>
      </c>
      <c r="L1167">
        <v>0.45977011494252862</v>
      </c>
    </row>
    <row r="1168" spans="1:14" x14ac:dyDescent="0.2">
      <c r="A1168">
        <v>489150</v>
      </c>
      <c r="B1168">
        <v>100</v>
      </c>
      <c r="C1168">
        <v>8</v>
      </c>
      <c r="D1168">
        <v>2.65</v>
      </c>
      <c r="E1168">
        <v>1.65</v>
      </c>
      <c r="F1168">
        <v>2.65</v>
      </c>
      <c r="G1168">
        <v>1.65</v>
      </c>
      <c r="H1168">
        <v>3.8630000000000001E-3</v>
      </c>
      <c r="I1168">
        <v>6.904732283464568E-2</v>
      </c>
      <c r="J1168">
        <v>7.5641342165354328E-2</v>
      </c>
      <c r="K1168">
        <v>0.14468866499999999</v>
      </c>
      <c r="L1168">
        <v>0.91282519397535389</v>
      </c>
      <c r="M1168">
        <v>7.2499688976377957E-2</v>
      </c>
      <c r="N1168">
        <v>8.5342491023622041E-2</v>
      </c>
    </row>
    <row r="1169" spans="1:14" x14ac:dyDescent="0.2">
      <c r="B1169">
        <v>100</v>
      </c>
      <c r="C1169">
        <v>8</v>
      </c>
      <c r="D1169">
        <v>3.05</v>
      </c>
      <c r="E1169">
        <v>1.95</v>
      </c>
      <c r="F1169">
        <v>3.05</v>
      </c>
      <c r="G1169">
        <v>1.95</v>
      </c>
      <c r="H1169">
        <v>3.8630000000000001E-3</v>
      </c>
      <c r="I1169">
        <v>7.5952055118110234E-2</v>
      </c>
      <c r="J1169">
        <v>9.5043639881889769E-2</v>
      </c>
      <c r="K1169">
        <v>0.170995695</v>
      </c>
      <c r="L1169">
        <v>0.79912822375590264</v>
      </c>
    </row>
    <row r="1170" spans="1:14" x14ac:dyDescent="0.2">
      <c r="A1170">
        <v>489151</v>
      </c>
      <c r="B1170">
        <v>100</v>
      </c>
      <c r="C1170">
        <v>8</v>
      </c>
      <c r="D1170">
        <v>4.8499999999999996</v>
      </c>
      <c r="E1170">
        <v>2.95</v>
      </c>
      <c r="F1170">
        <v>4.8499999999999996</v>
      </c>
      <c r="G1170">
        <v>2.95</v>
      </c>
      <c r="H1170">
        <v>3.8630000000000001E-3</v>
      </c>
      <c r="I1170">
        <v>0.13118991338582675</v>
      </c>
      <c r="J1170">
        <v>0.12749588161417333</v>
      </c>
      <c r="K1170">
        <v>0.25868579500000011</v>
      </c>
      <c r="L1170">
        <v>1.0289737340915235</v>
      </c>
      <c r="M1170">
        <v>0.12601136417322834</v>
      </c>
      <c r="N1170">
        <v>0.13486668332677171</v>
      </c>
    </row>
    <row r="1171" spans="1:14" x14ac:dyDescent="0.2">
      <c r="B1171">
        <v>100</v>
      </c>
      <c r="C1171">
        <v>8</v>
      </c>
      <c r="D1171">
        <v>4.75</v>
      </c>
      <c r="E1171">
        <v>3</v>
      </c>
      <c r="F1171">
        <v>4.75</v>
      </c>
      <c r="G1171">
        <v>3</v>
      </c>
      <c r="H1171">
        <v>3.8630000000000001E-3</v>
      </c>
      <c r="I1171">
        <v>0.12083281496062993</v>
      </c>
      <c r="J1171">
        <v>0.14223748503937006</v>
      </c>
      <c r="K1171">
        <v>0.26307029999999998</v>
      </c>
      <c r="L1171">
        <v>0.84951456310679629</v>
      </c>
    </row>
    <row r="1172" spans="1:14" x14ac:dyDescent="0.2">
      <c r="A1172">
        <v>489152</v>
      </c>
      <c r="B1172">
        <v>100</v>
      </c>
      <c r="C1172">
        <v>7</v>
      </c>
      <c r="D1172">
        <v>3.25</v>
      </c>
      <c r="E1172">
        <v>1.95</v>
      </c>
      <c r="F1172">
        <v>3.25</v>
      </c>
      <c r="G1172">
        <v>1.95</v>
      </c>
      <c r="H1172">
        <v>9.7450000000000002E-3</v>
      </c>
      <c r="I1172">
        <v>0.22643696850393705</v>
      </c>
      <c r="J1172">
        <v>0.20492545649606295</v>
      </c>
      <c r="K1172">
        <v>0.43136242499999999</v>
      </c>
      <c r="L1172">
        <v>1.1049723756906082</v>
      </c>
      <c r="M1172">
        <v>0.23079152559055122</v>
      </c>
      <c r="N1172">
        <v>0.20610118690944881</v>
      </c>
    </row>
    <row r="1173" spans="1:14" x14ac:dyDescent="0.2">
      <c r="B1173">
        <v>100</v>
      </c>
      <c r="C1173">
        <v>7</v>
      </c>
      <c r="D1173">
        <v>3.35</v>
      </c>
      <c r="E1173">
        <v>2</v>
      </c>
      <c r="F1173">
        <v>3.35</v>
      </c>
      <c r="G1173">
        <v>2</v>
      </c>
      <c r="H1173">
        <v>9.7450000000000002E-3</v>
      </c>
      <c r="I1173">
        <v>0.23514608267716539</v>
      </c>
      <c r="J1173">
        <v>0.20727691732283468</v>
      </c>
      <c r="K1173">
        <v>0.44242300000000007</v>
      </c>
      <c r="L1173">
        <v>1.134453781512605</v>
      </c>
    </row>
    <row r="1174" spans="1:14" x14ac:dyDescent="0.2">
      <c r="A1174">
        <v>489153</v>
      </c>
      <c r="B1174">
        <v>100</v>
      </c>
      <c r="C1174">
        <v>6</v>
      </c>
      <c r="D1174">
        <v>2.35</v>
      </c>
      <c r="E1174">
        <v>1.35</v>
      </c>
      <c r="F1174">
        <v>2.35</v>
      </c>
      <c r="G1174">
        <v>1.35</v>
      </c>
      <c r="H1174">
        <v>3.5767E-2</v>
      </c>
      <c r="I1174">
        <v>0.63929992125984259</v>
      </c>
      <c r="J1174">
        <v>0.45677979374015754</v>
      </c>
      <c r="K1174">
        <v>1.0960797150000001</v>
      </c>
      <c r="L1174">
        <v>1.3995801259622114</v>
      </c>
      <c r="M1174">
        <v>0.65528241929133868</v>
      </c>
      <c r="N1174">
        <v>0.42049952320866146</v>
      </c>
    </row>
    <row r="1175" spans="1:14" x14ac:dyDescent="0.2">
      <c r="B1175">
        <v>100</v>
      </c>
      <c r="C1175">
        <v>6</v>
      </c>
      <c r="D1175">
        <v>2.35</v>
      </c>
      <c r="E1175">
        <v>1.3</v>
      </c>
      <c r="F1175">
        <v>2.35</v>
      </c>
      <c r="G1175">
        <v>1.3</v>
      </c>
      <c r="H1175">
        <v>3.5767E-2</v>
      </c>
      <c r="I1175">
        <v>0.67126491732283466</v>
      </c>
      <c r="J1175">
        <v>0.38421925267716533</v>
      </c>
      <c r="K1175">
        <v>1.0554841699999999</v>
      </c>
      <c r="L1175">
        <v>1.7470881863560734</v>
      </c>
    </row>
    <row r="1176" spans="1:14" x14ac:dyDescent="0.2">
      <c r="A1176">
        <v>489154</v>
      </c>
      <c r="B1176">
        <v>100</v>
      </c>
      <c r="C1176">
        <v>7</v>
      </c>
      <c r="D1176">
        <v>6.5</v>
      </c>
      <c r="E1176">
        <v>3.5</v>
      </c>
      <c r="F1176">
        <v>6.5</v>
      </c>
      <c r="G1176">
        <v>3.5</v>
      </c>
      <c r="H1176">
        <v>9.7450000000000002E-3</v>
      </c>
      <c r="I1176">
        <v>0.52254685039370086</v>
      </c>
      <c r="J1176">
        <v>0.25169339960629922</v>
      </c>
      <c r="K1176">
        <v>0.77424025000000007</v>
      </c>
      <c r="L1176">
        <v>2.0761245674740487</v>
      </c>
      <c r="M1176">
        <v>0.52254685039370097</v>
      </c>
      <c r="N1176">
        <v>0.26828426210629919</v>
      </c>
    </row>
    <row r="1177" spans="1:14" x14ac:dyDescent="0.2">
      <c r="B1177">
        <v>100</v>
      </c>
      <c r="C1177">
        <v>7</v>
      </c>
      <c r="D1177">
        <v>6.65</v>
      </c>
      <c r="E1177">
        <v>3.65</v>
      </c>
      <c r="F1177">
        <v>6.65</v>
      </c>
      <c r="G1177">
        <v>3.65</v>
      </c>
      <c r="H1177">
        <v>9.7450000000000002E-3</v>
      </c>
      <c r="I1177">
        <v>0.52254685039370097</v>
      </c>
      <c r="J1177">
        <v>0.28487512460629921</v>
      </c>
      <c r="K1177">
        <v>0.80742197500000024</v>
      </c>
      <c r="L1177">
        <v>1.8343014368694595</v>
      </c>
    </row>
    <row r="1178" spans="1:14" x14ac:dyDescent="0.2">
      <c r="A1178">
        <v>489155</v>
      </c>
      <c r="B1178">
        <v>100</v>
      </c>
      <c r="C1178">
        <v>7</v>
      </c>
      <c r="D1178">
        <v>7.25</v>
      </c>
      <c r="E1178">
        <v>3.85</v>
      </c>
      <c r="F1178">
        <v>7.25</v>
      </c>
      <c r="G1178">
        <v>3.85</v>
      </c>
      <c r="H1178">
        <v>9.7450000000000002E-3</v>
      </c>
      <c r="I1178">
        <v>0.59221976377952756</v>
      </c>
      <c r="J1178">
        <v>0.25944451122047246</v>
      </c>
      <c r="K1178">
        <v>0.85166427500000008</v>
      </c>
      <c r="L1178">
        <v>2.2826451829472978</v>
      </c>
      <c r="M1178">
        <v>0.6052834350393701</v>
      </c>
      <c r="N1178">
        <v>0.27956256496063003</v>
      </c>
    </row>
    <row r="1179" spans="1:14" x14ac:dyDescent="0.2">
      <c r="B1179">
        <v>100</v>
      </c>
      <c r="C1179">
        <v>7</v>
      </c>
      <c r="D1179">
        <v>7.7</v>
      </c>
      <c r="E1179">
        <v>4.1500000000000004</v>
      </c>
      <c r="F1179">
        <v>7.7</v>
      </c>
      <c r="G1179">
        <v>4.1500000000000004</v>
      </c>
      <c r="H1179">
        <v>9.7450000000000002E-3</v>
      </c>
      <c r="I1179">
        <v>0.61834710629921263</v>
      </c>
      <c r="J1179">
        <v>0.29968061870078766</v>
      </c>
      <c r="K1179">
        <v>0.91802772500000029</v>
      </c>
      <c r="L1179">
        <v>2.0633536762569005</v>
      </c>
    </row>
    <row r="1180" spans="1:14" x14ac:dyDescent="0.2">
      <c r="A1180">
        <v>489159</v>
      </c>
      <c r="B1180">
        <v>100</v>
      </c>
      <c r="C1180">
        <v>8</v>
      </c>
      <c r="D1180">
        <v>3.75</v>
      </c>
      <c r="E1180">
        <v>2.4500000000000002</v>
      </c>
      <c r="F1180">
        <v>3.75</v>
      </c>
      <c r="G1180">
        <v>2.4500000000000002</v>
      </c>
      <c r="H1180">
        <v>3.8630000000000001E-3</v>
      </c>
      <c r="I1180">
        <v>8.976151968503937E-2</v>
      </c>
      <c r="J1180">
        <v>0.12507922531496071</v>
      </c>
      <c r="K1180">
        <v>0.21484074500000008</v>
      </c>
      <c r="L1180">
        <v>0.71763731714049084</v>
      </c>
      <c r="M1180">
        <v>8.976151968503937E-2</v>
      </c>
      <c r="N1180">
        <v>0.12288697281496067</v>
      </c>
    </row>
    <row r="1181" spans="1:14" x14ac:dyDescent="0.2">
      <c r="B1181">
        <v>100</v>
      </c>
      <c r="C1181">
        <v>8</v>
      </c>
      <c r="D1181">
        <v>3.7</v>
      </c>
      <c r="E1181">
        <v>2.4</v>
      </c>
      <c r="F1181">
        <v>3.7</v>
      </c>
      <c r="G1181">
        <v>2.4</v>
      </c>
      <c r="H1181">
        <v>3.8630000000000001E-3</v>
      </c>
      <c r="I1181">
        <v>8.9761519685039384E-2</v>
      </c>
      <c r="J1181">
        <v>0.12069472031496062</v>
      </c>
      <c r="K1181">
        <v>0.21045624000000002</v>
      </c>
      <c r="L1181">
        <v>0.74370709382151046</v>
      </c>
    </row>
    <row r="1182" spans="1:14" x14ac:dyDescent="0.2">
      <c r="A1182">
        <v>489160</v>
      </c>
      <c r="B1182">
        <v>100</v>
      </c>
      <c r="C1182">
        <v>8</v>
      </c>
      <c r="D1182">
        <v>5.7</v>
      </c>
      <c r="E1182">
        <v>3.55</v>
      </c>
      <c r="F1182">
        <v>5.7</v>
      </c>
      <c r="G1182">
        <v>3.55</v>
      </c>
      <c r="H1182">
        <v>3.8630000000000001E-3</v>
      </c>
      <c r="I1182">
        <v>0.14845174409448822</v>
      </c>
      <c r="J1182">
        <v>0.16284811090551177</v>
      </c>
      <c r="K1182">
        <v>0.31129985500000001</v>
      </c>
      <c r="L1182">
        <v>0.91159635361458602</v>
      </c>
      <c r="M1182">
        <v>0.15535647637795275</v>
      </c>
      <c r="N1182">
        <v>0.16252013612204724</v>
      </c>
    </row>
    <row r="1183" spans="1:14" x14ac:dyDescent="0.2">
      <c r="B1183">
        <v>100</v>
      </c>
      <c r="C1183">
        <v>8</v>
      </c>
      <c r="D1183">
        <v>6.05</v>
      </c>
      <c r="E1183">
        <v>3.7</v>
      </c>
      <c r="F1183">
        <v>6.05</v>
      </c>
      <c r="G1183">
        <v>3.7</v>
      </c>
      <c r="H1183">
        <v>3.8630000000000001E-3</v>
      </c>
      <c r="I1183">
        <v>0.1622612086614173</v>
      </c>
      <c r="J1183">
        <v>0.16219216133858275</v>
      </c>
      <c r="K1183">
        <v>0.32445337000000007</v>
      </c>
      <c r="L1183">
        <v>1.0004257130693908</v>
      </c>
    </row>
    <row r="1184" spans="1:14" x14ac:dyDescent="0.2">
      <c r="A1184">
        <v>489161</v>
      </c>
      <c r="B1184">
        <v>100</v>
      </c>
      <c r="C1184">
        <v>7</v>
      </c>
      <c r="D1184">
        <v>3</v>
      </c>
      <c r="E1184">
        <v>1.75</v>
      </c>
      <c r="F1184">
        <v>3</v>
      </c>
      <c r="G1184">
        <v>1.75</v>
      </c>
      <c r="H1184">
        <v>9.7450000000000002E-3</v>
      </c>
      <c r="I1184">
        <v>0.21772785433070865</v>
      </c>
      <c r="J1184">
        <v>0.16939227066929136</v>
      </c>
      <c r="K1184">
        <v>0.38712012500000004</v>
      </c>
      <c r="L1184">
        <v>1.2853470437017993</v>
      </c>
      <c r="M1184">
        <v>0.21337329724409448</v>
      </c>
      <c r="N1184">
        <v>0.18480740275590557</v>
      </c>
    </row>
    <row r="1185" spans="1:14" x14ac:dyDescent="0.2">
      <c r="B1185">
        <v>100</v>
      </c>
      <c r="C1185">
        <v>7</v>
      </c>
      <c r="D1185">
        <v>3.05</v>
      </c>
      <c r="E1185">
        <v>1.85</v>
      </c>
      <c r="F1185">
        <v>3.05</v>
      </c>
      <c r="G1185">
        <v>1.85</v>
      </c>
      <c r="H1185">
        <v>9.7450000000000002E-3</v>
      </c>
      <c r="I1185">
        <v>0.20901874015748029</v>
      </c>
      <c r="J1185">
        <v>0.20022253484251981</v>
      </c>
      <c r="K1185">
        <v>0.40924127500000007</v>
      </c>
      <c r="L1185">
        <v>1.0439321444106124</v>
      </c>
    </row>
    <row r="1186" spans="1:14" x14ac:dyDescent="0.2">
      <c r="A1186">
        <v>489162</v>
      </c>
      <c r="B1186">
        <v>100</v>
      </c>
      <c r="C1186">
        <v>7</v>
      </c>
      <c r="D1186">
        <v>2.95</v>
      </c>
      <c r="E1186">
        <v>1.75</v>
      </c>
      <c r="F1186">
        <v>2.95</v>
      </c>
      <c r="G1186">
        <v>1.75</v>
      </c>
      <c r="H1186">
        <v>9.7450000000000002E-3</v>
      </c>
      <c r="I1186">
        <v>0.20901874015748034</v>
      </c>
      <c r="J1186">
        <v>0.17810138484251969</v>
      </c>
      <c r="K1186">
        <v>0.38712012500000004</v>
      </c>
      <c r="L1186">
        <v>1.1735941320293399</v>
      </c>
      <c r="M1186">
        <v>0.21337329724409448</v>
      </c>
      <c r="N1186">
        <v>0.16268625275590551</v>
      </c>
    </row>
    <row r="1187" spans="1:14" x14ac:dyDescent="0.2">
      <c r="B1187">
        <v>100</v>
      </c>
      <c r="C1187">
        <v>7</v>
      </c>
      <c r="D1187">
        <v>2.9</v>
      </c>
      <c r="E1187">
        <v>1.65</v>
      </c>
      <c r="F1187">
        <v>2.9</v>
      </c>
      <c r="G1187">
        <v>1.65</v>
      </c>
      <c r="H1187">
        <v>9.7450000000000002E-3</v>
      </c>
      <c r="I1187">
        <v>0.21772785433070865</v>
      </c>
      <c r="J1187">
        <v>0.14727112066929132</v>
      </c>
      <c r="K1187">
        <v>0.364998975</v>
      </c>
      <c r="L1187">
        <v>1.4784151389710232</v>
      </c>
    </row>
    <row r="1188" spans="1:14" x14ac:dyDescent="0.2">
      <c r="A1188">
        <v>489163</v>
      </c>
      <c r="B1188">
        <v>100</v>
      </c>
      <c r="C1188">
        <v>7</v>
      </c>
      <c r="D1188">
        <v>3.5</v>
      </c>
      <c r="E1188">
        <v>2.15</v>
      </c>
      <c r="F1188">
        <v>3.5</v>
      </c>
      <c r="G1188">
        <v>2.15</v>
      </c>
      <c r="H1188">
        <v>9.7450000000000002E-3</v>
      </c>
      <c r="I1188">
        <v>0.23514608267716539</v>
      </c>
      <c r="J1188">
        <v>0.24045864232283468</v>
      </c>
      <c r="K1188">
        <v>0.47560472500000006</v>
      </c>
      <c r="L1188">
        <v>0.97790655559579864</v>
      </c>
      <c r="M1188">
        <v>0.21337329724409454</v>
      </c>
      <c r="N1188">
        <v>0.27329200275590548</v>
      </c>
    </row>
    <row r="1189" spans="1:14" x14ac:dyDescent="0.2">
      <c r="B1189">
        <v>100</v>
      </c>
      <c r="C1189">
        <v>7</v>
      </c>
      <c r="D1189">
        <v>3.35</v>
      </c>
      <c r="E1189">
        <v>2.25</v>
      </c>
      <c r="F1189">
        <v>3.35</v>
      </c>
      <c r="G1189">
        <v>2.25</v>
      </c>
      <c r="H1189">
        <v>9.7450000000000002E-3</v>
      </c>
      <c r="I1189">
        <v>0.19160051181102367</v>
      </c>
      <c r="J1189">
        <v>0.30612536318897632</v>
      </c>
      <c r="K1189">
        <v>0.49772587499999998</v>
      </c>
      <c r="L1189">
        <v>0.62588904694167879</v>
      </c>
    </row>
    <row r="1190" spans="1:14" x14ac:dyDescent="0.2">
      <c r="A1190">
        <v>489164</v>
      </c>
      <c r="B1190">
        <v>100</v>
      </c>
      <c r="C1190">
        <v>7</v>
      </c>
      <c r="D1190">
        <v>3.95</v>
      </c>
      <c r="E1190">
        <v>2.6</v>
      </c>
      <c r="F1190">
        <v>3.95</v>
      </c>
      <c r="G1190">
        <v>2.6</v>
      </c>
      <c r="H1190">
        <v>9.7450000000000002E-3</v>
      </c>
      <c r="I1190">
        <v>0.23514608267716539</v>
      </c>
      <c r="J1190">
        <v>0.34000381732283458</v>
      </c>
      <c r="K1190">
        <v>0.57514989999999999</v>
      </c>
      <c r="L1190">
        <v>0.69159836065573799</v>
      </c>
      <c r="M1190">
        <v>0.23950063976377955</v>
      </c>
      <c r="N1190">
        <v>0.29693724773622043</v>
      </c>
    </row>
    <row r="1191" spans="1:14" x14ac:dyDescent="0.2">
      <c r="B1191">
        <v>100</v>
      </c>
      <c r="C1191">
        <v>7</v>
      </c>
      <c r="D1191">
        <v>3.65</v>
      </c>
      <c r="E1191">
        <v>2.25</v>
      </c>
      <c r="F1191">
        <v>3.65</v>
      </c>
      <c r="G1191">
        <v>2.25</v>
      </c>
      <c r="H1191">
        <v>9.7450000000000002E-3</v>
      </c>
      <c r="I1191">
        <v>0.2438551968503937</v>
      </c>
      <c r="J1191">
        <v>0.25387067814960623</v>
      </c>
      <c r="K1191">
        <v>0.49772587499999993</v>
      </c>
      <c r="L1191">
        <v>0.96054888507718716</v>
      </c>
    </row>
    <row r="1192" spans="1:14" x14ac:dyDescent="0.2">
      <c r="A1192">
        <v>489165</v>
      </c>
      <c r="B1192">
        <v>100</v>
      </c>
      <c r="C1192">
        <v>7</v>
      </c>
      <c r="D1192">
        <v>8</v>
      </c>
      <c r="E1192">
        <v>4.4000000000000004</v>
      </c>
      <c r="F1192">
        <v>8</v>
      </c>
      <c r="G1192">
        <v>4.4000000000000004</v>
      </c>
      <c r="H1192">
        <v>9.7450000000000002E-3</v>
      </c>
      <c r="I1192">
        <v>0.62705622047244081</v>
      </c>
      <c r="J1192">
        <v>0.34627437952755924</v>
      </c>
      <c r="K1192">
        <v>0.97333060000000005</v>
      </c>
      <c r="L1192">
        <v>1.8108651911468798</v>
      </c>
      <c r="M1192">
        <v>0.61834710629921252</v>
      </c>
      <c r="N1192">
        <v>0.34392291870078739</v>
      </c>
    </row>
    <row r="1193" spans="1:14" x14ac:dyDescent="0.2">
      <c r="B1193">
        <v>100</v>
      </c>
      <c r="C1193">
        <v>7</v>
      </c>
      <c r="D1193">
        <v>7.8</v>
      </c>
      <c r="E1193">
        <v>4.3</v>
      </c>
      <c r="F1193">
        <v>7.8</v>
      </c>
      <c r="G1193">
        <v>4.3</v>
      </c>
      <c r="H1193">
        <v>9.7450000000000002E-3</v>
      </c>
      <c r="I1193">
        <v>0.60963799212598435</v>
      </c>
      <c r="J1193">
        <v>0.3415714578740156</v>
      </c>
      <c r="K1193">
        <v>0.9512094499999999</v>
      </c>
      <c r="L1193">
        <v>1.7848036715961255</v>
      </c>
    </row>
    <row r="1194" spans="1:14" x14ac:dyDescent="0.2">
      <c r="A1194">
        <v>489166</v>
      </c>
      <c r="B1194">
        <v>100</v>
      </c>
      <c r="C1194">
        <v>6</v>
      </c>
      <c r="D1194">
        <v>2.5499999999999998</v>
      </c>
      <c r="E1194">
        <v>1.4</v>
      </c>
      <c r="F1194">
        <v>2.5499999999999998</v>
      </c>
      <c r="G1194">
        <v>1.4</v>
      </c>
      <c r="H1194">
        <v>3.5767E-2</v>
      </c>
      <c r="I1194">
        <v>0.73519490944881893</v>
      </c>
      <c r="J1194">
        <v>0.40148035055118131</v>
      </c>
      <c r="K1194">
        <v>1.1366752600000003</v>
      </c>
      <c r="L1194">
        <v>1.8312101910828018</v>
      </c>
      <c r="M1194">
        <v>0.75117740748031503</v>
      </c>
      <c r="N1194">
        <v>0.3854978525196851</v>
      </c>
    </row>
    <row r="1195" spans="1:14" x14ac:dyDescent="0.2">
      <c r="B1195">
        <v>100</v>
      </c>
      <c r="C1195">
        <v>6</v>
      </c>
      <c r="D1195">
        <v>2.6</v>
      </c>
      <c r="E1195">
        <v>1.4</v>
      </c>
      <c r="F1195">
        <v>2.6</v>
      </c>
      <c r="G1195">
        <v>1.4</v>
      </c>
      <c r="H1195">
        <v>3.5767E-2</v>
      </c>
      <c r="I1195">
        <v>0.76715990551181112</v>
      </c>
      <c r="J1195">
        <v>0.3695153544881889</v>
      </c>
      <c r="K1195">
        <v>1.1366752600000001</v>
      </c>
      <c r="L1195">
        <v>2.0761245674740492</v>
      </c>
    </row>
    <row r="1196" spans="1:14" x14ac:dyDescent="0.2">
      <c r="A1196">
        <v>489167</v>
      </c>
      <c r="B1196">
        <v>100</v>
      </c>
      <c r="C1196">
        <v>6</v>
      </c>
      <c r="D1196">
        <v>2.5</v>
      </c>
      <c r="E1196">
        <v>1.3</v>
      </c>
      <c r="F1196">
        <v>2.5</v>
      </c>
      <c r="G1196">
        <v>1.3</v>
      </c>
      <c r="H1196">
        <v>3.5767E-2</v>
      </c>
      <c r="I1196">
        <v>0.7671599055118109</v>
      </c>
      <c r="J1196">
        <v>0.28832426448818893</v>
      </c>
      <c r="K1196">
        <v>1.0554841699999997</v>
      </c>
      <c r="L1196">
        <v>2.6607538802660753</v>
      </c>
      <c r="M1196">
        <v>0.75117740748031492</v>
      </c>
      <c r="N1196">
        <v>0.30430676251968503</v>
      </c>
    </row>
    <row r="1197" spans="1:14" x14ac:dyDescent="0.2">
      <c r="B1197">
        <v>100</v>
      </c>
      <c r="C1197">
        <v>6</v>
      </c>
      <c r="D1197">
        <v>2.4500000000000002</v>
      </c>
      <c r="E1197">
        <v>1.3</v>
      </c>
      <c r="F1197">
        <v>2.4500000000000002</v>
      </c>
      <c r="G1197">
        <v>1.3</v>
      </c>
      <c r="H1197">
        <v>3.5767E-2</v>
      </c>
      <c r="I1197">
        <v>0.73519490944881893</v>
      </c>
      <c r="J1197">
        <v>0.32028926055118107</v>
      </c>
      <c r="K1197">
        <v>1.0554841699999999</v>
      </c>
      <c r="L1197">
        <v>2.2954091816367268</v>
      </c>
    </row>
    <row r="1198" spans="1:14" x14ac:dyDescent="0.2">
      <c r="A1198">
        <v>489172</v>
      </c>
      <c r="B1198">
        <v>100</v>
      </c>
      <c r="C1198">
        <v>8</v>
      </c>
      <c r="D1198">
        <v>2.5499999999999998</v>
      </c>
      <c r="E1198">
        <v>1.6</v>
      </c>
      <c r="F1198">
        <v>2.5499999999999998</v>
      </c>
      <c r="G1198">
        <v>1.6</v>
      </c>
      <c r="H1198">
        <v>3.8630000000000001E-3</v>
      </c>
      <c r="I1198">
        <v>6.5594956692913375E-2</v>
      </c>
      <c r="J1198">
        <v>7.4709203307086677E-2</v>
      </c>
      <c r="K1198">
        <v>0.14030416000000007</v>
      </c>
      <c r="L1198">
        <v>0.8780036968576701</v>
      </c>
      <c r="M1198">
        <v>6.3868773622047237E-2</v>
      </c>
      <c r="N1198">
        <v>8.0819891377952799E-2</v>
      </c>
    </row>
    <row r="1199" spans="1:14" x14ac:dyDescent="0.2">
      <c r="B1199">
        <v>100</v>
      </c>
      <c r="C1199">
        <v>8</v>
      </c>
      <c r="D1199">
        <v>2.6</v>
      </c>
      <c r="E1199">
        <v>1.7</v>
      </c>
      <c r="F1199">
        <v>2.6</v>
      </c>
      <c r="G1199">
        <v>1.7</v>
      </c>
      <c r="H1199">
        <v>3.8630000000000001E-3</v>
      </c>
      <c r="I1199">
        <v>6.2142590551181112E-2</v>
      </c>
      <c r="J1199">
        <v>8.693057944881892E-2</v>
      </c>
      <c r="K1199">
        <v>0.14907317000000003</v>
      </c>
      <c r="L1199">
        <v>0.71485305798252574</v>
      </c>
    </row>
    <row r="1200" spans="1:14" x14ac:dyDescent="0.2">
      <c r="A1200">
        <v>489173</v>
      </c>
      <c r="B1200">
        <v>100</v>
      </c>
      <c r="C1200">
        <v>8</v>
      </c>
      <c r="D1200">
        <v>4</v>
      </c>
      <c r="E1200">
        <v>2.4</v>
      </c>
      <c r="F1200">
        <v>4</v>
      </c>
      <c r="G1200">
        <v>2.4</v>
      </c>
      <c r="H1200">
        <v>3.8630000000000001E-3</v>
      </c>
      <c r="I1200">
        <v>0.11047571653543307</v>
      </c>
      <c r="J1200">
        <v>9.9980523464566942E-2</v>
      </c>
      <c r="K1200">
        <v>0.21045624000000002</v>
      </c>
      <c r="L1200">
        <v>1.1049723756906076</v>
      </c>
      <c r="M1200">
        <v>0.11047571653543306</v>
      </c>
      <c r="N1200">
        <v>0.10217277596456696</v>
      </c>
    </row>
    <row r="1201" spans="1:14" x14ac:dyDescent="0.2">
      <c r="B1201">
        <v>100</v>
      </c>
      <c r="C1201">
        <v>8</v>
      </c>
      <c r="D1201">
        <v>4.05</v>
      </c>
      <c r="E1201">
        <v>2.4500000000000002</v>
      </c>
      <c r="F1201">
        <v>4.05</v>
      </c>
      <c r="G1201">
        <v>2.4500000000000002</v>
      </c>
      <c r="H1201">
        <v>3.8630000000000001E-3</v>
      </c>
      <c r="I1201">
        <v>0.11047571653543306</v>
      </c>
      <c r="J1201">
        <v>0.10436502846456698</v>
      </c>
      <c r="K1201">
        <v>0.21484074500000006</v>
      </c>
      <c r="L1201">
        <v>1.0585511081706906</v>
      </c>
    </row>
    <row r="1202" spans="1:14" x14ac:dyDescent="0.2">
      <c r="A1202">
        <v>489174</v>
      </c>
      <c r="B1202">
        <v>100</v>
      </c>
      <c r="C1202">
        <v>8</v>
      </c>
      <c r="D1202">
        <v>4.3499999999999996</v>
      </c>
      <c r="E1202">
        <v>2.7</v>
      </c>
      <c r="F1202">
        <v>4.3499999999999996</v>
      </c>
      <c r="G1202">
        <v>2.7</v>
      </c>
      <c r="H1202">
        <v>3.8630000000000001E-3</v>
      </c>
      <c r="I1202">
        <v>0.11392808267716532</v>
      </c>
      <c r="J1202">
        <v>0.1228351873228347</v>
      </c>
      <c r="K1202">
        <v>0.23676327000000003</v>
      </c>
      <c r="L1202">
        <v>0.9274873524451932</v>
      </c>
      <c r="M1202">
        <v>0.11392808267716537</v>
      </c>
      <c r="N1202">
        <v>0.13598870232283464</v>
      </c>
    </row>
    <row r="1203" spans="1:14" x14ac:dyDescent="0.2">
      <c r="B1203">
        <v>100</v>
      </c>
      <c r="C1203">
        <v>8</v>
      </c>
      <c r="D1203">
        <v>4.6500000000000004</v>
      </c>
      <c r="E1203">
        <v>3</v>
      </c>
      <c r="F1203">
        <v>4.6500000000000004</v>
      </c>
      <c r="G1203">
        <v>3</v>
      </c>
      <c r="H1203">
        <v>3.8630000000000001E-3</v>
      </c>
      <c r="I1203">
        <v>0.11392808267716539</v>
      </c>
      <c r="J1203">
        <v>0.14914221732283459</v>
      </c>
      <c r="K1203">
        <v>0.26307029999999998</v>
      </c>
      <c r="L1203">
        <v>0.76388888888888951</v>
      </c>
    </row>
    <row r="1204" spans="1:14" x14ac:dyDescent="0.2">
      <c r="A1204">
        <v>489176</v>
      </c>
      <c r="B1204">
        <v>100</v>
      </c>
      <c r="C1204">
        <v>7</v>
      </c>
      <c r="D1204">
        <v>3.7</v>
      </c>
      <c r="E1204">
        <v>2.25</v>
      </c>
      <c r="F1204">
        <v>3.7</v>
      </c>
      <c r="G1204">
        <v>2.25</v>
      </c>
      <c r="H1204">
        <v>9.7450000000000002E-3</v>
      </c>
      <c r="I1204">
        <v>0.25256431102362209</v>
      </c>
      <c r="J1204">
        <v>0.24516156397637789</v>
      </c>
      <c r="K1204">
        <v>0.49772587499999998</v>
      </c>
      <c r="L1204">
        <v>1.0301953818827714</v>
      </c>
      <c r="M1204">
        <v>0.25256431102362209</v>
      </c>
      <c r="N1204">
        <v>0.22304041397637792</v>
      </c>
    </row>
    <row r="1205" spans="1:14" x14ac:dyDescent="0.2">
      <c r="B1205">
        <v>100</v>
      </c>
      <c r="C1205">
        <v>7</v>
      </c>
      <c r="D1205">
        <v>3.5</v>
      </c>
      <c r="E1205">
        <v>2.0499999999999998</v>
      </c>
      <c r="F1205">
        <v>3.5</v>
      </c>
      <c r="G1205">
        <v>2.0499999999999998</v>
      </c>
      <c r="H1205">
        <v>9.7450000000000002E-3</v>
      </c>
      <c r="I1205">
        <v>0.25256431102362209</v>
      </c>
      <c r="J1205">
        <v>0.20091926397637797</v>
      </c>
      <c r="K1205">
        <v>0.45348357500000003</v>
      </c>
      <c r="L1205">
        <v>1.2570437798006069</v>
      </c>
    </row>
    <row r="1206" spans="1:14" x14ac:dyDescent="0.2">
      <c r="A1206">
        <v>489177</v>
      </c>
      <c r="B1206">
        <v>100</v>
      </c>
      <c r="C1206">
        <v>7</v>
      </c>
      <c r="D1206">
        <v>7.15</v>
      </c>
      <c r="E1206">
        <v>4</v>
      </c>
      <c r="F1206">
        <v>7.15</v>
      </c>
      <c r="G1206">
        <v>4</v>
      </c>
      <c r="H1206">
        <v>9.7450000000000002E-3</v>
      </c>
      <c r="I1206">
        <v>0.54867419291338593</v>
      </c>
      <c r="J1206">
        <v>0.33617180708661415</v>
      </c>
      <c r="K1206">
        <v>0.88484600000000002</v>
      </c>
      <c r="L1206">
        <v>1.6321243523316067</v>
      </c>
      <c r="M1206">
        <v>0.54431963582677168</v>
      </c>
      <c r="N1206">
        <v>0.36817780167322833</v>
      </c>
    </row>
    <row r="1207" spans="1:14" x14ac:dyDescent="0.2">
      <c r="B1207">
        <v>100</v>
      </c>
      <c r="C1207">
        <v>7</v>
      </c>
      <c r="D1207">
        <v>7.35</v>
      </c>
      <c r="E1207">
        <v>4.25</v>
      </c>
      <c r="F1207">
        <v>7.35</v>
      </c>
      <c r="G1207">
        <v>4.25</v>
      </c>
      <c r="H1207">
        <v>9.7450000000000002E-3</v>
      </c>
      <c r="I1207">
        <v>0.53996507874015753</v>
      </c>
      <c r="J1207">
        <v>0.40018379625984257</v>
      </c>
      <c r="K1207">
        <v>0.94014887500000011</v>
      </c>
      <c r="L1207">
        <v>1.3492927094668117</v>
      </c>
    </row>
    <row r="1208" spans="1:14" x14ac:dyDescent="0.2">
      <c r="A1208">
        <v>489178</v>
      </c>
      <c r="B1208">
        <v>100</v>
      </c>
      <c r="C1208">
        <v>6</v>
      </c>
      <c r="D1208">
        <v>4.0999999999999996</v>
      </c>
      <c r="E1208">
        <v>2.2000000000000002</v>
      </c>
      <c r="F1208">
        <v>4.0999999999999996</v>
      </c>
      <c r="G1208">
        <v>2.2000000000000002</v>
      </c>
      <c r="H1208">
        <v>3.5767E-2</v>
      </c>
      <c r="I1208">
        <v>1.2146698503937003</v>
      </c>
      <c r="J1208">
        <v>0.57153412960629968</v>
      </c>
      <c r="K1208">
        <v>1.78620398</v>
      </c>
      <c r="L1208">
        <v>2.125279642058163</v>
      </c>
      <c r="M1208">
        <v>1.2306523484251966</v>
      </c>
      <c r="N1208">
        <v>0.61644494907480341</v>
      </c>
    </row>
    <row r="1209" spans="1:14" x14ac:dyDescent="0.2">
      <c r="B1209">
        <v>100</v>
      </c>
      <c r="C1209">
        <v>6</v>
      </c>
      <c r="D1209">
        <v>4.3</v>
      </c>
      <c r="E1209">
        <v>2.35</v>
      </c>
      <c r="F1209">
        <v>4.3</v>
      </c>
      <c r="G1209">
        <v>2.35</v>
      </c>
      <c r="H1209">
        <v>3.5767E-2</v>
      </c>
      <c r="I1209">
        <v>1.2466348464566928</v>
      </c>
      <c r="J1209">
        <v>0.66135576854330724</v>
      </c>
      <c r="K1209">
        <v>1.9079906150000001</v>
      </c>
      <c r="L1209">
        <v>1.884968583856935</v>
      </c>
    </row>
    <row r="1210" spans="1:14" x14ac:dyDescent="0.2">
      <c r="A1210">
        <v>489180</v>
      </c>
      <c r="B1210">
        <v>100</v>
      </c>
      <c r="C1210">
        <v>7</v>
      </c>
      <c r="D1210">
        <v>4.3</v>
      </c>
      <c r="E1210">
        <v>2.25</v>
      </c>
      <c r="F1210">
        <v>4.3</v>
      </c>
      <c r="G1210">
        <v>2.25</v>
      </c>
      <c r="H1210">
        <v>9.7450000000000002E-3</v>
      </c>
      <c r="I1210">
        <v>0.35707368110236215</v>
      </c>
      <c r="J1210">
        <v>0.14065219389763775</v>
      </c>
      <c r="K1210">
        <v>0.49772587499999987</v>
      </c>
      <c r="L1210">
        <v>2.5386996904024772</v>
      </c>
      <c r="M1210">
        <v>0.35707368110236215</v>
      </c>
      <c r="N1210">
        <v>0.14065219389763775</v>
      </c>
    </row>
    <row r="1211" spans="1:14" x14ac:dyDescent="0.2">
      <c r="B1211">
        <v>100</v>
      </c>
      <c r="C1211">
        <v>7</v>
      </c>
      <c r="D1211">
        <v>4.3</v>
      </c>
      <c r="E1211">
        <v>2.25</v>
      </c>
      <c r="F1211">
        <v>4.3</v>
      </c>
      <c r="G1211">
        <v>2.25</v>
      </c>
      <c r="H1211">
        <v>9.7450000000000002E-3</v>
      </c>
      <c r="I1211">
        <v>0.35707368110236215</v>
      </c>
      <c r="J1211">
        <v>0.14065219389763775</v>
      </c>
      <c r="K1211">
        <v>0.49772587499999987</v>
      </c>
      <c r="L1211">
        <v>2.5386996904024772</v>
      </c>
    </row>
    <row r="1212" spans="1:14" x14ac:dyDescent="0.2">
      <c r="A1212">
        <v>489181</v>
      </c>
      <c r="B1212">
        <v>100</v>
      </c>
      <c r="C1212">
        <v>7</v>
      </c>
      <c r="D1212">
        <v>3.9</v>
      </c>
      <c r="E1212">
        <v>2.0499999999999998</v>
      </c>
      <c r="F1212">
        <v>3.9</v>
      </c>
      <c r="G1212">
        <v>2.0499999999999998</v>
      </c>
      <c r="H1212">
        <v>9.7450000000000002E-3</v>
      </c>
      <c r="I1212">
        <v>0.32223722440944891</v>
      </c>
      <c r="J1212">
        <v>0.13124635059055112</v>
      </c>
      <c r="K1212">
        <v>0.45348357500000003</v>
      </c>
      <c r="L1212">
        <v>2.4552090245520919</v>
      </c>
      <c r="M1212">
        <v>0.32223722440944891</v>
      </c>
      <c r="N1212">
        <v>0.11465548809055118</v>
      </c>
    </row>
    <row r="1213" spans="1:14" x14ac:dyDescent="0.2">
      <c r="B1213">
        <v>100</v>
      </c>
      <c r="C1213">
        <v>7</v>
      </c>
      <c r="D1213">
        <v>3.75</v>
      </c>
      <c r="E1213">
        <v>1.9</v>
      </c>
      <c r="F1213">
        <v>3.75</v>
      </c>
      <c r="G1213">
        <v>1.9</v>
      </c>
      <c r="H1213">
        <v>9.7450000000000002E-3</v>
      </c>
      <c r="I1213">
        <v>0.32223722440944891</v>
      </c>
      <c r="J1213">
        <v>9.8064625590551249E-2</v>
      </c>
      <c r="K1213">
        <v>0.42030185000000014</v>
      </c>
      <c r="L1213">
        <v>3.2859680284191817</v>
      </c>
    </row>
    <row r="1214" spans="1:14" x14ac:dyDescent="0.2">
      <c r="A1214">
        <v>489186</v>
      </c>
      <c r="B1214">
        <v>100</v>
      </c>
      <c r="C1214">
        <v>8</v>
      </c>
      <c r="D1214">
        <v>1.55</v>
      </c>
      <c r="E1214">
        <v>1.1000000000000001</v>
      </c>
      <c r="F1214">
        <v>1.55</v>
      </c>
      <c r="G1214">
        <v>1.1000000000000001</v>
      </c>
      <c r="H1214">
        <v>3.8630000000000001E-3</v>
      </c>
      <c r="I1214">
        <v>3.1071295275590546E-2</v>
      </c>
      <c r="J1214">
        <v>6.5387814724409465E-2</v>
      </c>
      <c r="K1214">
        <v>9.6459110000000015E-2</v>
      </c>
      <c r="L1214">
        <v>0.47518479408658904</v>
      </c>
      <c r="M1214">
        <v>3.4523661417322833E-2</v>
      </c>
      <c r="N1214">
        <v>5.9743196082677169E-2</v>
      </c>
    </row>
    <row r="1215" spans="1:14" x14ac:dyDescent="0.2">
      <c r="B1215">
        <v>100</v>
      </c>
      <c r="C1215">
        <v>8</v>
      </c>
      <c r="D1215">
        <v>1.6</v>
      </c>
      <c r="E1215">
        <v>1.05</v>
      </c>
      <c r="F1215">
        <v>1.6</v>
      </c>
      <c r="G1215">
        <v>1.05</v>
      </c>
      <c r="H1215">
        <v>3.8630000000000001E-3</v>
      </c>
      <c r="I1215">
        <v>3.7976027559055124E-2</v>
      </c>
      <c r="J1215">
        <v>5.4098577440944873E-2</v>
      </c>
      <c r="K1215">
        <v>9.2074605000000004E-2</v>
      </c>
      <c r="L1215">
        <v>0.70197830248883242</v>
      </c>
    </row>
    <row r="1216" spans="1:14" x14ac:dyDescent="0.2">
      <c r="A1216">
        <v>489187</v>
      </c>
      <c r="B1216">
        <v>100</v>
      </c>
      <c r="C1216">
        <v>8</v>
      </c>
      <c r="D1216">
        <v>1.35</v>
      </c>
      <c r="E1216">
        <v>1</v>
      </c>
      <c r="F1216">
        <v>1.35</v>
      </c>
      <c r="G1216">
        <v>1</v>
      </c>
      <c r="H1216">
        <v>3.8630000000000001E-3</v>
      </c>
      <c r="I1216">
        <v>2.4166562992125992E-2</v>
      </c>
      <c r="J1216">
        <v>6.3523537007874026E-2</v>
      </c>
      <c r="K1216">
        <v>8.7690100000000021E-2</v>
      </c>
      <c r="L1216">
        <v>0.38043478260869573</v>
      </c>
      <c r="M1216">
        <v>2.244037992125985E-2</v>
      </c>
      <c r="N1216">
        <v>6.3057467578740159E-2</v>
      </c>
    </row>
    <row r="1217" spans="1:14" x14ac:dyDescent="0.2">
      <c r="B1217">
        <v>100</v>
      </c>
      <c r="C1217">
        <v>8</v>
      </c>
      <c r="D1217">
        <v>1.25</v>
      </c>
      <c r="E1217">
        <v>0.95</v>
      </c>
      <c r="F1217">
        <v>1.25</v>
      </c>
      <c r="G1217">
        <v>0.95</v>
      </c>
      <c r="H1217">
        <v>3.8630000000000001E-3</v>
      </c>
      <c r="I1217">
        <v>2.0714196850393704E-2</v>
      </c>
      <c r="J1217">
        <v>6.2591398149606292E-2</v>
      </c>
      <c r="K1217">
        <v>8.3305594999999996E-2</v>
      </c>
      <c r="L1217">
        <v>0.33094318808604534</v>
      </c>
    </row>
    <row r="1218" spans="1:14" x14ac:dyDescent="0.2">
      <c r="A1218">
        <v>489188</v>
      </c>
      <c r="B1218">
        <v>100</v>
      </c>
      <c r="C1218">
        <v>8</v>
      </c>
      <c r="D1218">
        <v>3.55</v>
      </c>
      <c r="E1218">
        <v>2.25</v>
      </c>
      <c r="F1218">
        <v>3.55</v>
      </c>
      <c r="G1218">
        <v>2.25</v>
      </c>
      <c r="H1218">
        <v>3.8630000000000001E-3</v>
      </c>
      <c r="I1218">
        <v>8.976151968503937E-2</v>
      </c>
      <c r="J1218">
        <v>0.10754120531496064</v>
      </c>
      <c r="K1218">
        <v>0.19730272500000001</v>
      </c>
      <c r="L1218">
        <v>0.83467094703049749</v>
      </c>
      <c r="M1218">
        <v>8.6309153543307093E-2</v>
      </c>
      <c r="N1218">
        <v>0.10660906645669291</v>
      </c>
    </row>
    <row r="1219" spans="1:14" x14ac:dyDescent="0.2">
      <c r="B1219">
        <v>100</v>
      </c>
      <c r="C1219">
        <v>8</v>
      </c>
      <c r="D1219">
        <v>3.35</v>
      </c>
      <c r="E1219">
        <v>2.15</v>
      </c>
      <c r="F1219">
        <v>3.35</v>
      </c>
      <c r="G1219">
        <v>2.15</v>
      </c>
      <c r="H1219">
        <v>3.8630000000000001E-3</v>
      </c>
      <c r="I1219">
        <v>8.2856787401574816E-2</v>
      </c>
      <c r="J1219">
        <v>0.10567692759842519</v>
      </c>
      <c r="K1219">
        <v>0.18853371499999999</v>
      </c>
      <c r="L1219">
        <v>0.78405749754982046</v>
      </c>
    </row>
    <row r="1220" spans="1:14" x14ac:dyDescent="0.2">
      <c r="A1220">
        <v>489189</v>
      </c>
      <c r="B1220">
        <v>100</v>
      </c>
      <c r="C1220">
        <v>8</v>
      </c>
      <c r="D1220">
        <v>4.1500000000000004</v>
      </c>
      <c r="E1220">
        <v>2.6</v>
      </c>
      <c r="F1220">
        <v>4.1500000000000004</v>
      </c>
      <c r="G1220">
        <v>2.6</v>
      </c>
      <c r="H1220">
        <v>3.8630000000000001E-3</v>
      </c>
      <c r="I1220">
        <v>0.1070233503937008</v>
      </c>
      <c r="J1220">
        <v>0.12097090960629917</v>
      </c>
      <c r="K1220">
        <v>0.22799425999999995</v>
      </c>
      <c r="L1220">
        <v>0.88470319634703243</v>
      </c>
      <c r="M1220">
        <v>0.10702335039370078</v>
      </c>
      <c r="N1220">
        <v>0.12535541460629918</v>
      </c>
    </row>
    <row r="1221" spans="1:14" x14ac:dyDescent="0.2">
      <c r="B1221">
        <v>100</v>
      </c>
      <c r="C1221">
        <v>8</v>
      </c>
      <c r="D1221">
        <v>4.25</v>
      </c>
      <c r="E1221">
        <v>2.7</v>
      </c>
      <c r="F1221">
        <v>4.25</v>
      </c>
      <c r="G1221">
        <v>2.7</v>
      </c>
      <c r="H1221">
        <v>3.8630000000000001E-3</v>
      </c>
      <c r="I1221">
        <v>0.10702335039370078</v>
      </c>
      <c r="J1221">
        <v>0.12973991960629921</v>
      </c>
      <c r="K1221">
        <v>0.23676327</v>
      </c>
      <c r="L1221">
        <v>0.82490686535391167</v>
      </c>
    </row>
    <row r="1222" spans="1:14" x14ac:dyDescent="0.2">
      <c r="A1222">
        <v>489191</v>
      </c>
      <c r="B1222">
        <v>100</v>
      </c>
      <c r="C1222">
        <v>6</v>
      </c>
      <c r="D1222">
        <v>3.95</v>
      </c>
      <c r="E1222">
        <v>2.0499999999999998</v>
      </c>
      <c r="F1222">
        <v>3.95</v>
      </c>
      <c r="G1222">
        <v>2.0499999999999998</v>
      </c>
      <c r="H1222">
        <v>3.5767E-2</v>
      </c>
      <c r="I1222">
        <v>1.214669850393701</v>
      </c>
      <c r="J1222">
        <v>0.44974749460629909</v>
      </c>
      <c r="K1222">
        <v>1.6644173450000002</v>
      </c>
      <c r="L1222">
        <v>2.7007818052594184</v>
      </c>
      <c r="M1222">
        <v>1.1667223562992128</v>
      </c>
      <c r="N1222">
        <v>0.47739721620078746</v>
      </c>
    </row>
    <row r="1223" spans="1:14" x14ac:dyDescent="0.2">
      <c r="B1223">
        <v>100</v>
      </c>
      <c r="C1223">
        <v>6</v>
      </c>
      <c r="D1223">
        <v>3.75</v>
      </c>
      <c r="E1223">
        <v>2</v>
      </c>
      <c r="F1223">
        <v>3.75</v>
      </c>
      <c r="G1223">
        <v>2</v>
      </c>
      <c r="H1223">
        <v>3.5767E-2</v>
      </c>
      <c r="I1223">
        <v>1.1187748622047244</v>
      </c>
      <c r="J1223">
        <v>0.50504693779527576</v>
      </c>
      <c r="K1223">
        <v>1.6238218000000002</v>
      </c>
      <c r="L1223">
        <v>2.2151898734177209</v>
      </c>
    </row>
    <row r="1224" spans="1:14" x14ac:dyDescent="0.2">
      <c r="A1224">
        <v>489192</v>
      </c>
      <c r="B1224">
        <v>100</v>
      </c>
      <c r="C1224">
        <v>6</v>
      </c>
      <c r="D1224">
        <v>2.4500000000000002</v>
      </c>
      <c r="E1224">
        <v>1.25</v>
      </c>
      <c r="F1224">
        <v>2.4500000000000002</v>
      </c>
      <c r="G1224">
        <v>1.25</v>
      </c>
      <c r="H1224">
        <v>3.5767E-2</v>
      </c>
      <c r="I1224">
        <v>0.76715990551181112</v>
      </c>
      <c r="J1224">
        <v>0.24772871948818906</v>
      </c>
      <c r="K1224">
        <v>1.0148886250000002</v>
      </c>
      <c r="L1224">
        <v>3.0967741935483866</v>
      </c>
      <c r="M1224">
        <v>0.75117740748031503</v>
      </c>
      <c r="N1224">
        <v>0.28400899001968505</v>
      </c>
    </row>
    <row r="1225" spans="1:14" x14ac:dyDescent="0.2">
      <c r="B1225">
        <v>100</v>
      </c>
      <c r="C1225">
        <v>6</v>
      </c>
      <c r="D1225">
        <v>2.4500000000000002</v>
      </c>
      <c r="E1225">
        <v>1.3</v>
      </c>
      <c r="F1225">
        <v>2.4500000000000002</v>
      </c>
      <c r="G1225">
        <v>1.3</v>
      </c>
      <c r="H1225">
        <v>3.5767E-2</v>
      </c>
      <c r="I1225">
        <v>0.73519490944881893</v>
      </c>
      <c r="J1225">
        <v>0.32028926055118107</v>
      </c>
      <c r="K1225">
        <v>1.0554841699999999</v>
      </c>
      <c r="L1225">
        <v>2.2954091816367268</v>
      </c>
    </row>
    <row r="1226" spans="1:14" x14ac:dyDescent="0.2">
      <c r="A1226">
        <v>489193</v>
      </c>
      <c r="B1226">
        <v>100</v>
      </c>
      <c r="C1226">
        <v>7</v>
      </c>
      <c r="D1226">
        <v>5.15</v>
      </c>
      <c r="E1226">
        <v>2.7</v>
      </c>
      <c r="F1226">
        <v>5.15</v>
      </c>
      <c r="G1226">
        <v>2.7</v>
      </c>
      <c r="H1226">
        <v>9.7450000000000002E-3</v>
      </c>
      <c r="I1226">
        <v>0.42674659448818902</v>
      </c>
      <c r="J1226">
        <v>0.17052445551181106</v>
      </c>
      <c r="K1226">
        <v>0.59727105000000003</v>
      </c>
      <c r="L1226">
        <v>2.5025536261491315</v>
      </c>
      <c r="M1226">
        <v>0.42239203740157483</v>
      </c>
      <c r="N1226">
        <v>0.15275786259842525</v>
      </c>
    </row>
    <row r="1227" spans="1:14" x14ac:dyDescent="0.2">
      <c r="B1227">
        <v>100</v>
      </c>
      <c r="C1227">
        <v>7</v>
      </c>
      <c r="D1227">
        <v>4.9000000000000004</v>
      </c>
      <c r="E1227">
        <v>2.5</v>
      </c>
      <c r="F1227">
        <v>4.9000000000000004</v>
      </c>
      <c r="G1227">
        <v>2.5</v>
      </c>
      <c r="H1227">
        <v>9.7450000000000002E-3</v>
      </c>
      <c r="I1227">
        <v>0.41803748031496069</v>
      </c>
      <c r="J1227">
        <v>0.13499126968503944</v>
      </c>
      <c r="K1227">
        <v>0.55302875000000018</v>
      </c>
      <c r="L1227">
        <v>3.0967741935483861</v>
      </c>
    </row>
    <row r="1228" spans="1:14" x14ac:dyDescent="0.2">
      <c r="A1228">
        <v>489194</v>
      </c>
      <c r="B1228">
        <v>100</v>
      </c>
      <c r="C1228">
        <v>7</v>
      </c>
      <c r="D1228">
        <v>5.3</v>
      </c>
      <c r="E1228">
        <v>2.75</v>
      </c>
      <c r="F1228">
        <v>5.3</v>
      </c>
      <c r="G1228">
        <v>2.75</v>
      </c>
      <c r="H1228">
        <v>9.7450000000000002E-3</v>
      </c>
      <c r="I1228">
        <v>0.4441648228346457</v>
      </c>
      <c r="J1228">
        <v>0.16416680216535437</v>
      </c>
      <c r="K1228">
        <v>0.60833162500000004</v>
      </c>
      <c r="L1228">
        <v>2.705570291777188</v>
      </c>
      <c r="M1228">
        <v>0.44416482283464576</v>
      </c>
      <c r="N1228">
        <v>0.14757593966535432</v>
      </c>
    </row>
    <row r="1229" spans="1:14" x14ac:dyDescent="0.2">
      <c r="B1229">
        <v>100</v>
      </c>
      <c r="C1229">
        <v>7</v>
      </c>
      <c r="D1229">
        <v>5.15</v>
      </c>
      <c r="E1229">
        <v>2.6</v>
      </c>
      <c r="F1229">
        <v>5.15</v>
      </c>
      <c r="G1229">
        <v>2.6</v>
      </c>
      <c r="H1229">
        <v>9.7450000000000002E-3</v>
      </c>
      <c r="I1229">
        <v>0.44416482283464576</v>
      </c>
      <c r="J1229">
        <v>0.13098507716535424</v>
      </c>
      <c r="K1229">
        <v>0.57514989999999999</v>
      </c>
      <c r="L1229">
        <v>3.390957446808514</v>
      </c>
    </row>
    <row r="1230" spans="1:14" x14ac:dyDescent="0.2">
      <c r="A1230">
        <v>489196</v>
      </c>
      <c r="B1230">
        <v>100</v>
      </c>
      <c r="C1230">
        <v>8</v>
      </c>
      <c r="D1230">
        <v>2.15</v>
      </c>
      <c r="E1230">
        <v>1.4</v>
      </c>
      <c r="F1230">
        <v>2.15</v>
      </c>
      <c r="G1230">
        <v>1.4</v>
      </c>
      <c r="H1230">
        <v>3.8630000000000001E-3</v>
      </c>
      <c r="I1230">
        <v>5.1785492125984253E-2</v>
      </c>
      <c r="J1230">
        <v>7.0980647874015743E-2</v>
      </c>
      <c r="K1230">
        <v>0.12276614</v>
      </c>
      <c r="L1230">
        <v>0.72957198443579774</v>
      </c>
      <c r="M1230">
        <v>5.1785492125984253E-2</v>
      </c>
      <c r="N1230">
        <v>6.4403890374015754E-2</v>
      </c>
    </row>
    <row r="1231" spans="1:14" x14ac:dyDescent="0.2">
      <c r="B1231">
        <v>100</v>
      </c>
      <c r="C1231">
        <v>8</v>
      </c>
      <c r="D1231">
        <v>2</v>
      </c>
      <c r="E1231">
        <v>1.25</v>
      </c>
      <c r="F1231">
        <v>2</v>
      </c>
      <c r="G1231">
        <v>1.25</v>
      </c>
      <c r="H1231">
        <v>3.8630000000000001E-3</v>
      </c>
      <c r="I1231">
        <v>5.1785492125984253E-2</v>
      </c>
      <c r="J1231">
        <v>5.7827132874015759E-2</v>
      </c>
      <c r="K1231">
        <v>0.10961262500000002</v>
      </c>
      <c r="L1231">
        <v>0.8955223880597013</v>
      </c>
    </row>
    <row r="1232" spans="1:14" x14ac:dyDescent="0.2">
      <c r="A1232">
        <v>489197</v>
      </c>
      <c r="B1232">
        <v>100</v>
      </c>
      <c r="C1232">
        <v>8</v>
      </c>
      <c r="D1232">
        <v>2.95</v>
      </c>
      <c r="E1232">
        <v>1.85</v>
      </c>
      <c r="F1232">
        <v>2.95</v>
      </c>
      <c r="G1232">
        <v>1.85</v>
      </c>
      <c r="H1232">
        <v>3.8630000000000001E-3</v>
      </c>
      <c r="I1232">
        <v>7.5952055118110248E-2</v>
      </c>
      <c r="J1232">
        <v>8.6274629881889789E-2</v>
      </c>
      <c r="K1232">
        <v>0.16222668500000004</v>
      </c>
      <c r="L1232">
        <v>0.88035214085634239</v>
      </c>
      <c r="M1232">
        <v>8.1130604330708678E-2</v>
      </c>
      <c r="N1232">
        <v>0.12055662566929135</v>
      </c>
    </row>
    <row r="1233" spans="1:14" x14ac:dyDescent="0.2">
      <c r="B1233">
        <v>100</v>
      </c>
      <c r="C1233">
        <v>8</v>
      </c>
      <c r="D1233">
        <v>4</v>
      </c>
      <c r="E1233">
        <v>2.75</v>
      </c>
      <c r="F1233">
        <v>4</v>
      </c>
      <c r="G1233">
        <v>2.75</v>
      </c>
      <c r="H1233">
        <v>3.8630000000000001E-3</v>
      </c>
      <c r="I1233">
        <v>8.6309153543307093E-2</v>
      </c>
      <c r="J1233">
        <v>0.15483862145669292</v>
      </c>
      <c r="K1233">
        <v>0.24114777500000001</v>
      </c>
      <c r="L1233">
        <v>0.55741360089186176</v>
      </c>
    </row>
    <row r="1234" spans="1:14" x14ac:dyDescent="0.2">
      <c r="A1234">
        <v>489198</v>
      </c>
      <c r="B1234">
        <v>100</v>
      </c>
      <c r="C1234">
        <v>8</v>
      </c>
      <c r="D1234">
        <v>4.3499999999999996</v>
      </c>
      <c r="E1234">
        <v>2.85</v>
      </c>
      <c r="F1234">
        <v>4.3499999999999996</v>
      </c>
      <c r="G1234">
        <v>2.85</v>
      </c>
      <c r="H1234">
        <v>3.8630000000000001E-3</v>
      </c>
      <c r="I1234">
        <v>0.10357098425196848</v>
      </c>
      <c r="J1234">
        <v>0.14634580074803158</v>
      </c>
      <c r="K1234">
        <v>0.24991678500000006</v>
      </c>
      <c r="L1234">
        <v>0.70771408351026133</v>
      </c>
      <c r="M1234">
        <v>0.1001186181102362</v>
      </c>
      <c r="N1234">
        <v>0.13226014688976384</v>
      </c>
    </row>
    <row r="1235" spans="1:14" x14ac:dyDescent="0.2">
      <c r="B1235">
        <v>100</v>
      </c>
      <c r="C1235">
        <v>8</v>
      </c>
      <c r="D1235">
        <v>3.85</v>
      </c>
      <c r="E1235">
        <v>2.4500000000000002</v>
      </c>
      <c r="F1235">
        <v>3.85</v>
      </c>
      <c r="G1235">
        <v>2.4500000000000002</v>
      </c>
      <c r="H1235">
        <v>3.8630000000000001E-3</v>
      </c>
      <c r="I1235">
        <v>9.6666251968503938E-2</v>
      </c>
      <c r="J1235">
        <v>0.1181744930314961</v>
      </c>
      <c r="K1235">
        <v>0.21484074500000006</v>
      </c>
      <c r="L1235">
        <v>0.81799591002044958</v>
      </c>
    </row>
    <row r="1236" spans="1:14" x14ac:dyDescent="0.2">
      <c r="A1236">
        <v>489199</v>
      </c>
      <c r="B1236">
        <v>100</v>
      </c>
      <c r="C1236">
        <v>8</v>
      </c>
      <c r="D1236">
        <v>4.1500000000000004</v>
      </c>
      <c r="E1236">
        <v>2.7</v>
      </c>
      <c r="F1236">
        <v>4.1500000000000004</v>
      </c>
      <c r="G1236">
        <v>2.7</v>
      </c>
      <c r="H1236">
        <v>3.8630000000000001E-3</v>
      </c>
      <c r="I1236">
        <v>0.10011861811023623</v>
      </c>
      <c r="J1236">
        <v>0.1366446518897638</v>
      </c>
      <c r="K1236">
        <v>0.23676327000000003</v>
      </c>
      <c r="L1236">
        <v>0.7326932794340576</v>
      </c>
      <c r="M1236">
        <v>9.49400688976378E-2</v>
      </c>
      <c r="N1236">
        <v>0.13086193860236225</v>
      </c>
    </row>
    <row r="1237" spans="1:14" x14ac:dyDescent="0.2">
      <c r="B1237">
        <v>100</v>
      </c>
      <c r="C1237">
        <v>8</v>
      </c>
      <c r="D1237">
        <v>3.75</v>
      </c>
      <c r="E1237">
        <v>2.4500000000000002</v>
      </c>
      <c r="F1237">
        <v>3.75</v>
      </c>
      <c r="G1237">
        <v>2.4500000000000002</v>
      </c>
      <c r="H1237">
        <v>3.8630000000000001E-3</v>
      </c>
      <c r="I1237">
        <v>8.976151968503937E-2</v>
      </c>
      <c r="J1237">
        <v>0.12507922531496071</v>
      </c>
      <c r="K1237">
        <v>0.21484074500000008</v>
      </c>
      <c r="L1237">
        <v>0.71763731714049084</v>
      </c>
    </row>
    <row r="1238" spans="1:14" x14ac:dyDescent="0.2">
      <c r="A1238">
        <v>488263</v>
      </c>
      <c r="B1238">
        <v>100</v>
      </c>
      <c r="C1238">
        <v>6</v>
      </c>
      <c r="D1238">
        <v>3.7</v>
      </c>
      <c r="E1238">
        <v>1.75</v>
      </c>
      <c r="F1238">
        <v>3.7</v>
      </c>
      <c r="G1238">
        <v>1.75</v>
      </c>
      <c r="H1238">
        <v>3.5767E-2</v>
      </c>
      <c r="I1238">
        <v>1.2466348464566932</v>
      </c>
      <c r="J1238">
        <v>0.17420922854330712</v>
      </c>
      <c r="K1238">
        <v>1.4208440750000002</v>
      </c>
      <c r="L1238">
        <v>7.1559633027522942</v>
      </c>
      <c r="M1238">
        <v>1.214669850393701</v>
      </c>
      <c r="N1238">
        <v>0.18587645210629944</v>
      </c>
    </row>
    <row r="1239" spans="1:14" x14ac:dyDescent="0.2">
      <c r="B1239">
        <v>100</v>
      </c>
      <c r="C1239">
        <v>6</v>
      </c>
      <c r="D1239">
        <v>3.55</v>
      </c>
      <c r="E1239">
        <v>1.7</v>
      </c>
      <c r="F1239">
        <v>3.55</v>
      </c>
      <c r="G1239">
        <v>1.7</v>
      </c>
      <c r="H1239">
        <v>3.5767E-2</v>
      </c>
      <c r="I1239">
        <v>1.1827048543307086</v>
      </c>
      <c r="J1239">
        <v>0.19754367566929179</v>
      </c>
      <c r="K1239">
        <v>1.3802485300000005</v>
      </c>
      <c r="L1239">
        <v>5.9870550161812162</v>
      </c>
    </row>
    <row r="1240" spans="1:14" x14ac:dyDescent="0.2">
      <c r="A1240">
        <v>489200</v>
      </c>
      <c r="B1240">
        <v>100</v>
      </c>
      <c r="C1240">
        <v>7</v>
      </c>
      <c r="D1240">
        <v>2.75</v>
      </c>
      <c r="E1240">
        <v>1.55</v>
      </c>
      <c r="F1240">
        <v>2.75</v>
      </c>
      <c r="G1240">
        <v>1.55</v>
      </c>
      <c r="H1240">
        <v>9.7450000000000002E-3</v>
      </c>
      <c r="I1240">
        <v>0.20901874015748031</v>
      </c>
      <c r="J1240">
        <v>0.13385908484251974</v>
      </c>
      <c r="K1240">
        <v>0.34287782500000008</v>
      </c>
      <c r="L1240">
        <v>1.5614834092387762</v>
      </c>
      <c r="M1240">
        <v>0.21337329724409448</v>
      </c>
      <c r="N1240">
        <v>0.14056510275590553</v>
      </c>
    </row>
    <row r="1241" spans="1:14" x14ac:dyDescent="0.2">
      <c r="B1241">
        <v>100</v>
      </c>
      <c r="C1241">
        <v>7</v>
      </c>
      <c r="D1241">
        <v>2.9</v>
      </c>
      <c r="E1241">
        <v>1.65</v>
      </c>
      <c r="F1241">
        <v>2.9</v>
      </c>
      <c r="G1241">
        <v>1.65</v>
      </c>
      <c r="H1241">
        <v>9.7450000000000002E-3</v>
      </c>
      <c r="I1241">
        <v>0.21772785433070865</v>
      </c>
      <c r="J1241">
        <v>0.14727112066929132</v>
      </c>
      <c r="K1241">
        <v>0.364998975</v>
      </c>
      <c r="L1241">
        <v>1.4784151389710232</v>
      </c>
    </row>
    <row r="1242" spans="1:14" x14ac:dyDescent="0.2">
      <c r="A1242">
        <v>489201</v>
      </c>
      <c r="B1242">
        <v>100</v>
      </c>
      <c r="C1242">
        <v>6</v>
      </c>
      <c r="D1242">
        <v>2.6</v>
      </c>
      <c r="E1242">
        <v>1.3</v>
      </c>
      <c r="F1242">
        <v>2.6</v>
      </c>
      <c r="G1242">
        <v>1.3</v>
      </c>
      <c r="H1242">
        <v>3.5767E-2</v>
      </c>
      <c r="I1242">
        <v>0.83108989763779528</v>
      </c>
      <c r="J1242">
        <v>0.22439427236220463</v>
      </c>
      <c r="K1242">
        <v>1.0554841699999999</v>
      </c>
      <c r="L1242">
        <v>3.7037037037037051</v>
      </c>
      <c r="M1242">
        <v>0.83108989763779517</v>
      </c>
      <c r="N1242">
        <v>0.24469204486220475</v>
      </c>
    </row>
    <row r="1243" spans="1:14" x14ac:dyDescent="0.2">
      <c r="B1243">
        <v>100</v>
      </c>
      <c r="C1243">
        <v>6</v>
      </c>
      <c r="D1243">
        <v>2.65</v>
      </c>
      <c r="E1243">
        <v>1.35</v>
      </c>
      <c r="F1243">
        <v>2.65</v>
      </c>
      <c r="G1243">
        <v>1.35</v>
      </c>
      <c r="H1243">
        <v>3.5767E-2</v>
      </c>
      <c r="I1243">
        <v>0.83108989763779517</v>
      </c>
      <c r="J1243">
        <v>0.26498981736220484</v>
      </c>
      <c r="K1243">
        <v>1.0960797150000001</v>
      </c>
      <c r="L1243">
        <v>3.1363088057901067</v>
      </c>
    </row>
    <row r="1244" spans="1:14" x14ac:dyDescent="0.2">
      <c r="A1244">
        <v>489202</v>
      </c>
      <c r="B1244">
        <v>100</v>
      </c>
      <c r="C1244">
        <v>6</v>
      </c>
      <c r="D1244">
        <v>2.2000000000000002</v>
      </c>
      <c r="E1244">
        <v>1.1000000000000001</v>
      </c>
      <c r="F1244">
        <v>2.2000000000000002</v>
      </c>
      <c r="G1244">
        <v>1.1000000000000001</v>
      </c>
      <c r="H1244">
        <v>3.5767E-2</v>
      </c>
      <c r="I1244">
        <v>0.70322991338582697</v>
      </c>
      <c r="J1244">
        <v>0.18987207661417327</v>
      </c>
      <c r="K1244">
        <v>0.89310199000000023</v>
      </c>
      <c r="L1244">
        <v>3.7037037037037037</v>
      </c>
      <c r="M1244">
        <v>0.67126491732283466</v>
      </c>
      <c r="N1244">
        <v>0.20153930017716543</v>
      </c>
    </row>
    <row r="1245" spans="1:14" x14ac:dyDescent="0.2">
      <c r="B1245">
        <v>100</v>
      </c>
      <c r="C1245">
        <v>6</v>
      </c>
      <c r="D1245">
        <v>2.0499999999999998</v>
      </c>
      <c r="E1245">
        <v>1.05</v>
      </c>
      <c r="F1245">
        <v>2.0499999999999998</v>
      </c>
      <c r="G1245">
        <v>1.05</v>
      </c>
      <c r="H1245">
        <v>3.5767E-2</v>
      </c>
      <c r="I1245">
        <v>0.63929992125984247</v>
      </c>
      <c r="J1245">
        <v>0.21320652374015758</v>
      </c>
      <c r="K1245">
        <v>0.85250644500000006</v>
      </c>
      <c r="L1245">
        <v>2.9985007496251859</v>
      </c>
    </row>
    <row r="1246" spans="1:14" x14ac:dyDescent="0.2">
      <c r="A1246">
        <v>489203</v>
      </c>
      <c r="B1246">
        <v>100</v>
      </c>
      <c r="C1246">
        <v>6</v>
      </c>
      <c r="D1246">
        <v>3.4</v>
      </c>
      <c r="E1246">
        <v>1.6</v>
      </c>
      <c r="F1246">
        <v>3.4</v>
      </c>
      <c r="G1246">
        <v>1.6</v>
      </c>
      <c r="H1246">
        <v>3.5767E-2</v>
      </c>
      <c r="I1246">
        <v>1.1507398582677166</v>
      </c>
      <c r="J1246">
        <v>0.14831758173228379</v>
      </c>
      <c r="K1246">
        <v>1.2990574400000003</v>
      </c>
      <c r="L1246">
        <v>7.7586206896551557</v>
      </c>
      <c r="M1246">
        <v>1.1187748622047247</v>
      </c>
      <c r="N1246">
        <v>0.20058035029527577</v>
      </c>
    </row>
    <row r="1247" spans="1:14" x14ac:dyDescent="0.2">
      <c r="B1247">
        <v>100</v>
      </c>
      <c r="C1247">
        <v>6</v>
      </c>
      <c r="D1247">
        <v>3.35</v>
      </c>
      <c r="E1247">
        <v>1.65</v>
      </c>
      <c r="F1247">
        <v>3.35</v>
      </c>
      <c r="G1247">
        <v>1.65</v>
      </c>
      <c r="H1247">
        <v>3.5767E-2</v>
      </c>
      <c r="I1247">
        <v>1.0868098661417325</v>
      </c>
      <c r="J1247">
        <v>0.25284311885826777</v>
      </c>
      <c r="K1247">
        <v>1.3396529850000003</v>
      </c>
      <c r="L1247">
        <v>4.298356510745891</v>
      </c>
    </row>
    <row r="1248" spans="1:14" x14ac:dyDescent="0.2">
      <c r="A1248">
        <v>489204</v>
      </c>
      <c r="B1248">
        <v>100</v>
      </c>
      <c r="C1248">
        <v>6</v>
      </c>
      <c r="D1248">
        <v>4</v>
      </c>
      <c r="E1248">
        <v>1.8</v>
      </c>
      <c r="F1248">
        <v>4</v>
      </c>
      <c r="G1248">
        <v>1.8</v>
      </c>
      <c r="H1248">
        <v>3.5767E-2</v>
      </c>
      <c r="I1248">
        <v>1.4064598267716539</v>
      </c>
      <c r="J1248">
        <v>5.4979793228346646E-2</v>
      </c>
      <c r="K1248">
        <v>1.4614396200000006</v>
      </c>
      <c r="L1248">
        <v>25.581395348837127</v>
      </c>
      <c r="M1248">
        <v>1.3585123326771655</v>
      </c>
      <c r="N1248">
        <v>8.2629514822834815E-2</v>
      </c>
    </row>
    <row r="1249" spans="1:14" x14ac:dyDescent="0.2">
      <c r="B1249">
        <v>100</v>
      </c>
      <c r="C1249">
        <v>6</v>
      </c>
      <c r="D1249">
        <v>3.8</v>
      </c>
      <c r="E1249">
        <v>1.75</v>
      </c>
      <c r="F1249">
        <v>3.8</v>
      </c>
      <c r="G1249">
        <v>1.75</v>
      </c>
      <c r="H1249">
        <v>3.5767E-2</v>
      </c>
      <c r="I1249">
        <v>1.3105648385826771</v>
      </c>
      <c r="J1249">
        <v>0.11027923641732298</v>
      </c>
      <c r="K1249">
        <v>1.4208440750000002</v>
      </c>
      <c r="L1249">
        <v>11.884057971014476</v>
      </c>
    </row>
    <row r="1250" spans="1:14" x14ac:dyDescent="0.2">
      <c r="A1250">
        <v>489205</v>
      </c>
      <c r="B1250">
        <v>100</v>
      </c>
      <c r="C1250">
        <v>8</v>
      </c>
      <c r="D1250">
        <v>1.35</v>
      </c>
      <c r="E1250">
        <v>1</v>
      </c>
      <c r="F1250">
        <v>1.35</v>
      </c>
      <c r="G1250">
        <v>1</v>
      </c>
      <c r="H1250">
        <v>3.8630000000000001E-3</v>
      </c>
      <c r="I1250">
        <v>2.4166562992125992E-2</v>
      </c>
      <c r="J1250">
        <v>6.3523537007874026E-2</v>
      </c>
      <c r="K1250">
        <v>8.7690100000000021E-2</v>
      </c>
      <c r="L1250">
        <v>0.38043478260869573</v>
      </c>
      <c r="M1250">
        <v>3.1071295275590556E-2</v>
      </c>
      <c r="N1250">
        <v>8.0733582224409461E-2</v>
      </c>
    </row>
    <row r="1251" spans="1:14" x14ac:dyDescent="0.2">
      <c r="B1251">
        <v>100</v>
      </c>
      <c r="C1251">
        <v>8</v>
      </c>
      <c r="D1251">
        <v>2.1</v>
      </c>
      <c r="E1251">
        <v>1.55</v>
      </c>
      <c r="F1251">
        <v>2.1</v>
      </c>
      <c r="G1251">
        <v>1.55</v>
      </c>
      <c r="H1251">
        <v>3.8630000000000001E-3</v>
      </c>
      <c r="I1251">
        <v>3.7976027559055124E-2</v>
      </c>
      <c r="J1251">
        <v>9.7943627440944883E-2</v>
      </c>
      <c r="K1251">
        <v>0.135919655</v>
      </c>
      <c r="L1251">
        <v>0.38773352132534372</v>
      </c>
    </row>
    <row r="1252" spans="1:14" x14ac:dyDescent="0.2">
      <c r="A1252">
        <v>489206</v>
      </c>
      <c r="B1252">
        <v>100</v>
      </c>
      <c r="C1252">
        <v>8</v>
      </c>
      <c r="D1252">
        <v>1.65</v>
      </c>
      <c r="E1252">
        <v>1.1499999999999999</v>
      </c>
      <c r="F1252">
        <v>1.65</v>
      </c>
      <c r="G1252">
        <v>1.1499999999999999</v>
      </c>
      <c r="H1252">
        <v>3.8630000000000001E-3</v>
      </c>
      <c r="I1252">
        <v>3.452366141732284E-2</v>
      </c>
      <c r="J1252">
        <v>6.6319953582677144E-2</v>
      </c>
      <c r="K1252">
        <v>0.10084361499999998</v>
      </c>
      <c r="L1252">
        <v>0.52056220718375867</v>
      </c>
      <c r="M1252">
        <v>3.1071295275590553E-2</v>
      </c>
      <c r="N1252">
        <v>7.6349077224409437E-2</v>
      </c>
    </row>
    <row r="1253" spans="1:14" x14ac:dyDescent="0.2">
      <c r="B1253">
        <v>100</v>
      </c>
      <c r="C1253">
        <v>8</v>
      </c>
      <c r="D1253">
        <v>1.7</v>
      </c>
      <c r="E1253">
        <v>1.3</v>
      </c>
      <c r="F1253">
        <v>1.7</v>
      </c>
      <c r="G1253">
        <v>1.3</v>
      </c>
      <c r="H1253">
        <v>3.8630000000000001E-3</v>
      </c>
      <c r="I1253">
        <v>2.7618929133858265E-2</v>
      </c>
      <c r="J1253">
        <v>8.637820086614173E-2</v>
      </c>
      <c r="K1253">
        <v>0.11399713</v>
      </c>
      <c r="L1253">
        <v>0.31974420463629094</v>
      </c>
    </row>
    <row r="1254" spans="1:14" x14ac:dyDescent="0.2">
      <c r="A1254">
        <v>489208</v>
      </c>
      <c r="B1254">
        <v>100</v>
      </c>
      <c r="C1254">
        <v>8</v>
      </c>
      <c r="D1254">
        <v>3.3</v>
      </c>
      <c r="E1254">
        <v>2.15</v>
      </c>
      <c r="F1254">
        <v>3.3</v>
      </c>
      <c r="G1254">
        <v>2.15</v>
      </c>
      <c r="H1254">
        <v>3.8630000000000001E-3</v>
      </c>
      <c r="I1254">
        <v>7.9404421259842511E-2</v>
      </c>
      <c r="J1254">
        <v>0.10912929374015747</v>
      </c>
      <c r="K1254">
        <v>0.18853371499999999</v>
      </c>
      <c r="L1254">
        <v>0.72761784245491934</v>
      </c>
      <c r="M1254">
        <v>7.9404421259842539E-2</v>
      </c>
      <c r="N1254">
        <v>0.11570605124015744</v>
      </c>
    </row>
    <row r="1255" spans="1:14" x14ac:dyDescent="0.2">
      <c r="B1255">
        <v>100</v>
      </c>
      <c r="C1255">
        <v>8</v>
      </c>
      <c r="D1255">
        <v>3.45</v>
      </c>
      <c r="E1255">
        <v>2.2999999999999998</v>
      </c>
      <c r="F1255">
        <v>3.45</v>
      </c>
      <c r="G1255">
        <v>2.2999999999999998</v>
      </c>
      <c r="H1255">
        <v>3.8630000000000001E-3</v>
      </c>
      <c r="I1255">
        <v>7.9404421259842553E-2</v>
      </c>
      <c r="J1255">
        <v>0.12228280874015741</v>
      </c>
      <c r="K1255">
        <v>0.20168722999999997</v>
      </c>
      <c r="L1255">
        <v>0.64935064935065001</v>
      </c>
    </row>
    <row r="1256" spans="1:14" x14ac:dyDescent="0.2">
      <c r="A1256">
        <v>489209</v>
      </c>
      <c r="B1256">
        <v>100</v>
      </c>
      <c r="C1256">
        <v>8</v>
      </c>
      <c r="D1256">
        <v>7.55</v>
      </c>
      <c r="E1256">
        <v>4.6500000000000004</v>
      </c>
      <c r="F1256">
        <v>7.55</v>
      </c>
      <c r="G1256">
        <v>4.6500000000000004</v>
      </c>
      <c r="H1256">
        <v>3.8630000000000001E-3</v>
      </c>
      <c r="I1256">
        <v>0.2002372362204724</v>
      </c>
      <c r="J1256">
        <v>0.20752172877952774</v>
      </c>
      <c r="K1256">
        <v>0.40775896500000014</v>
      </c>
      <c r="L1256">
        <v>0.96489768757278227</v>
      </c>
      <c r="M1256">
        <v>0.20023723622047243</v>
      </c>
      <c r="N1256">
        <v>0.20313722377952767</v>
      </c>
    </row>
    <row r="1257" spans="1:14" x14ac:dyDescent="0.2">
      <c r="B1257">
        <v>100</v>
      </c>
      <c r="C1257">
        <v>8</v>
      </c>
      <c r="D1257">
        <v>7.45</v>
      </c>
      <c r="E1257">
        <v>4.55</v>
      </c>
      <c r="F1257">
        <v>7.45</v>
      </c>
      <c r="G1257">
        <v>4.55</v>
      </c>
      <c r="H1257">
        <v>3.8630000000000001E-3</v>
      </c>
      <c r="I1257">
        <v>0.20023723622047246</v>
      </c>
      <c r="J1257">
        <v>0.1987527187795276</v>
      </c>
      <c r="K1257">
        <v>0.39898995500000006</v>
      </c>
      <c r="L1257">
        <v>1.0074691679694283</v>
      </c>
    </row>
    <row r="1258" spans="1:14" x14ac:dyDescent="0.2">
      <c r="A1258">
        <v>489210</v>
      </c>
      <c r="B1258">
        <v>100</v>
      </c>
      <c r="C1258">
        <v>7</v>
      </c>
      <c r="D1258">
        <v>4.05</v>
      </c>
      <c r="E1258">
        <v>2.4</v>
      </c>
      <c r="F1258">
        <v>4.05</v>
      </c>
      <c r="G1258">
        <v>2.4</v>
      </c>
      <c r="H1258">
        <v>9.7450000000000002E-3</v>
      </c>
      <c r="I1258">
        <v>0.28740076771653539</v>
      </c>
      <c r="J1258">
        <v>0.24350683228346459</v>
      </c>
      <c r="K1258">
        <v>0.53090759999999992</v>
      </c>
      <c r="L1258">
        <v>1.1802575107296134</v>
      </c>
      <c r="M1258">
        <v>0.30046443897637798</v>
      </c>
      <c r="N1258">
        <v>0.22491287352362205</v>
      </c>
    </row>
    <row r="1259" spans="1:14" x14ac:dyDescent="0.2">
      <c r="B1259">
        <v>100</v>
      </c>
      <c r="C1259">
        <v>7</v>
      </c>
      <c r="D1259">
        <v>4.1500000000000004</v>
      </c>
      <c r="E1259">
        <v>2.35</v>
      </c>
      <c r="F1259">
        <v>4.1500000000000004</v>
      </c>
      <c r="G1259">
        <v>2.35</v>
      </c>
      <c r="H1259">
        <v>9.7450000000000002E-3</v>
      </c>
      <c r="I1259">
        <v>0.31352811023622057</v>
      </c>
      <c r="J1259">
        <v>0.2063189147637795</v>
      </c>
      <c r="K1259">
        <v>0.51984702500000002</v>
      </c>
      <c r="L1259">
        <v>1.5196285352469403</v>
      </c>
    </row>
    <row r="1260" spans="1:14" x14ac:dyDescent="0.2">
      <c r="A1260">
        <v>489211</v>
      </c>
      <c r="B1260">
        <v>100</v>
      </c>
      <c r="C1260">
        <v>7</v>
      </c>
      <c r="D1260">
        <v>4.1500000000000004</v>
      </c>
      <c r="E1260">
        <v>2.2999999999999998</v>
      </c>
      <c r="F1260">
        <v>4.1500000000000004</v>
      </c>
      <c r="G1260">
        <v>2.2999999999999998</v>
      </c>
      <c r="H1260">
        <v>9.7450000000000002E-3</v>
      </c>
      <c r="I1260">
        <v>0.32223722440944896</v>
      </c>
      <c r="J1260">
        <v>0.18654922559055101</v>
      </c>
      <c r="K1260">
        <v>0.50878645</v>
      </c>
      <c r="L1260">
        <v>1.7273576097105532</v>
      </c>
      <c r="M1260">
        <v>0.30481899606299218</v>
      </c>
      <c r="N1260">
        <v>0.19290687893700784</v>
      </c>
    </row>
    <row r="1261" spans="1:14" x14ac:dyDescent="0.2">
      <c r="B1261">
        <v>100</v>
      </c>
      <c r="C1261">
        <v>7</v>
      </c>
      <c r="D1261">
        <v>3.85</v>
      </c>
      <c r="E1261">
        <v>2.2000000000000002</v>
      </c>
      <c r="F1261">
        <v>3.85</v>
      </c>
      <c r="G1261">
        <v>2.2000000000000002</v>
      </c>
      <c r="H1261">
        <v>9.7450000000000002E-3</v>
      </c>
      <c r="I1261">
        <v>0.28740076771653539</v>
      </c>
      <c r="J1261">
        <v>0.19926453228346466</v>
      </c>
      <c r="K1261">
        <v>0.48666530000000008</v>
      </c>
      <c r="L1261">
        <v>1.4423076923076914</v>
      </c>
    </row>
    <row r="1262" spans="1:14" x14ac:dyDescent="0.2">
      <c r="A1262">
        <v>489212</v>
      </c>
      <c r="B1262">
        <v>100</v>
      </c>
      <c r="C1262">
        <v>7</v>
      </c>
      <c r="D1262">
        <v>5.35</v>
      </c>
      <c r="E1262">
        <v>2.8</v>
      </c>
      <c r="F1262">
        <v>5.35</v>
      </c>
      <c r="G1262">
        <v>2.8</v>
      </c>
      <c r="H1262">
        <v>9.7450000000000002E-3</v>
      </c>
      <c r="I1262">
        <v>0.4441648228346457</v>
      </c>
      <c r="J1262">
        <v>0.17522737716535428</v>
      </c>
      <c r="K1262">
        <v>0.61939219999999995</v>
      </c>
      <c r="L1262">
        <v>2.5347912524850904</v>
      </c>
      <c r="M1262">
        <v>0.4441648228346457</v>
      </c>
      <c r="N1262">
        <v>0.19181823966535441</v>
      </c>
    </row>
    <row r="1263" spans="1:14" x14ac:dyDescent="0.2">
      <c r="B1263">
        <v>100</v>
      </c>
      <c r="C1263">
        <v>7</v>
      </c>
      <c r="D1263">
        <v>5.5</v>
      </c>
      <c r="E1263">
        <v>2.95</v>
      </c>
      <c r="F1263">
        <v>5.5</v>
      </c>
      <c r="G1263">
        <v>2.95</v>
      </c>
      <c r="H1263">
        <v>9.7450000000000002E-3</v>
      </c>
      <c r="I1263">
        <v>0.4441648228346457</v>
      </c>
      <c r="J1263">
        <v>0.20840910216535455</v>
      </c>
      <c r="K1263">
        <v>0.65257392500000022</v>
      </c>
      <c r="L1263">
        <v>2.131216046803174</v>
      </c>
    </row>
    <row r="1264" spans="1:14" x14ac:dyDescent="0.2">
      <c r="A1264">
        <v>489213</v>
      </c>
      <c r="B1264">
        <v>100</v>
      </c>
      <c r="C1264">
        <v>6</v>
      </c>
      <c r="D1264">
        <v>2.4</v>
      </c>
      <c r="E1264">
        <v>1.1499999999999999</v>
      </c>
      <c r="F1264">
        <v>2.4</v>
      </c>
      <c r="G1264">
        <v>1.1499999999999999</v>
      </c>
      <c r="H1264">
        <v>3.5767E-2</v>
      </c>
      <c r="I1264">
        <v>0.7991249015748032</v>
      </c>
      <c r="J1264">
        <v>0.13457263342519676</v>
      </c>
      <c r="K1264">
        <v>0.93369753499999997</v>
      </c>
      <c r="L1264">
        <v>5.9382422802850394</v>
      </c>
      <c r="M1264">
        <v>0.81510739960629919</v>
      </c>
      <c r="N1264">
        <v>9.8292362893700885E-2</v>
      </c>
    </row>
    <row r="1265" spans="1:14" x14ac:dyDescent="0.2">
      <c r="B1265">
        <v>100</v>
      </c>
      <c r="C1265">
        <v>6</v>
      </c>
      <c r="D1265">
        <v>2.4</v>
      </c>
      <c r="E1265">
        <v>1.1000000000000001</v>
      </c>
      <c r="F1265">
        <v>2.4</v>
      </c>
      <c r="G1265">
        <v>1.1000000000000001</v>
      </c>
      <c r="H1265">
        <v>3.5767E-2</v>
      </c>
      <c r="I1265">
        <v>0.83108989763779517</v>
      </c>
      <c r="J1265">
        <v>6.2012092362205007E-2</v>
      </c>
      <c r="K1265">
        <v>0.89310199000000012</v>
      </c>
      <c r="L1265">
        <v>13.402061855670039</v>
      </c>
    </row>
    <row r="1266" spans="1:14" x14ac:dyDescent="0.2">
      <c r="A1266">
        <v>489214</v>
      </c>
      <c r="B1266">
        <v>100</v>
      </c>
      <c r="C1266">
        <v>8</v>
      </c>
      <c r="D1266">
        <v>2.9</v>
      </c>
      <c r="E1266">
        <v>1.95</v>
      </c>
      <c r="F1266">
        <v>2.9</v>
      </c>
      <c r="G1266">
        <v>1.95</v>
      </c>
      <c r="H1266">
        <v>3.8630000000000001E-3</v>
      </c>
      <c r="I1266">
        <v>6.5594956692913389E-2</v>
      </c>
      <c r="J1266">
        <v>0.10540073830708659</v>
      </c>
      <c r="K1266">
        <v>0.17099569499999998</v>
      </c>
      <c r="L1266">
        <v>0.62233868326236508</v>
      </c>
      <c r="M1266">
        <v>6.2142590551181098E-2</v>
      </c>
      <c r="N1266">
        <v>0.10227634694881889</v>
      </c>
    </row>
    <row r="1267" spans="1:14" x14ac:dyDescent="0.2">
      <c r="B1267">
        <v>100</v>
      </c>
      <c r="C1267">
        <v>8</v>
      </c>
      <c r="D1267">
        <v>2.65</v>
      </c>
      <c r="E1267">
        <v>1.8</v>
      </c>
      <c r="F1267">
        <v>2.65</v>
      </c>
      <c r="G1267">
        <v>1.8</v>
      </c>
      <c r="H1267">
        <v>3.8630000000000001E-3</v>
      </c>
      <c r="I1267">
        <v>5.8690224409448807E-2</v>
      </c>
      <c r="J1267">
        <v>9.9151955590551191E-2</v>
      </c>
      <c r="K1267">
        <v>0.15784218</v>
      </c>
      <c r="L1267">
        <v>0.59192200557103047</v>
      </c>
    </row>
    <row r="1268" spans="1:14" x14ac:dyDescent="0.2">
      <c r="A1268">
        <v>489215</v>
      </c>
      <c r="B1268">
        <v>100</v>
      </c>
      <c r="C1268">
        <v>8</v>
      </c>
      <c r="D1268">
        <v>2.8</v>
      </c>
      <c r="E1268">
        <v>1.8</v>
      </c>
      <c r="F1268">
        <v>2.8</v>
      </c>
      <c r="G1268">
        <v>1.8</v>
      </c>
      <c r="H1268">
        <v>3.8630000000000001E-3</v>
      </c>
      <c r="I1268">
        <v>6.9047322834645652E-2</v>
      </c>
      <c r="J1268">
        <v>8.879485716535436E-2</v>
      </c>
      <c r="K1268">
        <v>0.15784218</v>
      </c>
      <c r="L1268">
        <v>0.77760497667185025</v>
      </c>
      <c r="M1268">
        <v>6.904732283464568E-2</v>
      </c>
      <c r="N1268">
        <v>9.5371614665354335E-2</v>
      </c>
    </row>
    <row r="1269" spans="1:14" x14ac:dyDescent="0.2">
      <c r="B1269">
        <v>100</v>
      </c>
      <c r="C1269">
        <v>8</v>
      </c>
      <c r="D1269">
        <v>2.95</v>
      </c>
      <c r="E1269">
        <v>1.95</v>
      </c>
      <c r="F1269">
        <v>2.95</v>
      </c>
      <c r="G1269">
        <v>1.95</v>
      </c>
      <c r="H1269">
        <v>3.8630000000000001E-3</v>
      </c>
      <c r="I1269">
        <v>6.9047322834645694E-2</v>
      </c>
      <c r="J1269">
        <v>0.10194837216535431</v>
      </c>
      <c r="K1269">
        <v>0.170995695</v>
      </c>
      <c r="L1269">
        <v>0.67727734507280768</v>
      </c>
    </row>
    <row r="1270" spans="1:14" x14ac:dyDescent="0.2">
      <c r="A1270">
        <v>489216</v>
      </c>
      <c r="B1270">
        <v>100</v>
      </c>
      <c r="C1270">
        <v>8</v>
      </c>
      <c r="D1270">
        <v>7.45</v>
      </c>
      <c r="E1270">
        <v>4.3499999999999996</v>
      </c>
      <c r="F1270">
        <v>7.45</v>
      </c>
      <c r="G1270">
        <v>4.3499999999999996</v>
      </c>
      <c r="H1270">
        <v>3.8630000000000001E-3</v>
      </c>
      <c r="I1270">
        <v>0.21404670078740159</v>
      </c>
      <c r="J1270">
        <v>0.1674052342125984</v>
      </c>
      <c r="K1270">
        <v>0.38145193499999996</v>
      </c>
      <c r="L1270">
        <v>1.2786141472468553</v>
      </c>
      <c r="M1270">
        <v>0.21404670078740157</v>
      </c>
      <c r="N1270">
        <v>0.17398199171259843</v>
      </c>
    </row>
    <row r="1271" spans="1:14" x14ac:dyDescent="0.2">
      <c r="B1271">
        <v>100</v>
      </c>
      <c r="C1271">
        <v>8</v>
      </c>
      <c r="D1271">
        <v>7.6</v>
      </c>
      <c r="E1271">
        <v>4.5</v>
      </c>
      <c r="F1271">
        <v>7.6</v>
      </c>
      <c r="G1271">
        <v>4.5</v>
      </c>
      <c r="H1271">
        <v>3.8630000000000001E-3</v>
      </c>
      <c r="I1271">
        <v>0.21404670078740157</v>
      </c>
      <c r="J1271">
        <v>0.18055874921259843</v>
      </c>
      <c r="K1271">
        <v>0.39460545000000002</v>
      </c>
      <c r="L1271">
        <v>1.1854684512428297</v>
      </c>
    </row>
    <row r="1272" spans="1:14" x14ac:dyDescent="0.2">
      <c r="A1272">
        <v>489217</v>
      </c>
      <c r="B1272">
        <v>100</v>
      </c>
      <c r="C1272">
        <v>7</v>
      </c>
      <c r="D1272">
        <v>5.25</v>
      </c>
      <c r="E1272">
        <v>2.95</v>
      </c>
      <c r="F1272">
        <v>5.25</v>
      </c>
      <c r="G1272">
        <v>2.95</v>
      </c>
      <c r="H1272">
        <v>9.7450000000000002E-3</v>
      </c>
      <c r="I1272">
        <v>0.40061925196850395</v>
      </c>
      <c r="J1272">
        <v>0.25195467303149621</v>
      </c>
      <c r="K1272">
        <v>0.65257392500000022</v>
      </c>
      <c r="L1272">
        <v>1.5900449360525397</v>
      </c>
      <c r="M1272">
        <v>0.40061925196850395</v>
      </c>
      <c r="N1272">
        <v>0.25748496053149611</v>
      </c>
    </row>
    <row r="1273" spans="1:14" x14ac:dyDescent="0.2">
      <c r="B1273">
        <v>100</v>
      </c>
      <c r="C1273">
        <v>7</v>
      </c>
      <c r="D1273">
        <v>5.3</v>
      </c>
      <c r="E1273">
        <v>3</v>
      </c>
      <c r="F1273">
        <v>5.3</v>
      </c>
      <c r="G1273">
        <v>3</v>
      </c>
      <c r="H1273">
        <v>9.7450000000000002E-3</v>
      </c>
      <c r="I1273">
        <v>0.40061925196850395</v>
      </c>
      <c r="J1273">
        <v>0.26301524803149601</v>
      </c>
      <c r="K1273">
        <v>0.66363449999999991</v>
      </c>
      <c r="L1273">
        <v>1.5231788079470203</v>
      </c>
    </row>
    <row r="1274" spans="1:14" x14ac:dyDescent="0.2">
      <c r="A1274">
        <v>489218</v>
      </c>
      <c r="B1274">
        <v>100</v>
      </c>
      <c r="C1274">
        <v>6</v>
      </c>
      <c r="D1274">
        <v>2.35</v>
      </c>
      <c r="E1274">
        <v>1.2</v>
      </c>
      <c r="F1274">
        <v>2.35</v>
      </c>
      <c r="G1274">
        <v>1.2</v>
      </c>
      <c r="H1274">
        <v>3.5767E-2</v>
      </c>
      <c r="I1274">
        <v>0.73519490944881893</v>
      </c>
      <c r="J1274">
        <v>0.2390981705511811</v>
      </c>
      <c r="K1274">
        <v>0.97429308000000003</v>
      </c>
      <c r="L1274">
        <v>3.0748663101604281</v>
      </c>
      <c r="M1274">
        <v>0.71921241141732284</v>
      </c>
      <c r="N1274">
        <v>0.25508066858267725</v>
      </c>
    </row>
    <row r="1275" spans="1:14" x14ac:dyDescent="0.2">
      <c r="B1275">
        <v>100</v>
      </c>
      <c r="C1275">
        <v>6</v>
      </c>
      <c r="D1275">
        <v>2.2999999999999998</v>
      </c>
      <c r="E1275">
        <v>1.2</v>
      </c>
      <c r="F1275">
        <v>2.2999999999999998</v>
      </c>
      <c r="G1275">
        <v>1.2</v>
      </c>
      <c r="H1275">
        <v>3.5767E-2</v>
      </c>
      <c r="I1275">
        <v>0.70322991338582685</v>
      </c>
      <c r="J1275">
        <v>0.2710631666141734</v>
      </c>
      <c r="K1275">
        <v>0.97429308000000026</v>
      </c>
      <c r="L1275">
        <v>2.5943396226415083</v>
      </c>
    </row>
    <row r="1276" spans="1:14" x14ac:dyDescent="0.2">
      <c r="A1276">
        <v>489219</v>
      </c>
      <c r="B1276">
        <v>100</v>
      </c>
      <c r="C1276">
        <v>6</v>
      </c>
      <c r="D1276">
        <v>2.85</v>
      </c>
      <c r="E1276">
        <v>1.4</v>
      </c>
      <c r="F1276">
        <v>2.85</v>
      </c>
      <c r="G1276">
        <v>1.4</v>
      </c>
      <c r="H1276">
        <v>3.5767E-2</v>
      </c>
      <c r="I1276">
        <v>0.92698488582677185</v>
      </c>
      <c r="J1276">
        <v>0.20969037417322808</v>
      </c>
      <c r="K1276">
        <v>1.1366752599999999</v>
      </c>
      <c r="L1276">
        <v>4.4207317073170795</v>
      </c>
      <c r="M1276">
        <v>0.91100238779527576</v>
      </c>
      <c r="N1276">
        <v>0.18507732720472425</v>
      </c>
    </row>
    <row r="1277" spans="1:14" x14ac:dyDescent="0.2">
      <c r="B1277">
        <v>100</v>
      </c>
      <c r="C1277">
        <v>6</v>
      </c>
      <c r="D1277">
        <v>2.7</v>
      </c>
      <c r="E1277">
        <v>1.3</v>
      </c>
      <c r="F1277">
        <v>2.7</v>
      </c>
      <c r="G1277">
        <v>1.3</v>
      </c>
      <c r="H1277">
        <v>3.5767E-2</v>
      </c>
      <c r="I1277">
        <v>0.89501988976377977</v>
      </c>
      <c r="J1277">
        <v>0.16046428023622045</v>
      </c>
      <c r="K1277">
        <v>1.0554841700000002</v>
      </c>
      <c r="L1277">
        <v>5.5776892430278906</v>
      </c>
    </row>
    <row r="1278" spans="1:14" x14ac:dyDescent="0.2">
      <c r="A1278">
        <v>489220</v>
      </c>
      <c r="B1278">
        <v>100</v>
      </c>
      <c r="C1278">
        <v>6</v>
      </c>
      <c r="D1278">
        <v>2.1</v>
      </c>
      <c r="E1278">
        <v>1</v>
      </c>
      <c r="F1278">
        <v>2.1</v>
      </c>
      <c r="G1278">
        <v>1</v>
      </c>
      <c r="H1278">
        <v>3.5767E-2</v>
      </c>
      <c r="I1278">
        <v>0.70322991338582697</v>
      </c>
      <c r="J1278">
        <v>0.10868098661417321</v>
      </c>
      <c r="K1278">
        <v>0.81191090000000021</v>
      </c>
      <c r="L1278">
        <v>6.4705882352941204</v>
      </c>
      <c r="M1278">
        <v>0.70322991338582685</v>
      </c>
      <c r="N1278">
        <v>0.12897875911417322</v>
      </c>
    </row>
    <row r="1279" spans="1:14" x14ac:dyDescent="0.2">
      <c r="B1279">
        <v>100</v>
      </c>
      <c r="C1279">
        <v>6</v>
      </c>
      <c r="D1279">
        <v>2.15</v>
      </c>
      <c r="E1279">
        <v>1.05</v>
      </c>
      <c r="F1279">
        <v>2.15</v>
      </c>
      <c r="G1279">
        <v>1.05</v>
      </c>
      <c r="H1279">
        <v>3.5767E-2</v>
      </c>
      <c r="I1279">
        <v>0.70322991338582685</v>
      </c>
      <c r="J1279">
        <v>0.14927653161417326</v>
      </c>
      <c r="K1279">
        <v>0.85250644500000017</v>
      </c>
      <c r="L1279">
        <v>4.7109207708779444</v>
      </c>
    </row>
    <row r="1280" spans="1:14" x14ac:dyDescent="0.2">
      <c r="A1280">
        <v>489221</v>
      </c>
      <c r="B1280">
        <v>100</v>
      </c>
      <c r="C1280">
        <v>8</v>
      </c>
      <c r="D1280">
        <v>2.8</v>
      </c>
      <c r="E1280">
        <v>2.15</v>
      </c>
      <c r="F1280">
        <v>2.8</v>
      </c>
      <c r="G1280">
        <v>2.15</v>
      </c>
      <c r="H1280">
        <v>3.8630000000000001E-3</v>
      </c>
      <c r="I1280">
        <v>4.4880759842519685E-2</v>
      </c>
      <c r="J1280">
        <v>0.14365295515748031</v>
      </c>
      <c r="K1280">
        <v>0.18853371499999999</v>
      </c>
      <c r="L1280">
        <v>0.31242489786109112</v>
      </c>
      <c r="M1280">
        <v>5.0059309055118108E-2</v>
      </c>
      <c r="N1280">
        <v>0.1428589109448819</v>
      </c>
    </row>
    <row r="1281" spans="1:14" x14ac:dyDescent="0.2">
      <c r="B1281">
        <v>100</v>
      </c>
      <c r="C1281">
        <v>8</v>
      </c>
      <c r="D1281">
        <v>3.05</v>
      </c>
      <c r="E1281">
        <v>2.25</v>
      </c>
      <c r="F1281">
        <v>3.05</v>
      </c>
      <c r="G1281">
        <v>2.25</v>
      </c>
      <c r="H1281">
        <v>3.8630000000000001E-3</v>
      </c>
      <c r="I1281">
        <v>5.523785826771653E-2</v>
      </c>
      <c r="J1281">
        <v>0.14206486673228347</v>
      </c>
      <c r="K1281">
        <v>0.19730272500000001</v>
      </c>
      <c r="L1281">
        <v>0.38882138517618464</v>
      </c>
    </row>
    <row r="1282" spans="1:14" x14ac:dyDescent="0.2">
      <c r="A1282">
        <v>489222</v>
      </c>
      <c r="B1282">
        <v>100</v>
      </c>
      <c r="C1282">
        <v>8</v>
      </c>
      <c r="D1282">
        <v>2.7</v>
      </c>
      <c r="E1282">
        <v>2</v>
      </c>
      <c r="F1282">
        <v>2.7</v>
      </c>
      <c r="G1282">
        <v>2</v>
      </c>
      <c r="H1282">
        <v>3.8630000000000001E-3</v>
      </c>
      <c r="I1282">
        <v>4.8333125984251983E-2</v>
      </c>
      <c r="J1282">
        <v>0.12704707401574805</v>
      </c>
      <c r="K1282">
        <v>0.17538020000000004</v>
      </c>
      <c r="L1282">
        <v>0.38043478260869573</v>
      </c>
      <c r="M1282">
        <v>4.8333125984251983E-2</v>
      </c>
      <c r="N1282">
        <v>0.11608581151574804</v>
      </c>
    </row>
    <row r="1283" spans="1:14" x14ac:dyDescent="0.2">
      <c r="B1283">
        <v>100</v>
      </c>
      <c r="C1283">
        <v>8</v>
      </c>
      <c r="D1283">
        <v>2.4500000000000002</v>
      </c>
      <c r="E1283">
        <v>1.75</v>
      </c>
      <c r="F1283">
        <v>2.4500000000000002</v>
      </c>
      <c r="G1283">
        <v>1.75</v>
      </c>
      <c r="H1283">
        <v>3.8630000000000001E-3</v>
      </c>
      <c r="I1283">
        <v>4.8333125984251983E-2</v>
      </c>
      <c r="J1283">
        <v>0.10512454901574803</v>
      </c>
      <c r="K1283">
        <v>0.15345767500000002</v>
      </c>
      <c r="L1283">
        <v>0.4597701149425289</v>
      </c>
    </row>
    <row r="1284" spans="1:14" x14ac:dyDescent="0.2">
      <c r="A1284">
        <v>489223</v>
      </c>
      <c r="B1284">
        <v>100</v>
      </c>
      <c r="C1284">
        <v>8</v>
      </c>
      <c r="D1284">
        <v>2.4500000000000002</v>
      </c>
      <c r="E1284">
        <v>1.8</v>
      </c>
      <c r="F1284">
        <v>2.4500000000000002</v>
      </c>
      <c r="G1284">
        <v>1.8</v>
      </c>
      <c r="H1284">
        <v>3.8630000000000001E-3</v>
      </c>
      <c r="I1284">
        <v>4.4880759842519692E-2</v>
      </c>
      <c r="J1284">
        <v>0.11296142015748031</v>
      </c>
      <c r="K1284">
        <v>0.15784218</v>
      </c>
      <c r="L1284">
        <v>0.39731051344743284</v>
      </c>
      <c r="M1284">
        <v>4.4880759842519692E-2</v>
      </c>
      <c r="N1284">
        <v>0.1195381776574803</v>
      </c>
    </row>
    <row r="1285" spans="1:14" x14ac:dyDescent="0.2">
      <c r="B1285">
        <v>100</v>
      </c>
      <c r="C1285">
        <v>8</v>
      </c>
      <c r="D1285">
        <v>2.6</v>
      </c>
      <c r="E1285">
        <v>1.95</v>
      </c>
      <c r="F1285">
        <v>2.6</v>
      </c>
      <c r="G1285">
        <v>1.95</v>
      </c>
      <c r="H1285">
        <v>3.8630000000000001E-3</v>
      </c>
      <c r="I1285">
        <v>4.4880759842519692E-2</v>
      </c>
      <c r="J1285">
        <v>0.12611493515748029</v>
      </c>
      <c r="K1285">
        <v>0.17099569499999998</v>
      </c>
      <c r="L1285">
        <v>0.35587188612099657</v>
      </c>
    </row>
    <row r="1286" spans="1:14" x14ac:dyDescent="0.2">
      <c r="A1286">
        <v>489224</v>
      </c>
      <c r="B1286">
        <v>100</v>
      </c>
      <c r="C1286">
        <v>8</v>
      </c>
      <c r="D1286">
        <v>3.75</v>
      </c>
      <c r="E1286">
        <v>2.5499999999999998</v>
      </c>
      <c r="F1286">
        <v>3.75</v>
      </c>
      <c r="G1286">
        <v>2.5499999999999998</v>
      </c>
      <c r="H1286">
        <v>3.8630000000000001E-3</v>
      </c>
      <c r="I1286">
        <v>8.2856787401574816E-2</v>
      </c>
      <c r="J1286">
        <v>0.1407529675984252</v>
      </c>
      <c r="K1286">
        <v>0.22360975500000002</v>
      </c>
      <c r="L1286">
        <v>0.58866813833701259</v>
      </c>
      <c r="M1286">
        <v>8.6309153543307093E-2</v>
      </c>
      <c r="N1286">
        <v>0.13949285395669292</v>
      </c>
    </row>
    <row r="1287" spans="1:14" x14ac:dyDescent="0.2">
      <c r="B1287">
        <v>100</v>
      </c>
      <c r="C1287">
        <v>8</v>
      </c>
      <c r="D1287">
        <v>3.9</v>
      </c>
      <c r="E1287">
        <v>2.6</v>
      </c>
      <c r="F1287">
        <v>3.9</v>
      </c>
      <c r="G1287">
        <v>2.6</v>
      </c>
      <c r="H1287">
        <v>3.8630000000000001E-3</v>
      </c>
      <c r="I1287">
        <v>8.976151968503937E-2</v>
      </c>
      <c r="J1287">
        <v>0.13823274031496061</v>
      </c>
      <c r="K1287">
        <v>0.22799425999999998</v>
      </c>
      <c r="L1287">
        <v>0.64935064935064946</v>
      </c>
    </row>
    <row r="1288" spans="1:14" x14ac:dyDescent="0.2">
      <c r="A1288">
        <v>489225</v>
      </c>
      <c r="B1288">
        <v>100</v>
      </c>
      <c r="C1288">
        <v>7</v>
      </c>
      <c r="D1288">
        <v>6.3</v>
      </c>
      <c r="E1288">
        <v>3.5</v>
      </c>
      <c r="F1288">
        <v>6.3</v>
      </c>
      <c r="G1288">
        <v>3.5</v>
      </c>
      <c r="H1288">
        <v>9.7450000000000002E-3</v>
      </c>
      <c r="I1288">
        <v>0.48771039370078739</v>
      </c>
      <c r="J1288">
        <v>0.28652985629921268</v>
      </c>
      <c r="K1288">
        <v>0.77424025000000007</v>
      </c>
      <c r="L1288">
        <v>1.7021276595744677</v>
      </c>
      <c r="M1288">
        <v>0.49206495078740153</v>
      </c>
      <c r="N1288">
        <v>0.28217529921259854</v>
      </c>
    </row>
    <row r="1289" spans="1:14" x14ac:dyDescent="0.2">
      <c r="B1289">
        <v>100</v>
      </c>
      <c r="C1289">
        <v>7</v>
      </c>
      <c r="D1289">
        <v>6.35</v>
      </c>
      <c r="E1289">
        <v>3.5</v>
      </c>
      <c r="F1289">
        <v>6.35</v>
      </c>
      <c r="G1289">
        <v>3.5</v>
      </c>
      <c r="H1289">
        <v>9.7450000000000002E-3</v>
      </c>
      <c r="I1289">
        <v>0.49641950787401568</v>
      </c>
      <c r="J1289">
        <v>0.27782074212598434</v>
      </c>
      <c r="K1289">
        <v>0.77424025000000007</v>
      </c>
      <c r="L1289">
        <v>1.7868338557993722</v>
      </c>
    </row>
    <row r="1290" spans="1:14" x14ac:dyDescent="0.2">
      <c r="A1290">
        <v>489226</v>
      </c>
      <c r="B1290">
        <v>100</v>
      </c>
      <c r="C1290">
        <v>6</v>
      </c>
      <c r="D1290">
        <v>3.35</v>
      </c>
      <c r="E1290">
        <v>1.7</v>
      </c>
      <c r="F1290">
        <v>3.35</v>
      </c>
      <c r="G1290">
        <v>1.7</v>
      </c>
      <c r="H1290">
        <v>3.5767E-2</v>
      </c>
      <c r="I1290">
        <v>1.0548448700787403</v>
      </c>
      <c r="J1290">
        <v>0.32540365992126008</v>
      </c>
      <c r="K1290">
        <v>1.3802485300000003</v>
      </c>
      <c r="L1290">
        <v>3.2416502946954795</v>
      </c>
      <c r="M1290">
        <v>1.0708273681102363</v>
      </c>
      <c r="N1290">
        <v>0.30942116188976398</v>
      </c>
    </row>
    <row r="1291" spans="1:14" x14ac:dyDescent="0.2">
      <c r="B1291">
        <v>100</v>
      </c>
      <c r="C1291">
        <v>6</v>
      </c>
      <c r="D1291">
        <v>3.4</v>
      </c>
      <c r="E1291">
        <v>1.7</v>
      </c>
      <c r="F1291">
        <v>3.4</v>
      </c>
      <c r="G1291">
        <v>1.7</v>
      </c>
      <c r="H1291">
        <v>3.5767E-2</v>
      </c>
      <c r="I1291">
        <v>1.0868098661417323</v>
      </c>
      <c r="J1291">
        <v>0.29343866385826795</v>
      </c>
      <c r="K1291">
        <v>1.3802485300000003</v>
      </c>
      <c r="L1291">
        <v>3.7037037037037006</v>
      </c>
    </row>
    <row r="1292" spans="1:14" x14ac:dyDescent="0.2">
      <c r="A1292">
        <v>489227</v>
      </c>
      <c r="B1292">
        <v>100</v>
      </c>
      <c r="C1292">
        <v>7</v>
      </c>
      <c r="D1292">
        <v>6.05</v>
      </c>
      <c r="E1292">
        <v>3.15</v>
      </c>
      <c r="F1292">
        <v>6.05</v>
      </c>
      <c r="G1292">
        <v>3.15</v>
      </c>
      <c r="H1292">
        <v>9.7450000000000002E-3</v>
      </c>
      <c r="I1292">
        <v>0.50512862204724407</v>
      </c>
      <c r="J1292">
        <v>0.19168760295275594</v>
      </c>
      <c r="K1292">
        <v>0.69681622500000007</v>
      </c>
      <c r="L1292">
        <v>2.6351658337119486</v>
      </c>
      <c r="M1292">
        <v>0.50512862204724407</v>
      </c>
      <c r="N1292">
        <v>0.15850587795275595</v>
      </c>
    </row>
    <row r="1293" spans="1:14" x14ac:dyDescent="0.2">
      <c r="B1293">
        <v>100</v>
      </c>
      <c r="C1293">
        <v>7</v>
      </c>
      <c r="D1293">
        <v>5.75</v>
      </c>
      <c r="E1293">
        <v>2.85</v>
      </c>
      <c r="F1293">
        <v>5.75</v>
      </c>
      <c r="G1293">
        <v>2.85</v>
      </c>
      <c r="H1293">
        <v>9.7450000000000002E-3</v>
      </c>
      <c r="I1293">
        <v>0.50512862204724407</v>
      </c>
      <c r="J1293">
        <v>0.12532415295275595</v>
      </c>
      <c r="K1293">
        <v>0.63045277499999997</v>
      </c>
      <c r="L1293">
        <v>4.0305767894371076</v>
      </c>
    </row>
    <row r="1294" spans="1:14" x14ac:dyDescent="0.2">
      <c r="A1294">
        <v>489228</v>
      </c>
      <c r="B1294">
        <v>100</v>
      </c>
      <c r="C1294">
        <v>6</v>
      </c>
      <c r="D1294">
        <v>2.5499999999999998</v>
      </c>
      <c r="E1294">
        <v>1.4</v>
      </c>
      <c r="F1294">
        <v>2.5499999999999998</v>
      </c>
      <c r="G1294">
        <v>1.4</v>
      </c>
      <c r="H1294">
        <v>3.5767E-2</v>
      </c>
      <c r="I1294">
        <v>0.73519490944881893</v>
      </c>
      <c r="J1294">
        <v>0.40148035055118131</v>
      </c>
      <c r="K1294">
        <v>1.1366752600000003</v>
      </c>
      <c r="L1294">
        <v>1.8312101910828018</v>
      </c>
      <c r="M1294">
        <v>0.76715990551181112</v>
      </c>
      <c r="N1294">
        <v>0.38981312698818915</v>
      </c>
    </row>
    <row r="1295" spans="1:14" x14ac:dyDescent="0.2">
      <c r="B1295">
        <v>100</v>
      </c>
      <c r="C1295">
        <v>6</v>
      </c>
      <c r="D1295">
        <v>2.7</v>
      </c>
      <c r="E1295">
        <v>1.45</v>
      </c>
      <c r="F1295">
        <v>2.7</v>
      </c>
      <c r="G1295">
        <v>1.45</v>
      </c>
      <c r="H1295">
        <v>3.5767E-2</v>
      </c>
      <c r="I1295">
        <v>0.79912490157480331</v>
      </c>
      <c r="J1295">
        <v>0.37814590342519694</v>
      </c>
      <c r="K1295">
        <v>1.1772708050000003</v>
      </c>
      <c r="L1295">
        <v>2.1132713440405748</v>
      </c>
    </row>
    <row r="1296" spans="1:14" x14ac:dyDescent="0.2">
      <c r="A1296">
        <v>489229</v>
      </c>
      <c r="B1296">
        <v>100</v>
      </c>
      <c r="C1296">
        <v>6</v>
      </c>
      <c r="D1296">
        <v>2.9</v>
      </c>
      <c r="E1296">
        <v>1.5</v>
      </c>
      <c r="F1296">
        <v>2.9</v>
      </c>
      <c r="G1296">
        <v>1.5</v>
      </c>
      <c r="H1296">
        <v>3.5767E-2</v>
      </c>
      <c r="I1296">
        <v>0.89501988976377955</v>
      </c>
      <c r="J1296">
        <v>0.32284646023622032</v>
      </c>
      <c r="K1296">
        <v>1.21786635</v>
      </c>
      <c r="L1296">
        <v>2.7722772277227739</v>
      </c>
      <c r="M1296">
        <v>0.91100238779527576</v>
      </c>
      <c r="N1296">
        <v>0.30686396220472423</v>
      </c>
    </row>
    <row r="1297" spans="1:14" x14ac:dyDescent="0.2">
      <c r="B1297">
        <v>100</v>
      </c>
      <c r="C1297">
        <v>6</v>
      </c>
      <c r="D1297">
        <v>2.95</v>
      </c>
      <c r="E1297">
        <v>1.5</v>
      </c>
      <c r="F1297">
        <v>2.95</v>
      </c>
      <c r="G1297">
        <v>1.5</v>
      </c>
      <c r="H1297">
        <v>3.5767E-2</v>
      </c>
      <c r="I1297">
        <v>0.92698488582677185</v>
      </c>
      <c r="J1297">
        <v>0.29088146417322819</v>
      </c>
      <c r="K1297">
        <v>1.21786635</v>
      </c>
      <c r="L1297">
        <v>3.1868131868131893</v>
      </c>
    </row>
    <row r="1298" spans="1:14" x14ac:dyDescent="0.2">
      <c r="A1298">
        <v>489230</v>
      </c>
      <c r="B1298">
        <v>100</v>
      </c>
      <c r="C1298">
        <v>7</v>
      </c>
      <c r="D1298">
        <v>4</v>
      </c>
      <c r="E1298">
        <v>2</v>
      </c>
      <c r="F1298">
        <v>4</v>
      </c>
      <c r="G1298">
        <v>2</v>
      </c>
      <c r="H1298">
        <v>9.7450000000000002E-3</v>
      </c>
      <c r="I1298">
        <v>0.34836456692913387</v>
      </c>
      <c r="J1298">
        <v>9.4058433070866171E-2</v>
      </c>
      <c r="K1298">
        <v>0.44242300000000001</v>
      </c>
      <c r="L1298">
        <v>3.7037037037037028</v>
      </c>
      <c r="M1298">
        <v>0.33965545275590553</v>
      </c>
      <c r="N1298">
        <v>9.1706972244094534E-2</v>
      </c>
    </row>
    <row r="1299" spans="1:14" x14ac:dyDescent="0.2">
      <c r="B1299">
        <v>100</v>
      </c>
      <c r="C1299">
        <v>7</v>
      </c>
      <c r="D1299">
        <v>3.8</v>
      </c>
      <c r="E1299">
        <v>1.9</v>
      </c>
      <c r="F1299">
        <v>3.8</v>
      </c>
      <c r="G1299">
        <v>1.9</v>
      </c>
      <c r="H1299">
        <v>9.7450000000000002E-3</v>
      </c>
      <c r="I1299">
        <v>0.33094633858267719</v>
      </c>
      <c r="J1299">
        <v>8.9355511417322897E-2</v>
      </c>
      <c r="K1299">
        <v>0.42030185000000009</v>
      </c>
      <c r="L1299">
        <v>3.7037037037037015</v>
      </c>
    </row>
    <row r="1300" spans="1:14" x14ac:dyDescent="0.2">
      <c r="A1300">
        <v>489231</v>
      </c>
      <c r="B1300">
        <v>100</v>
      </c>
      <c r="C1300">
        <v>7</v>
      </c>
      <c r="D1300">
        <v>2.2999999999999998</v>
      </c>
      <c r="E1300">
        <v>1.1499999999999999</v>
      </c>
      <c r="F1300">
        <v>2.2999999999999998</v>
      </c>
      <c r="G1300">
        <v>1.1499999999999999</v>
      </c>
      <c r="H1300">
        <v>9.7450000000000002E-3</v>
      </c>
      <c r="I1300">
        <v>0.20030962598425198</v>
      </c>
      <c r="J1300">
        <v>5.4083599015748031E-2</v>
      </c>
      <c r="K1300">
        <v>0.254393225</v>
      </c>
      <c r="L1300">
        <v>3.7037037037037037</v>
      </c>
      <c r="M1300">
        <v>0.20901874015748031</v>
      </c>
      <c r="N1300">
        <v>4.5374484842519672E-2</v>
      </c>
    </row>
    <row r="1301" spans="1:14" x14ac:dyDescent="0.2">
      <c r="B1301">
        <v>100</v>
      </c>
      <c r="C1301">
        <v>7</v>
      </c>
      <c r="D1301">
        <v>2.4</v>
      </c>
      <c r="E1301">
        <v>1.1499999999999999</v>
      </c>
      <c r="F1301">
        <v>2.4</v>
      </c>
      <c r="G1301">
        <v>1.1499999999999999</v>
      </c>
      <c r="H1301">
        <v>9.7450000000000002E-3</v>
      </c>
      <c r="I1301">
        <v>0.21772785433070865</v>
      </c>
      <c r="J1301">
        <v>3.6665370669291313E-2</v>
      </c>
      <c r="K1301">
        <v>0.25439322499999995</v>
      </c>
      <c r="L1301">
        <v>5.9382422802850394</v>
      </c>
    </row>
    <row r="1302" spans="1:14" x14ac:dyDescent="0.2">
      <c r="A1302">
        <v>489232</v>
      </c>
      <c r="B1302">
        <v>100</v>
      </c>
      <c r="C1302">
        <v>7</v>
      </c>
      <c r="D1302">
        <v>4.1500000000000004</v>
      </c>
      <c r="E1302">
        <v>2.5499999999999998</v>
      </c>
      <c r="F1302">
        <v>4.1500000000000004</v>
      </c>
      <c r="G1302">
        <v>2.5499999999999998</v>
      </c>
      <c r="H1302">
        <v>9.7450000000000002E-3</v>
      </c>
      <c r="I1302">
        <v>0.27869165354330716</v>
      </c>
      <c r="J1302">
        <v>0.28539767145669287</v>
      </c>
      <c r="K1302">
        <v>0.56408932500000009</v>
      </c>
      <c r="L1302">
        <v>0.97650289899298182</v>
      </c>
      <c r="M1302">
        <v>0.27869165354330716</v>
      </c>
      <c r="N1302">
        <v>0.29092795895669288</v>
      </c>
    </row>
    <row r="1303" spans="1:14" x14ac:dyDescent="0.2">
      <c r="B1303">
        <v>100</v>
      </c>
      <c r="C1303">
        <v>7</v>
      </c>
      <c r="D1303">
        <v>4.2</v>
      </c>
      <c r="E1303">
        <v>2.6</v>
      </c>
      <c r="F1303">
        <v>4.2</v>
      </c>
      <c r="G1303">
        <v>2.6</v>
      </c>
      <c r="H1303">
        <v>9.7450000000000002E-3</v>
      </c>
      <c r="I1303">
        <v>0.27869165354330711</v>
      </c>
      <c r="J1303">
        <v>0.29645824645669283</v>
      </c>
      <c r="K1303">
        <v>0.57514989999999999</v>
      </c>
      <c r="L1303">
        <v>0.94007050528789693</v>
      </c>
    </row>
    <row r="1304" spans="1:14" x14ac:dyDescent="0.2">
      <c r="A1304">
        <v>489233</v>
      </c>
      <c r="B1304">
        <v>100</v>
      </c>
      <c r="C1304">
        <v>6</v>
      </c>
      <c r="D1304">
        <v>2.5</v>
      </c>
      <c r="E1304">
        <v>1.35</v>
      </c>
      <c r="F1304">
        <v>2.5</v>
      </c>
      <c r="G1304">
        <v>1.35</v>
      </c>
      <c r="H1304">
        <v>3.5767E-2</v>
      </c>
      <c r="I1304">
        <v>0.73519490944881893</v>
      </c>
      <c r="J1304">
        <v>0.36088480555118124</v>
      </c>
      <c r="K1304">
        <v>1.0960797150000001</v>
      </c>
      <c r="L1304">
        <v>2.0372010628875103</v>
      </c>
      <c r="M1304">
        <v>0.73519490944881893</v>
      </c>
      <c r="N1304">
        <v>0.34058703305118115</v>
      </c>
    </row>
    <row r="1305" spans="1:14" x14ac:dyDescent="0.2">
      <c r="B1305">
        <v>100</v>
      </c>
      <c r="C1305">
        <v>6</v>
      </c>
      <c r="D1305">
        <v>2.4500000000000002</v>
      </c>
      <c r="E1305">
        <v>1.3</v>
      </c>
      <c r="F1305">
        <v>2.4500000000000002</v>
      </c>
      <c r="G1305">
        <v>1.3</v>
      </c>
      <c r="H1305">
        <v>3.5767E-2</v>
      </c>
      <c r="I1305">
        <v>0.73519490944881893</v>
      </c>
      <c r="J1305">
        <v>0.32028926055118107</v>
      </c>
      <c r="K1305">
        <v>1.0554841699999999</v>
      </c>
      <c r="L1305">
        <v>2.2954091816367268</v>
      </c>
    </row>
    <row r="1306" spans="1:14" x14ac:dyDescent="0.2">
      <c r="A1306">
        <v>489234</v>
      </c>
      <c r="B1306">
        <v>100</v>
      </c>
      <c r="C1306">
        <v>6</v>
      </c>
      <c r="D1306">
        <v>3.15</v>
      </c>
      <c r="E1306">
        <v>1.65</v>
      </c>
      <c r="F1306">
        <v>3.15</v>
      </c>
      <c r="G1306">
        <v>1.65</v>
      </c>
      <c r="H1306">
        <v>3.5767E-2</v>
      </c>
      <c r="I1306">
        <v>0.95894988188976371</v>
      </c>
      <c r="J1306">
        <v>0.38070310311023642</v>
      </c>
      <c r="K1306">
        <v>1.3396529850000001</v>
      </c>
      <c r="L1306">
        <v>2.5188916876574292</v>
      </c>
      <c r="M1306">
        <v>0.95894988188976371</v>
      </c>
      <c r="N1306">
        <v>0.3604053306102365</v>
      </c>
    </row>
    <row r="1307" spans="1:14" x14ac:dyDescent="0.2">
      <c r="B1307">
        <v>100</v>
      </c>
      <c r="C1307">
        <v>6</v>
      </c>
      <c r="D1307">
        <v>3.1</v>
      </c>
      <c r="E1307">
        <v>1.6</v>
      </c>
      <c r="F1307">
        <v>3.1</v>
      </c>
      <c r="G1307">
        <v>1.6</v>
      </c>
      <c r="H1307">
        <v>3.5767E-2</v>
      </c>
      <c r="I1307">
        <v>0.95894988188976371</v>
      </c>
      <c r="J1307">
        <v>0.34010755811023657</v>
      </c>
      <c r="K1307">
        <v>1.2990574400000003</v>
      </c>
      <c r="L1307">
        <v>2.819548872180448</v>
      </c>
    </row>
    <row r="1308" spans="1:14" x14ac:dyDescent="0.2">
      <c r="A1308">
        <v>489235</v>
      </c>
      <c r="B1308">
        <v>100</v>
      </c>
      <c r="C1308">
        <v>7</v>
      </c>
      <c r="D1308">
        <v>4.1500000000000004</v>
      </c>
      <c r="E1308">
        <v>2.0499999999999998</v>
      </c>
      <c r="F1308">
        <v>4.1500000000000004</v>
      </c>
      <c r="G1308">
        <v>2.0499999999999998</v>
      </c>
      <c r="H1308">
        <v>9.7450000000000002E-3</v>
      </c>
      <c r="I1308">
        <v>0.3657827952755906</v>
      </c>
      <c r="J1308">
        <v>8.7700779724409372E-2</v>
      </c>
      <c r="K1308">
        <v>0.45348357499999997</v>
      </c>
      <c r="L1308">
        <v>4.1708043694141059</v>
      </c>
      <c r="M1308">
        <v>0.36578279527559054</v>
      </c>
      <c r="N1308">
        <v>9.8761354724409375E-2</v>
      </c>
    </row>
    <row r="1309" spans="1:14" x14ac:dyDescent="0.2">
      <c r="B1309">
        <v>100</v>
      </c>
      <c r="C1309">
        <v>7</v>
      </c>
      <c r="D1309">
        <v>4.25</v>
      </c>
      <c r="E1309">
        <v>2.15</v>
      </c>
      <c r="F1309">
        <v>4.25</v>
      </c>
      <c r="G1309">
        <v>2.15</v>
      </c>
      <c r="H1309">
        <v>9.7450000000000002E-3</v>
      </c>
      <c r="I1309">
        <v>0.36578279527559054</v>
      </c>
      <c r="J1309">
        <v>0.10982192972440938</v>
      </c>
      <c r="K1309">
        <v>0.47560472499999995</v>
      </c>
      <c r="L1309">
        <v>3.3306899286280749</v>
      </c>
    </row>
    <row r="1310" spans="1:14" x14ac:dyDescent="0.2">
      <c r="A1310">
        <v>489236</v>
      </c>
      <c r="B1310">
        <v>100</v>
      </c>
      <c r="C1310">
        <v>7</v>
      </c>
      <c r="D1310">
        <v>3.45</v>
      </c>
      <c r="E1310">
        <v>1.75</v>
      </c>
      <c r="F1310">
        <v>3.45</v>
      </c>
      <c r="G1310">
        <v>1.75</v>
      </c>
      <c r="H1310">
        <v>9.7450000000000002E-3</v>
      </c>
      <c r="I1310">
        <v>0.29610988188976384</v>
      </c>
      <c r="J1310">
        <v>9.1010243110236158E-2</v>
      </c>
      <c r="K1310">
        <v>0.38712012499999998</v>
      </c>
      <c r="L1310">
        <v>3.2535885167464142</v>
      </c>
      <c r="M1310">
        <v>0.30481899606299212</v>
      </c>
      <c r="N1310">
        <v>8.2301128937007875E-2</v>
      </c>
    </row>
    <row r="1311" spans="1:14" x14ac:dyDescent="0.2">
      <c r="B1311">
        <v>100</v>
      </c>
      <c r="C1311">
        <v>7</v>
      </c>
      <c r="D1311">
        <v>3.55</v>
      </c>
      <c r="E1311">
        <v>1.75</v>
      </c>
      <c r="F1311">
        <v>3.55</v>
      </c>
      <c r="G1311">
        <v>1.75</v>
      </c>
      <c r="H1311">
        <v>9.7450000000000002E-3</v>
      </c>
      <c r="I1311">
        <v>0.3135281102362204</v>
      </c>
      <c r="J1311">
        <v>7.3592014763779592E-2</v>
      </c>
      <c r="K1311">
        <v>0.38712012499999998</v>
      </c>
      <c r="L1311">
        <v>4.2603550295857939</v>
      </c>
    </row>
    <row r="1312" spans="1:14" x14ac:dyDescent="0.2">
      <c r="A1312">
        <v>489237</v>
      </c>
      <c r="B1312">
        <v>100</v>
      </c>
      <c r="C1312">
        <v>7</v>
      </c>
      <c r="D1312">
        <v>3.15</v>
      </c>
      <c r="E1312">
        <v>1.55</v>
      </c>
      <c r="F1312">
        <v>3.15</v>
      </c>
      <c r="G1312">
        <v>1.55</v>
      </c>
      <c r="H1312">
        <v>9.7450000000000002E-3</v>
      </c>
      <c r="I1312">
        <v>0.27869165354330705</v>
      </c>
      <c r="J1312">
        <v>6.4186171456692975E-2</v>
      </c>
      <c r="K1312">
        <v>0.34287782500000002</v>
      </c>
      <c r="L1312">
        <v>4.3419267299864268</v>
      </c>
      <c r="M1312">
        <v>0.28740076771653539</v>
      </c>
      <c r="N1312">
        <v>6.1007344783464618E-2</v>
      </c>
    </row>
    <row r="1313" spans="1:14" x14ac:dyDescent="0.2">
      <c r="B1313">
        <v>100</v>
      </c>
      <c r="C1313">
        <v>7</v>
      </c>
      <c r="D1313">
        <v>3.3</v>
      </c>
      <c r="E1313">
        <v>1.6</v>
      </c>
      <c r="F1313">
        <v>3.3</v>
      </c>
      <c r="G1313">
        <v>1.6</v>
      </c>
      <c r="H1313">
        <v>9.7450000000000002E-3</v>
      </c>
      <c r="I1313">
        <v>0.29610988188976373</v>
      </c>
      <c r="J1313">
        <v>5.7828518110236267E-2</v>
      </c>
      <c r="K1313">
        <v>0.35393839999999999</v>
      </c>
      <c r="L1313">
        <v>5.1204819277108387</v>
      </c>
    </row>
    <row r="1314" spans="1:14" x14ac:dyDescent="0.2">
      <c r="A1314">
        <v>489238</v>
      </c>
      <c r="B1314">
        <v>100</v>
      </c>
      <c r="C1314">
        <v>8</v>
      </c>
      <c r="D1314">
        <v>3.75</v>
      </c>
      <c r="E1314">
        <v>2.5499999999999998</v>
      </c>
      <c r="F1314">
        <v>3.75</v>
      </c>
      <c r="G1314">
        <v>2.5499999999999998</v>
      </c>
      <c r="H1314">
        <v>3.8630000000000001E-3</v>
      </c>
      <c r="I1314">
        <v>8.2856787401574816E-2</v>
      </c>
      <c r="J1314">
        <v>0.1407529675984252</v>
      </c>
      <c r="K1314">
        <v>0.22360975500000002</v>
      </c>
      <c r="L1314">
        <v>0.58866813833701259</v>
      </c>
      <c r="M1314">
        <v>8.9761519685039398E-2</v>
      </c>
      <c r="N1314">
        <v>0.14480949781496061</v>
      </c>
    </row>
    <row r="1315" spans="1:14" x14ac:dyDescent="0.2">
      <c r="B1315">
        <v>100</v>
      </c>
      <c r="C1315">
        <v>8</v>
      </c>
      <c r="D1315">
        <v>4.2</v>
      </c>
      <c r="E1315">
        <v>2.8</v>
      </c>
      <c r="F1315">
        <v>4.2</v>
      </c>
      <c r="G1315">
        <v>2.8</v>
      </c>
      <c r="H1315">
        <v>3.8630000000000001E-3</v>
      </c>
      <c r="I1315">
        <v>9.6666251968503966E-2</v>
      </c>
      <c r="J1315">
        <v>0.14886602803149604</v>
      </c>
      <c r="K1315">
        <v>0.24553227999999999</v>
      </c>
      <c r="L1315">
        <v>0.64935064935064968</v>
      </c>
    </row>
    <row r="1316" spans="1:14" x14ac:dyDescent="0.2">
      <c r="A1316">
        <v>489239</v>
      </c>
      <c r="B1316">
        <v>100</v>
      </c>
      <c r="C1316">
        <v>8</v>
      </c>
      <c r="D1316">
        <v>4.3499999999999996</v>
      </c>
      <c r="E1316">
        <v>2.85</v>
      </c>
      <c r="F1316">
        <v>4.3499999999999996</v>
      </c>
      <c r="G1316">
        <v>2.85</v>
      </c>
      <c r="H1316">
        <v>3.8630000000000001E-3</v>
      </c>
      <c r="I1316">
        <v>0.10357098425196848</v>
      </c>
      <c r="J1316">
        <v>0.14634580074803158</v>
      </c>
      <c r="K1316">
        <v>0.24991678500000006</v>
      </c>
      <c r="L1316">
        <v>0.70771408351026133</v>
      </c>
      <c r="M1316">
        <v>0.10011861811023623</v>
      </c>
      <c r="N1316">
        <v>0.15856717688976379</v>
      </c>
    </row>
    <row r="1317" spans="1:14" x14ac:dyDescent="0.2">
      <c r="B1317">
        <v>100</v>
      </c>
      <c r="C1317">
        <v>8</v>
      </c>
      <c r="D1317">
        <v>4.45</v>
      </c>
      <c r="E1317">
        <v>3.05</v>
      </c>
      <c r="F1317">
        <v>4.45</v>
      </c>
      <c r="G1317">
        <v>3.05</v>
      </c>
      <c r="H1317">
        <v>3.8630000000000001E-3</v>
      </c>
      <c r="I1317">
        <v>9.6666251968503966E-2</v>
      </c>
      <c r="J1317">
        <v>0.17078855303149598</v>
      </c>
      <c r="K1317">
        <v>0.26745480499999996</v>
      </c>
      <c r="L1317">
        <v>0.56599959571457492</v>
      </c>
    </row>
    <row r="1318" spans="1:14" x14ac:dyDescent="0.2">
      <c r="A1318">
        <v>489240</v>
      </c>
      <c r="B1318">
        <v>100</v>
      </c>
      <c r="C1318">
        <v>8</v>
      </c>
      <c r="D1318">
        <v>6</v>
      </c>
      <c r="E1318">
        <v>3.7</v>
      </c>
      <c r="F1318">
        <v>6</v>
      </c>
      <c r="G1318">
        <v>3.7</v>
      </c>
      <c r="H1318">
        <v>3.8630000000000001E-3</v>
      </c>
      <c r="I1318">
        <v>0.15880884251968502</v>
      </c>
      <c r="J1318">
        <v>0.16564452748031502</v>
      </c>
      <c r="K1318">
        <v>0.32445337000000007</v>
      </c>
      <c r="L1318">
        <v>0.95873280533555605</v>
      </c>
      <c r="M1318">
        <v>0.15880884251968502</v>
      </c>
      <c r="N1318">
        <v>0.15687551748031497</v>
      </c>
    </row>
    <row r="1319" spans="1:14" x14ac:dyDescent="0.2">
      <c r="B1319">
        <v>100</v>
      </c>
      <c r="C1319">
        <v>8</v>
      </c>
      <c r="D1319">
        <v>5.8</v>
      </c>
      <c r="E1319">
        <v>3.5</v>
      </c>
      <c r="F1319">
        <v>5.8</v>
      </c>
      <c r="G1319">
        <v>3.5</v>
      </c>
      <c r="H1319">
        <v>3.8630000000000001E-3</v>
      </c>
      <c r="I1319">
        <v>0.15880884251968502</v>
      </c>
      <c r="J1319">
        <v>0.14810650748031493</v>
      </c>
      <c r="K1319">
        <v>0.30691534999999992</v>
      </c>
      <c r="L1319">
        <v>1.0722610722610724</v>
      </c>
    </row>
    <row r="1320" spans="1:14" x14ac:dyDescent="0.2">
      <c r="A1320">
        <v>489241</v>
      </c>
      <c r="B1320">
        <v>100</v>
      </c>
      <c r="C1320">
        <v>7</v>
      </c>
      <c r="D1320">
        <v>7.7</v>
      </c>
      <c r="E1320">
        <v>4.2</v>
      </c>
      <c r="F1320">
        <v>7.7</v>
      </c>
      <c r="G1320">
        <v>4.2</v>
      </c>
      <c r="H1320">
        <v>9.7450000000000002E-3</v>
      </c>
      <c r="I1320">
        <v>0.60963799212598435</v>
      </c>
      <c r="J1320">
        <v>0.31945030787401568</v>
      </c>
      <c r="K1320">
        <v>0.92908830000000009</v>
      </c>
      <c r="L1320">
        <v>1.9083969465648862</v>
      </c>
      <c r="M1320">
        <v>0.58786520669291342</v>
      </c>
      <c r="N1320">
        <v>0.33569280580708677</v>
      </c>
    </row>
    <row r="1321" spans="1:14" x14ac:dyDescent="0.2">
      <c r="B1321">
        <v>100</v>
      </c>
      <c r="C1321">
        <v>7</v>
      </c>
      <c r="D1321">
        <v>7.4</v>
      </c>
      <c r="E1321">
        <v>4.1500000000000004</v>
      </c>
      <c r="F1321">
        <v>7.4</v>
      </c>
      <c r="G1321">
        <v>4.1500000000000004</v>
      </c>
      <c r="H1321">
        <v>9.7450000000000002E-3</v>
      </c>
      <c r="I1321">
        <v>0.56609242125984249</v>
      </c>
      <c r="J1321">
        <v>0.35193530374015786</v>
      </c>
      <c r="K1321">
        <v>0.91802772500000041</v>
      </c>
      <c r="L1321">
        <v>1.6085127443702036</v>
      </c>
    </row>
    <row r="1322" spans="1:14" x14ac:dyDescent="0.2">
      <c r="A1322">
        <v>489242</v>
      </c>
      <c r="B1322">
        <v>100</v>
      </c>
      <c r="C1322">
        <v>6</v>
      </c>
      <c r="D1322">
        <v>3.9</v>
      </c>
      <c r="E1322">
        <v>2.0499999999999998</v>
      </c>
      <c r="F1322">
        <v>3.9</v>
      </c>
      <c r="G1322">
        <v>2.0499999999999998</v>
      </c>
      <c r="H1322">
        <v>3.5767E-2</v>
      </c>
      <c r="I1322">
        <v>1.1827048543307088</v>
      </c>
      <c r="J1322">
        <v>0.48171249066929112</v>
      </c>
      <c r="K1322">
        <v>1.6644173449999999</v>
      </c>
      <c r="L1322">
        <v>2.4552090245520919</v>
      </c>
      <c r="M1322">
        <v>1.1827048543307088</v>
      </c>
      <c r="N1322">
        <v>0.48171249066929112</v>
      </c>
    </row>
    <row r="1323" spans="1:14" x14ac:dyDescent="0.2">
      <c r="B1323">
        <v>100</v>
      </c>
      <c r="C1323">
        <v>6</v>
      </c>
      <c r="D1323">
        <v>3.9</v>
      </c>
      <c r="E1323">
        <v>2.0499999999999998</v>
      </c>
      <c r="F1323">
        <v>3.9</v>
      </c>
      <c r="G1323">
        <v>2.0499999999999998</v>
      </c>
      <c r="H1323">
        <v>3.5767E-2</v>
      </c>
      <c r="I1323">
        <v>1.1827048543307088</v>
      </c>
      <c r="J1323">
        <v>0.48171249066929112</v>
      </c>
      <c r="K1323">
        <v>1.6644173449999999</v>
      </c>
      <c r="L1323">
        <v>2.4552090245520919</v>
      </c>
    </row>
    <row r="1324" spans="1:14" x14ac:dyDescent="0.2">
      <c r="A1324">
        <v>489243</v>
      </c>
      <c r="B1324">
        <v>100</v>
      </c>
      <c r="C1324">
        <v>6</v>
      </c>
      <c r="D1324">
        <v>2.5</v>
      </c>
      <c r="E1324">
        <v>1.35</v>
      </c>
      <c r="F1324">
        <v>2.5</v>
      </c>
      <c r="G1324">
        <v>1.35</v>
      </c>
      <c r="H1324">
        <v>3.5767E-2</v>
      </c>
      <c r="I1324">
        <v>0.73519490944881893</v>
      </c>
      <c r="J1324">
        <v>0.36088480555118124</v>
      </c>
      <c r="K1324">
        <v>1.0960797150000001</v>
      </c>
      <c r="L1324">
        <v>2.0372010628875103</v>
      </c>
      <c r="M1324">
        <v>0.73519490944881893</v>
      </c>
      <c r="N1324">
        <v>0.34058703305118115</v>
      </c>
    </row>
    <row r="1325" spans="1:14" x14ac:dyDescent="0.2">
      <c r="B1325">
        <v>100</v>
      </c>
      <c r="C1325">
        <v>6</v>
      </c>
      <c r="D1325">
        <v>2.4500000000000002</v>
      </c>
      <c r="E1325">
        <v>1.3</v>
      </c>
      <c r="F1325">
        <v>2.4500000000000002</v>
      </c>
      <c r="G1325">
        <v>1.3</v>
      </c>
      <c r="H1325">
        <v>3.5767E-2</v>
      </c>
      <c r="I1325">
        <v>0.73519490944881893</v>
      </c>
      <c r="J1325">
        <v>0.32028926055118107</v>
      </c>
      <c r="K1325">
        <v>1.0554841699999999</v>
      </c>
      <c r="L1325">
        <v>2.2954091816367268</v>
      </c>
    </row>
    <row r="1326" spans="1:14" x14ac:dyDescent="0.2">
      <c r="A1326">
        <v>489244</v>
      </c>
      <c r="B1326">
        <v>100</v>
      </c>
      <c r="C1326">
        <v>7</v>
      </c>
      <c r="D1326">
        <v>3.85</v>
      </c>
      <c r="E1326">
        <v>1.95</v>
      </c>
      <c r="F1326">
        <v>3.85</v>
      </c>
      <c r="G1326">
        <v>1.95</v>
      </c>
      <c r="H1326">
        <v>9.7450000000000002E-3</v>
      </c>
      <c r="I1326">
        <v>0.33094633858267719</v>
      </c>
      <c r="J1326">
        <v>0.10041608641732276</v>
      </c>
      <c r="K1326">
        <v>0.43136242499999994</v>
      </c>
      <c r="L1326">
        <v>3.2957502168256747</v>
      </c>
      <c r="M1326">
        <v>0.32659178149606305</v>
      </c>
      <c r="N1326">
        <v>0.10477064350393699</v>
      </c>
    </row>
    <row r="1327" spans="1:14" x14ac:dyDescent="0.2">
      <c r="B1327">
        <v>100</v>
      </c>
      <c r="C1327">
        <v>7</v>
      </c>
      <c r="D1327">
        <v>3.8</v>
      </c>
      <c r="E1327">
        <v>1.95</v>
      </c>
      <c r="F1327">
        <v>3.8</v>
      </c>
      <c r="G1327">
        <v>1.95</v>
      </c>
      <c r="H1327">
        <v>9.7450000000000002E-3</v>
      </c>
      <c r="I1327">
        <v>0.32223722440944885</v>
      </c>
      <c r="J1327">
        <v>0.10912520059055121</v>
      </c>
      <c r="K1327">
        <v>0.43136242500000005</v>
      </c>
      <c r="L1327">
        <v>2.9529130087789301</v>
      </c>
    </row>
    <row r="1328" spans="1:14" x14ac:dyDescent="0.2">
      <c r="A1328">
        <v>489245</v>
      </c>
      <c r="B1328">
        <v>100</v>
      </c>
      <c r="C1328">
        <v>7</v>
      </c>
      <c r="D1328">
        <v>3.65</v>
      </c>
      <c r="E1328">
        <v>1.85</v>
      </c>
      <c r="F1328">
        <v>3.65</v>
      </c>
      <c r="G1328">
        <v>1.85</v>
      </c>
      <c r="H1328">
        <v>9.7450000000000002E-3</v>
      </c>
      <c r="I1328">
        <v>0.3135281102362204</v>
      </c>
      <c r="J1328">
        <v>9.5713164763779612E-2</v>
      </c>
      <c r="K1328">
        <v>0.40924127500000002</v>
      </c>
      <c r="L1328">
        <v>3.2757051865332083</v>
      </c>
      <c r="M1328">
        <v>0.31788266732283466</v>
      </c>
      <c r="N1328">
        <v>9.6888895177165424E-2</v>
      </c>
    </row>
    <row r="1329" spans="1:14" x14ac:dyDescent="0.2">
      <c r="B1329">
        <v>100</v>
      </c>
      <c r="C1329">
        <v>7</v>
      </c>
      <c r="D1329">
        <v>3.75</v>
      </c>
      <c r="E1329">
        <v>1.9</v>
      </c>
      <c r="F1329">
        <v>3.75</v>
      </c>
      <c r="G1329">
        <v>1.9</v>
      </c>
      <c r="H1329">
        <v>9.7450000000000002E-3</v>
      </c>
      <c r="I1329">
        <v>0.32223722440944891</v>
      </c>
      <c r="J1329">
        <v>9.8064625590551249E-2</v>
      </c>
      <c r="K1329">
        <v>0.42030185000000014</v>
      </c>
      <c r="L1329">
        <v>3.2859680284191817</v>
      </c>
    </row>
    <row r="1330" spans="1:14" x14ac:dyDescent="0.2">
      <c r="A1330">
        <v>489248</v>
      </c>
      <c r="B1330">
        <v>100</v>
      </c>
      <c r="C1330">
        <v>8</v>
      </c>
      <c r="D1330">
        <v>1.05</v>
      </c>
      <c r="E1330">
        <v>0.75</v>
      </c>
      <c r="F1330">
        <v>1.05</v>
      </c>
      <c r="G1330">
        <v>0.75</v>
      </c>
      <c r="H1330">
        <v>3.8630000000000001E-3</v>
      </c>
      <c r="I1330">
        <v>2.0714196850393704E-2</v>
      </c>
      <c r="J1330">
        <v>4.5053378149606284E-2</v>
      </c>
      <c r="K1330">
        <v>6.5767574999999995E-2</v>
      </c>
      <c r="L1330">
        <v>0.45977011494252895</v>
      </c>
      <c r="M1330">
        <v>1.726183070866142E-2</v>
      </c>
      <c r="N1330">
        <v>4.1928986791338566E-2</v>
      </c>
    </row>
    <row r="1331" spans="1:14" x14ac:dyDescent="0.2">
      <c r="B1331">
        <v>100</v>
      </c>
      <c r="C1331">
        <v>8</v>
      </c>
      <c r="D1331">
        <v>0.8</v>
      </c>
      <c r="E1331">
        <v>0.6</v>
      </c>
      <c r="F1331">
        <v>0.8</v>
      </c>
      <c r="G1331">
        <v>0.6</v>
      </c>
      <c r="H1331">
        <v>3.8630000000000001E-3</v>
      </c>
      <c r="I1331">
        <v>1.3809464566929138E-2</v>
      </c>
      <c r="J1331">
        <v>3.8804595433070854E-2</v>
      </c>
      <c r="K1331">
        <v>5.261405999999999E-2</v>
      </c>
      <c r="L1331">
        <v>0.35587188612099663</v>
      </c>
    </row>
    <row r="1332" spans="1:14" x14ac:dyDescent="0.2">
      <c r="A1332">
        <v>489249</v>
      </c>
      <c r="B1332">
        <v>100</v>
      </c>
      <c r="C1332">
        <v>8</v>
      </c>
      <c r="D1332">
        <v>1</v>
      </c>
      <c r="E1332">
        <v>0.7</v>
      </c>
      <c r="F1332">
        <v>1</v>
      </c>
      <c r="G1332">
        <v>0.7</v>
      </c>
      <c r="H1332">
        <v>3.8630000000000001E-3</v>
      </c>
      <c r="I1332">
        <v>2.0714196850393704E-2</v>
      </c>
      <c r="J1332">
        <v>4.0668873149606294E-2</v>
      </c>
      <c r="K1332">
        <v>6.1383069999999998E-2</v>
      </c>
      <c r="L1332">
        <v>0.50933786078098486</v>
      </c>
      <c r="M1332">
        <v>1.726183070866142E-2</v>
      </c>
      <c r="N1332">
        <v>4.8505744291338582E-2</v>
      </c>
    </row>
    <row r="1333" spans="1:14" x14ac:dyDescent="0.2">
      <c r="B1333">
        <v>100</v>
      </c>
      <c r="C1333">
        <v>8</v>
      </c>
      <c r="D1333">
        <v>1</v>
      </c>
      <c r="E1333">
        <v>0.8</v>
      </c>
      <c r="F1333">
        <v>1</v>
      </c>
      <c r="G1333">
        <v>0.8</v>
      </c>
      <c r="H1333">
        <v>3.8630000000000001E-3</v>
      </c>
      <c r="I1333">
        <v>1.3809464566929133E-2</v>
      </c>
      <c r="J1333">
        <v>5.6342615433070876E-2</v>
      </c>
      <c r="K1333">
        <v>7.0152080000000006E-2</v>
      </c>
      <c r="L1333">
        <v>0.24509803921568621</v>
      </c>
    </row>
    <row r="1334" spans="1:14" x14ac:dyDescent="0.2">
      <c r="A1334">
        <v>489250</v>
      </c>
      <c r="B1334">
        <v>100</v>
      </c>
      <c r="C1334">
        <v>8</v>
      </c>
      <c r="D1334">
        <v>1.55</v>
      </c>
      <c r="E1334">
        <v>1.1499999999999999</v>
      </c>
      <c r="F1334">
        <v>1.55</v>
      </c>
      <c r="G1334">
        <v>1.1499999999999999</v>
      </c>
      <c r="H1334">
        <v>3.8630000000000001E-3</v>
      </c>
      <c r="I1334">
        <v>2.7618929133858276E-2</v>
      </c>
      <c r="J1334">
        <v>7.3224685866141725E-2</v>
      </c>
      <c r="K1334">
        <v>0.100843615</v>
      </c>
      <c r="L1334">
        <v>0.37718057520037734</v>
      </c>
      <c r="M1334">
        <v>2.7618929133858276E-2</v>
      </c>
      <c r="N1334">
        <v>7.5416938366141717E-2</v>
      </c>
    </row>
    <row r="1335" spans="1:14" x14ac:dyDescent="0.2">
      <c r="B1335">
        <v>100</v>
      </c>
      <c r="C1335">
        <v>8</v>
      </c>
      <c r="D1335">
        <v>1.6</v>
      </c>
      <c r="E1335">
        <v>1.2</v>
      </c>
      <c r="F1335">
        <v>1.6</v>
      </c>
      <c r="G1335">
        <v>1.2</v>
      </c>
      <c r="H1335">
        <v>3.8630000000000001E-3</v>
      </c>
      <c r="I1335">
        <v>2.7618929133858276E-2</v>
      </c>
      <c r="J1335">
        <v>7.7609190866141708E-2</v>
      </c>
      <c r="K1335">
        <v>0.10522811999999998</v>
      </c>
      <c r="L1335">
        <v>0.35587188612099663</v>
      </c>
    </row>
    <row r="1336" spans="1:14" x14ac:dyDescent="0.2">
      <c r="A1336">
        <v>489251</v>
      </c>
      <c r="B1336">
        <v>100</v>
      </c>
      <c r="C1336">
        <v>8</v>
      </c>
      <c r="D1336">
        <v>2.6</v>
      </c>
      <c r="E1336">
        <v>1.65</v>
      </c>
      <c r="F1336">
        <v>2.6</v>
      </c>
      <c r="G1336">
        <v>1.65</v>
      </c>
      <c r="H1336">
        <v>3.8630000000000001E-3</v>
      </c>
      <c r="I1336">
        <v>6.5594956692913403E-2</v>
      </c>
      <c r="J1336">
        <v>7.9093708307086605E-2</v>
      </c>
      <c r="K1336">
        <v>0.14468866499999999</v>
      </c>
      <c r="L1336">
        <v>0.82933216935835907</v>
      </c>
      <c r="M1336">
        <v>6.5594956692913403E-2</v>
      </c>
      <c r="N1336">
        <v>7.9093708307086605E-2</v>
      </c>
    </row>
    <row r="1337" spans="1:14" x14ac:dyDescent="0.2">
      <c r="B1337">
        <v>100</v>
      </c>
      <c r="C1337">
        <v>8</v>
      </c>
      <c r="D1337">
        <v>2.6</v>
      </c>
      <c r="E1337">
        <v>1.65</v>
      </c>
      <c r="F1337">
        <v>2.6</v>
      </c>
      <c r="G1337">
        <v>1.65</v>
      </c>
      <c r="H1337">
        <v>3.8630000000000001E-3</v>
      </c>
      <c r="I1337">
        <v>6.5594956692913403E-2</v>
      </c>
      <c r="J1337">
        <v>7.9093708307086605E-2</v>
      </c>
      <c r="K1337">
        <v>0.14468866499999999</v>
      </c>
      <c r="L1337">
        <v>0.82933216935835907</v>
      </c>
    </row>
    <row r="1338" spans="1:14" x14ac:dyDescent="0.2">
      <c r="A1338">
        <v>489252</v>
      </c>
      <c r="B1338">
        <v>100</v>
      </c>
      <c r="C1338">
        <v>8</v>
      </c>
      <c r="D1338">
        <v>5.7</v>
      </c>
      <c r="E1338">
        <v>3.3</v>
      </c>
      <c r="F1338">
        <v>5.7</v>
      </c>
      <c r="G1338">
        <v>3.3</v>
      </c>
      <c r="H1338">
        <v>3.8630000000000001E-3</v>
      </c>
      <c r="I1338">
        <v>0.16571357480314963</v>
      </c>
      <c r="J1338">
        <v>0.12366375519685038</v>
      </c>
      <c r="K1338">
        <v>0.28937732999999999</v>
      </c>
      <c r="L1338">
        <v>1.3400335008375213</v>
      </c>
      <c r="M1338">
        <v>0.16226120866141733</v>
      </c>
      <c r="N1338">
        <v>0.1249238688385827</v>
      </c>
    </row>
    <row r="1339" spans="1:14" x14ac:dyDescent="0.2">
      <c r="B1339">
        <v>100</v>
      </c>
      <c r="C1339">
        <v>8</v>
      </c>
      <c r="D1339">
        <v>5.55</v>
      </c>
      <c r="E1339">
        <v>3.25</v>
      </c>
      <c r="F1339">
        <v>5.55</v>
      </c>
      <c r="G1339">
        <v>3.25</v>
      </c>
      <c r="H1339">
        <v>3.8630000000000001E-3</v>
      </c>
      <c r="I1339">
        <v>0.15880884251968502</v>
      </c>
      <c r="J1339">
        <v>0.12618398248031501</v>
      </c>
      <c r="K1339">
        <v>0.28499282500000001</v>
      </c>
      <c r="L1339">
        <v>1.2585499316005466</v>
      </c>
    </row>
    <row r="1340" spans="1:14" x14ac:dyDescent="0.2">
      <c r="A1340">
        <v>489253</v>
      </c>
      <c r="B1340">
        <v>100</v>
      </c>
      <c r="C1340">
        <v>7</v>
      </c>
      <c r="D1340">
        <v>4.3</v>
      </c>
      <c r="E1340">
        <v>2.5</v>
      </c>
      <c r="F1340">
        <v>4.3</v>
      </c>
      <c r="G1340">
        <v>2.5</v>
      </c>
      <c r="H1340">
        <v>9.7450000000000002E-3</v>
      </c>
      <c r="I1340">
        <v>0.3135281102362204</v>
      </c>
      <c r="J1340">
        <v>0.23950063976377961</v>
      </c>
      <c r="K1340">
        <v>0.55302874999999996</v>
      </c>
      <c r="L1340">
        <v>1.3090909090909084</v>
      </c>
      <c r="M1340">
        <v>0.31352811023622051</v>
      </c>
      <c r="N1340">
        <v>0.22290977726377956</v>
      </c>
    </row>
    <row r="1341" spans="1:14" x14ac:dyDescent="0.2">
      <c r="B1341">
        <v>100</v>
      </c>
      <c r="C1341">
        <v>7</v>
      </c>
      <c r="D1341">
        <v>4.1500000000000004</v>
      </c>
      <c r="E1341">
        <v>2.35</v>
      </c>
      <c r="F1341">
        <v>4.1500000000000004</v>
      </c>
      <c r="G1341">
        <v>2.35</v>
      </c>
      <c r="H1341">
        <v>9.7450000000000002E-3</v>
      </c>
      <c r="I1341">
        <v>0.31352811023622057</v>
      </c>
      <c r="J1341">
        <v>0.2063189147637795</v>
      </c>
      <c r="K1341">
        <v>0.51984702500000002</v>
      </c>
      <c r="L1341">
        <v>1.5196285352469403</v>
      </c>
    </row>
    <row r="1342" spans="1:14" x14ac:dyDescent="0.2">
      <c r="A1342">
        <v>489254</v>
      </c>
      <c r="B1342">
        <v>100</v>
      </c>
      <c r="C1342">
        <v>6</v>
      </c>
      <c r="D1342">
        <v>2.85</v>
      </c>
      <c r="E1342">
        <v>1.55</v>
      </c>
      <c r="F1342">
        <v>2.85</v>
      </c>
      <c r="G1342">
        <v>1.55</v>
      </c>
      <c r="H1342">
        <v>3.5767E-2</v>
      </c>
      <c r="I1342">
        <v>0.83108989763779528</v>
      </c>
      <c r="J1342">
        <v>0.4273719973622046</v>
      </c>
      <c r="K1342">
        <v>1.2584618949999999</v>
      </c>
      <c r="L1342">
        <v>1.9446522064323117</v>
      </c>
      <c r="M1342">
        <v>0.83108989763779528</v>
      </c>
      <c r="N1342">
        <v>0.4273719973622046</v>
      </c>
    </row>
    <row r="1343" spans="1:14" x14ac:dyDescent="0.2">
      <c r="B1343">
        <v>100</v>
      </c>
      <c r="C1343">
        <v>6</v>
      </c>
      <c r="D1343">
        <v>2.85</v>
      </c>
      <c r="E1343">
        <v>1.55</v>
      </c>
      <c r="F1343">
        <v>2.85</v>
      </c>
      <c r="G1343">
        <v>1.55</v>
      </c>
      <c r="H1343">
        <v>3.5767E-2</v>
      </c>
      <c r="I1343">
        <v>0.83108989763779528</v>
      </c>
      <c r="J1343">
        <v>0.4273719973622046</v>
      </c>
      <c r="K1343">
        <v>1.2584618949999999</v>
      </c>
      <c r="L1343">
        <v>1.9446522064323117</v>
      </c>
    </row>
    <row r="1344" spans="1:14" x14ac:dyDescent="0.2">
      <c r="A1344">
        <v>489255</v>
      </c>
      <c r="B1344">
        <v>100</v>
      </c>
      <c r="C1344">
        <v>7</v>
      </c>
      <c r="D1344">
        <v>3.6</v>
      </c>
      <c r="E1344">
        <v>1.85</v>
      </c>
      <c r="F1344">
        <v>3.6</v>
      </c>
      <c r="G1344">
        <v>1.85</v>
      </c>
      <c r="H1344">
        <v>9.7450000000000002E-3</v>
      </c>
      <c r="I1344">
        <v>0.30481899606299218</v>
      </c>
      <c r="J1344">
        <v>0.10442227893700794</v>
      </c>
      <c r="K1344">
        <v>0.40924127500000013</v>
      </c>
      <c r="L1344">
        <v>2.9190992493744776</v>
      </c>
      <c r="M1344">
        <v>0.30046443897637798</v>
      </c>
      <c r="N1344">
        <v>9.7716261023622047E-2</v>
      </c>
    </row>
    <row r="1345" spans="1:14" x14ac:dyDescent="0.2">
      <c r="B1345">
        <v>100</v>
      </c>
      <c r="C1345">
        <v>7</v>
      </c>
      <c r="D1345">
        <v>3.45</v>
      </c>
      <c r="E1345">
        <v>1.75</v>
      </c>
      <c r="F1345">
        <v>3.45</v>
      </c>
      <c r="G1345">
        <v>1.75</v>
      </c>
      <c r="H1345">
        <v>9.7450000000000002E-3</v>
      </c>
      <c r="I1345">
        <v>0.29610988188976384</v>
      </c>
      <c r="J1345">
        <v>9.1010243110236158E-2</v>
      </c>
      <c r="K1345">
        <v>0.38712012499999998</v>
      </c>
      <c r="L1345">
        <v>3.2535885167464142</v>
      </c>
    </row>
    <row r="1346" spans="1:14" x14ac:dyDescent="0.2">
      <c r="A1346">
        <v>489256</v>
      </c>
      <c r="B1346">
        <v>100</v>
      </c>
      <c r="C1346">
        <v>7</v>
      </c>
      <c r="D1346">
        <v>2.95</v>
      </c>
      <c r="E1346">
        <v>1.45</v>
      </c>
      <c r="F1346">
        <v>2.95</v>
      </c>
      <c r="G1346">
        <v>1.45</v>
      </c>
      <c r="H1346">
        <v>9.7450000000000002E-3</v>
      </c>
      <c r="I1346">
        <v>0.26127342519685048</v>
      </c>
      <c r="J1346">
        <v>5.9483249803149618E-2</v>
      </c>
      <c r="K1346">
        <v>0.3207566750000001</v>
      </c>
      <c r="L1346">
        <v>4.3923865300146421</v>
      </c>
      <c r="M1346">
        <v>0.25691886811023629</v>
      </c>
      <c r="N1346">
        <v>6.9368094389763768E-2</v>
      </c>
    </row>
    <row r="1347" spans="1:14" x14ac:dyDescent="0.2">
      <c r="B1347">
        <v>100</v>
      </c>
      <c r="C1347">
        <v>7</v>
      </c>
      <c r="D1347">
        <v>2.95</v>
      </c>
      <c r="E1347">
        <v>1.5</v>
      </c>
      <c r="F1347">
        <v>2.95</v>
      </c>
      <c r="G1347">
        <v>1.5</v>
      </c>
      <c r="H1347">
        <v>9.7450000000000002E-3</v>
      </c>
      <c r="I1347">
        <v>0.25256431102362209</v>
      </c>
      <c r="J1347">
        <v>7.9252938976377904E-2</v>
      </c>
      <c r="K1347">
        <v>0.33181725000000001</v>
      </c>
      <c r="L1347">
        <v>3.1868131868131893</v>
      </c>
    </row>
    <row r="1348" spans="1:14" x14ac:dyDescent="0.2">
      <c r="A1348">
        <v>489259</v>
      </c>
      <c r="B1348">
        <v>100</v>
      </c>
      <c r="C1348">
        <v>8</v>
      </c>
      <c r="D1348">
        <v>0.7</v>
      </c>
      <c r="E1348">
        <v>0.5</v>
      </c>
      <c r="F1348">
        <v>0.7</v>
      </c>
      <c r="G1348">
        <v>0.5</v>
      </c>
      <c r="H1348">
        <v>3.8630000000000001E-3</v>
      </c>
      <c r="I1348">
        <v>1.3809464566929133E-2</v>
      </c>
      <c r="J1348">
        <v>3.0035585433070874E-2</v>
      </c>
      <c r="K1348">
        <v>4.384505000000001E-2</v>
      </c>
      <c r="L1348">
        <v>0.45977011494252856</v>
      </c>
      <c r="M1348">
        <v>1.5535647637795276E-2</v>
      </c>
      <c r="N1348">
        <v>3.0501654862204731E-2</v>
      </c>
    </row>
    <row r="1349" spans="1:14" x14ac:dyDescent="0.2">
      <c r="B1349">
        <v>100</v>
      </c>
      <c r="C1349">
        <v>8</v>
      </c>
      <c r="D1349">
        <v>0.8</v>
      </c>
      <c r="E1349">
        <v>0.55000000000000004</v>
      </c>
      <c r="F1349">
        <v>0.8</v>
      </c>
      <c r="G1349">
        <v>0.55000000000000004</v>
      </c>
      <c r="H1349">
        <v>3.8630000000000001E-3</v>
      </c>
      <c r="I1349">
        <v>1.726183070866142E-2</v>
      </c>
      <c r="J1349">
        <v>3.0967724291338587E-2</v>
      </c>
      <c r="K1349">
        <v>4.8229555000000007E-2</v>
      </c>
      <c r="L1349">
        <v>0.55741360089186176</v>
      </c>
    </row>
    <row r="1350" spans="1:14" x14ac:dyDescent="0.2">
      <c r="A1350">
        <v>489261</v>
      </c>
      <c r="B1350">
        <v>100</v>
      </c>
      <c r="C1350">
        <v>8</v>
      </c>
      <c r="D1350">
        <v>2.4</v>
      </c>
      <c r="E1350">
        <v>1.5</v>
      </c>
      <c r="F1350">
        <v>2.4</v>
      </c>
      <c r="G1350">
        <v>1.5</v>
      </c>
      <c r="H1350">
        <v>3.8630000000000001E-3</v>
      </c>
      <c r="I1350">
        <v>6.2142590551181091E-2</v>
      </c>
      <c r="J1350">
        <v>6.9392559448818891E-2</v>
      </c>
      <c r="K1350">
        <v>0.13153514999999999</v>
      </c>
      <c r="L1350">
        <v>0.89552238805970141</v>
      </c>
      <c r="M1350">
        <v>5.8690224409448821E-2</v>
      </c>
      <c r="N1350">
        <v>6.8460420590551158E-2</v>
      </c>
    </row>
    <row r="1351" spans="1:14" x14ac:dyDescent="0.2">
      <c r="B1351">
        <v>100</v>
      </c>
      <c r="C1351">
        <v>8</v>
      </c>
      <c r="D1351">
        <v>2.2000000000000002</v>
      </c>
      <c r="E1351">
        <v>1.4</v>
      </c>
      <c r="F1351">
        <v>2.2000000000000002</v>
      </c>
      <c r="G1351">
        <v>1.4</v>
      </c>
      <c r="H1351">
        <v>3.8630000000000001E-3</v>
      </c>
      <c r="I1351">
        <v>5.5237858267716551E-2</v>
      </c>
      <c r="J1351">
        <v>6.7528281732283438E-2</v>
      </c>
      <c r="K1351">
        <v>0.12276614</v>
      </c>
      <c r="L1351">
        <v>0.81799591002045047</v>
      </c>
    </row>
    <row r="1352" spans="1:14" x14ac:dyDescent="0.2">
      <c r="A1352">
        <v>489262</v>
      </c>
      <c r="B1352">
        <v>100</v>
      </c>
      <c r="C1352">
        <v>8</v>
      </c>
      <c r="D1352">
        <v>2.4</v>
      </c>
      <c r="E1352">
        <v>1.45</v>
      </c>
      <c r="F1352">
        <v>2.4</v>
      </c>
      <c r="G1352">
        <v>1.45</v>
      </c>
      <c r="H1352">
        <v>3.8630000000000001E-3</v>
      </c>
      <c r="I1352">
        <v>6.5594956692913389E-2</v>
      </c>
      <c r="J1352">
        <v>6.1555688307086624E-2</v>
      </c>
      <c r="K1352">
        <v>0.12715064500000001</v>
      </c>
      <c r="L1352">
        <v>1.0656197420078519</v>
      </c>
      <c r="M1352">
        <v>6.5594956692913389E-2</v>
      </c>
      <c r="N1352">
        <v>7.6901455807086627E-2</v>
      </c>
    </row>
    <row r="1353" spans="1:14" x14ac:dyDescent="0.2">
      <c r="B1353">
        <v>100</v>
      </c>
      <c r="C1353">
        <v>8</v>
      </c>
      <c r="D1353">
        <v>2.75</v>
      </c>
      <c r="E1353">
        <v>1.8</v>
      </c>
      <c r="F1353">
        <v>2.75</v>
      </c>
      <c r="G1353">
        <v>1.8</v>
      </c>
      <c r="H1353">
        <v>3.8630000000000001E-3</v>
      </c>
      <c r="I1353">
        <v>6.5594956692913389E-2</v>
      </c>
      <c r="J1353">
        <v>9.2247223307086637E-2</v>
      </c>
      <c r="K1353">
        <v>0.15784218000000003</v>
      </c>
      <c r="L1353">
        <v>0.71107784431137711</v>
      </c>
    </row>
    <row r="1354" spans="1:14" x14ac:dyDescent="0.2">
      <c r="A1354">
        <v>489263</v>
      </c>
      <c r="B1354">
        <v>100</v>
      </c>
      <c r="C1354">
        <v>8</v>
      </c>
      <c r="D1354">
        <v>7.7</v>
      </c>
      <c r="E1354">
        <v>4.45</v>
      </c>
      <c r="F1354">
        <v>7.7</v>
      </c>
      <c r="G1354">
        <v>4.45</v>
      </c>
      <c r="H1354">
        <v>3.8630000000000001E-3</v>
      </c>
      <c r="I1354">
        <v>0.22440379921259843</v>
      </c>
      <c r="J1354">
        <v>0.16581714578740162</v>
      </c>
      <c r="K1354">
        <v>0.39022094500000004</v>
      </c>
      <c r="L1354">
        <v>1.3533208411409532</v>
      </c>
      <c r="M1354">
        <v>0.22785616535433068</v>
      </c>
      <c r="N1354">
        <v>0.16455703214566933</v>
      </c>
    </row>
    <row r="1355" spans="1:14" x14ac:dyDescent="0.2">
      <c r="B1355">
        <v>100</v>
      </c>
      <c r="C1355">
        <v>8</v>
      </c>
      <c r="D1355">
        <v>7.85</v>
      </c>
      <c r="E1355">
        <v>4.5</v>
      </c>
      <c r="F1355">
        <v>7.85</v>
      </c>
      <c r="G1355">
        <v>4.5</v>
      </c>
      <c r="H1355">
        <v>3.8630000000000001E-3</v>
      </c>
      <c r="I1355">
        <v>0.23130853149606295</v>
      </c>
      <c r="J1355">
        <v>0.16329691850393704</v>
      </c>
      <c r="K1355">
        <v>0.39460545000000002</v>
      </c>
      <c r="L1355">
        <v>1.4164904862579275</v>
      </c>
    </row>
    <row r="1356" spans="1:14" x14ac:dyDescent="0.2">
      <c r="A1356">
        <v>489264</v>
      </c>
      <c r="B1356">
        <v>100</v>
      </c>
      <c r="C1356">
        <v>6</v>
      </c>
      <c r="D1356">
        <v>3.85</v>
      </c>
      <c r="E1356">
        <v>2</v>
      </c>
      <c r="F1356">
        <v>3.85</v>
      </c>
      <c r="G1356">
        <v>2</v>
      </c>
      <c r="H1356">
        <v>3.5767E-2</v>
      </c>
      <c r="I1356">
        <v>1.1827048543307088</v>
      </c>
      <c r="J1356">
        <v>0.44111694566929133</v>
      </c>
      <c r="K1356">
        <v>1.6238218000000002</v>
      </c>
      <c r="L1356">
        <v>2.6811594202898554</v>
      </c>
      <c r="M1356">
        <v>1.1986873523622048</v>
      </c>
      <c r="N1356">
        <v>0.4048366751377952</v>
      </c>
    </row>
    <row r="1357" spans="1:14" x14ac:dyDescent="0.2">
      <c r="B1357">
        <v>100</v>
      </c>
      <c r="C1357">
        <v>6</v>
      </c>
      <c r="D1357">
        <v>3.85</v>
      </c>
      <c r="E1357">
        <v>1.95</v>
      </c>
      <c r="F1357">
        <v>3.85</v>
      </c>
      <c r="G1357">
        <v>1.95</v>
      </c>
      <c r="H1357">
        <v>3.5767E-2</v>
      </c>
      <c r="I1357">
        <v>1.2146698503937008</v>
      </c>
      <c r="J1357">
        <v>0.36855640460629902</v>
      </c>
      <c r="K1357">
        <v>1.5832262549999998</v>
      </c>
      <c r="L1357">
        <v>3.2957502168256738</v>
      </c>
    </row>
    <row r="1358" spans="1:14" x14ac:dyDescent="0.2">
      <c r="A1358">
        <v>489265</v>
      </c>
      <c r="B1358">
        <v>100</v>
      </c>
      <c r="C1358">
        <v>6</v>
      </c>
      <c r="D1358">
        <v>3.05</v>
      </c>
      <c r="E1358">
        <v>1.6</v>
      </c>
      <c r="F1358">
        <v>3.05</v>
      </c>
      <c r="G1358">
        <v>1.6</v>
      </c>
      <c r="H1358">
        <v>3.5767E-2</v>
      </c>
      <c r="I1358">
        <v>0.92698488582677152</v>
      </c>
      <c r="J1358">
        <v>0.3720725541732286</v>
      </c>
      <c r="K1358">
        <v>1.2990574400000001</v>
      </c>
      <c r="L1358">
        <v>2.4914089347079016</v>
      </c>
      <c r="M1358">
        <v>0.92698488582677152</v>
      </c>
      <c r="N1358">
        <v>0.3720725541732286</v>
      </c>
    </row>
    <row r="1359" spans="1:14" x14ac:dyDescent="0.2">
      <c r="B1359">
        <v>100</v>
      </c>
      <c r="C1359">
        <v>6</v>
      </c>
      <c r="D1359">
        <v>3.05</v>
      </c>
      <c r="E1359">
        <v>1.6</v>
      </c>
      <c r="F1359">
        <v>3.05</v>
      </c>
      <c r="G1359">
        <v>1.6</v>
      </c>
      <c r="H1359">
        <v>3.5767E-2</v>
      </c>
      <c r="I1359">
        <v>0.92698488582677152</v>
      </c>
      <c r="J1359">
        <v>0.3720725541732286</v>
      </c>
      <c r="K1359">
        <v>1.2990574400000001</v>
      </c>
      <c r="L1359">
        <v>2.4914089347079016</v>
      </c>
    </row>
    <row r="1360" spans="1:14" x14ac:dyDescent="0.2">
      <c r="A1360">
        <v>489266</v>
      </c>
      <c r="B1360">
        <v>100</v>
      </c>
      <c r="C1360">
        <v>7</v>
      </c>
      <c r="D1360">
        <v>3.95</v>
      </c>
      <c r="E1360">
        <v>2</v>
      </c>
      <c r="F1360">
        <v>3.95</v>
      </c>
      <c r="G1360">
        <v>2</v>
      </c>
      <c r="H1360">
        <v>9.7450000000000002E-3</v>
      </c>
      <c r="I1360">
        <v>0.33965545275590558</v>
      </c>
      <c r="J1360">
        <v>0.1027675472440945</v>
      </c>
      <c r="K1360">
        <v>0.44242300000000007</v>
      </c>
      <c r="L1360">
        <v>3.3050847457627124</v>
      </c>
      <c r="M1360">
        <v>0.34836456692913387</v>
      </c>
      <c r="N1360">
        <v>8.8528145570866135E-2</v>
      </c>
    </row>
    <row r="1361" spans="1:14" x14ac:dyDescent="0.2">
      <c r="B1361">
        <v>100</v>
      </c>
      <c r="C1361">
        <v>7</v>
      </c>
      <c r="D1361">
        <v>4</v>
      </c>
      <c r="E1361">
        <v>1.95</v>
      </c>
      <c r="F1361">
        <v>4</v>
      </c>
      <c r="G1361">
        <v>1.95</v>
      </c>
      <c r="H1361">
        <v>9.7450000000000002E-3</v>
      </c>
      <c r="I1361">
        <v>0.35707368110236215</v>
      </c>
      <c r="J1361">
        <v>7.4288743897637788E-2</v>
      </c>
      <c r="K1361">
        <v>0.43136242499999994</v>
      </c>
      <c r="L1361">
        <v>4.8065650644783116</v>
      </c>
    </row>
    <row r="1362" spans="1:14" x14ac:dyDescent="0.2">
      <c r="A1362">
        <v>488264</v>
      </c>
      <c r="B1362">
        <v>100</v>
      </c>
      <c r="C1362">
        <v>7</v>
      </c>
      <c r="D1362">
        <v>3</v>
      </c>
      <c r="E1362">
        <v>1.5</v>
      </c>
      <c r="F1362">
        <v>3</v>
      </c>
      <c r="G1362">
        <v>1.5</v>
      </c>
      <c r="H1362">
        <v>9.7450000000000002E-3</v>
      </c>
      <c r="I1362">
        <v>0.26127342519685043</v>
      </c>
      <c r="J1362">
        <v>7.054382480314958E-2</v>
      </c>
      <c r="K1362">
        <v>0.33181725000000001</v>
      </c>
      <c r="L1362">
        <v>3.7037037037037055</v>
      </c>
      <c r="M1362">
        <v>0.26998253937007877</v>
      </c>
      <c r="N1362">
        <v>6.1834710629921248E-2</v>
      </c>
    </row>
    <row r="1363" spans="1:14" x14ac:dyDescent="0.2">
      <c r="B1363">
        <v>100</v>
      </c>
      <c r="C1363">
        <v>7</v>
      </c>
      <c r="D1363">
        <v>3.1</v>
      </c>
      <c r="E1363">
        <v>1.5</v>
      </c>
      <c r="F1363">
        <v>3.1</v>
      </c>
      <c r="G1363">
        <v>1.5</v>
      </c>
      <c r="H1363">
        <v>9.7450000000000002E-3</v>
      </c>
      <c r="I1363">
        <v>0.27869165354330711</v>
      </c>
      <c r="J1363">
        <v>5.3125596456692917E-2</v>
      </c>
      <c r="K1363">
        <v>0.33181725000000001</v>
      </c>
      <c r="L1363">
        <v>5.2459016393442619</v>
      </c>
    </row>
    <row r="1364" spans="1:14" x14ac:dyDescent="0.2">
      <c r="A1364">
        <v>489270</v>
      </c>
      <c r="B1364">
        <v>100</v>
      </c>
      <c r="C1364">
        <v>8</v>
      </c>
      <c r="D1364">
        <v>1.05</v>
      </c>
      <c r="E1364">
        <v>0.65</v>
      </c>
      <c r="F1364">
        <v>1.05</v>
      </c>
      <c r="G1364">
        <v>0.65</v>
      </c>
      <c r="H1364">
        <v>3.8630000000000001E-3</v>
      </c>
      <c r="I1364">
        <v>2.7618929133858269E-2</v>
      </c>
      <c r="J1364">
        <v>2.9379635866141725E-2</v>
      </c>
      <c r="K1364">
        <v>5.6998564999999994E-2</v>
      </c>
      <c r="L1364">
        <v>0.94007050528789682</v>
      </c>
      <c r="M1364">
        <v>2.9345112204724407E-2</v>
      </c>
      <c r="N1364">
        <v>2.9845705295275589E-2</v>
      </c>
    </row>
    <row r="1365" spans="1:14" x14ac:dyDescent="0.2">
      <c r="B1365">
        <v>100</v>
      </c>
      <c r="C1365">
        <v>8</v>
      </c>
      <c r="D1365">
        <v>1.1499999999999999</v>
      </c>
      <c r="E1365">
        <v>0.7</v>
      </c>
      <c r="F1365">
        <v>1.1499999999999999</v>
      </c>
      <c r="G1365">
        <v>0.7</v>
      </c>
      <c r="H1365">
        <v>3.8630000000000001E-3</v>
      </c>
      <c r="I1365">
        <v>3.1071295275590546E-2</v>
      </c>
      <c r="J1365">
        <v>3.0311774724409449E-2</v>
      </c>
      <c r="K1365">
        <v>6.1383069999999998E-2</v>
      </c>
      <c r="L1365">
        <v>1.0250569476082003</v>
      </c>
    </row>
    <row r="1366" spans="1:14" x14ac:dyDescent="0.2">
      <c r="A1366">
        <v>489271</v>
      </c>
      <c r="B1366">
        <v>100</v>
      </c>
      <c r="C1366">
        <v>8</v>
      </c>
      <c r="D1366">
        <v>5.85</v>
      </c>
      <c r="E1366">
        <v>3.35</v>
      </c>
      <c r="F1366">
        <v>5.85</v>
      </c>
      <c r="G1366">
        <v>3.35</v>
      </c>
      <c r="H1366">
        <v>3.8630000000000001E-3</v>
      </c>
      <c r="I1366">
        <v>0.17261830708661413</v>
      </c>
      <c r="J1366">
        <v>0.12114352791338595</v>
      </c>
      <c r="K1366">
        <v>0.29376183500000008</v>
      </c>
      <c r="L1366">
        <v>1.424907381020232</v>
      </c>
      <c r="M1366">
        <v>0.17261830708661416</v>
      </c>
      <c r="N1366">
        <v>0.12552803291338588</v>
      </c>
    </row>
    <row r="1367" spans="1:14" x14ac:dyDescent="0.2">
      <c r="B1367">
        <v>100</v>
      </c>
      <c r="C1367">
        <v>8</v>
      </c>
      <c r="D1367">
        <v>5.95</v>
      </c>
      <c r="E1367">
        <v>3.45</v>
      </c>
      <c r="F1367">
        <v>5.95</v>
      </c>
      <c r="G1367">
        <v>3.45</v>
      </c>
      <c r="H1367">
        <v>3.8630000000000001E-3</v>
      </c>
      <c r="I1367">
        <v>0.17261830708661419</v>
      </c>
      <c r="J1367">
        <v>0.12991253791338583</v>
      </c>
      <c r="K1367">
        <v>0.30253084500000005</v>
      </c>
      <c r="L1367">
        <v>1.3287270794578794</v>
      </c>
    </row>
    <row r="1368" spans="1:14" x14ac:dyDescent="0.2">
      <c r="A1368">
        <v>489273</v>
      </c>
      <c r="B1368">
        <v>100</v>
      </c>
      <c r="C1368">
        <v>8</v>
      </c>
      <c r="D1368">
        <v>6.85</v>
      </c>
      <c r="E1368">
        <v>3.85</v>
      </c>
      <c r="F1368">
        <v>6.85</v>
      </c>
      <c r="G1368">
        <v>3.85</v>
      </c>
      <c r="H1368">
        <v>3.8630000000000001E-3</v>
      </c>
      <c r="I1368">
        <v>0.20714196850393699</v>
      </c>
      <c r="J1368">
        <v>0.13046491649606304</v>
      </c>
      <c r="K1368">
        <v>0.33760688500000002</v>
      </c>
      <c r="L1368">
        <v>1.5877216194760511</v>
      </c>
      <c r="M1368">
        <v>0.20368960236220468</v>
      </c>
      <c r="N1368">
        <v>0.1470707976377954</v>
      </c>
    </row>
    <row r="1369" spans="1:14" x14ac:dyDescent="0.2">
      <c r="B1369">
        <v>100</v>
      </c>
      <c r="C1369">
        <v>8</v>
      </c>
      <c r="D1369">
        <v>7.05</v>
      </c>
      <c r="E1369">
        <v>4.1500000000000004</v>
      </c>
      <c r="F1369">
        <v>7.05</v>
      </c>
      <c r="G1369">
        <v>4.1500000000000004</v>
      </c>
      <c r="H1369">
        <v>3.8630000000000001E-3</v>
      </c>
      <c r="I1369">
        <v>0.2002372362204724</v>
      </c>
      <c r="J1369">
        <v>0.16367667877952774</v>
      </c>
      <c r="K1369">
        <v>0.36391391500000014</v>
      </c>
      <c r="L1369">
        <v>1.2233705969204793</v>
      </c>
    </row>
    <row r="1370" spans="1:14" x14ac:dyDescent="0.2">
      <c r="A1370">
        <v>489274</v>
      </c>
      <c r="B1370">
        <v>100</v>
      </c>
      <c r="C1370">
        <v>6</v>
      </c>
      <c r="D1370">
        <v>2.15</v>
      </c>
      <c r="E1370">
        <v>1.1499999999999999</v>
      </c>
      <c r="F1370">
        <v>2.15</v>
      </c>
      <c r="G1370">
        <v>1.1499999999999999</v>
      </c>
      <c r="H1370">
        <v>3.5767E-2</v>
      </c>
      <c r="I1370">
        <v>0.63929992125984259</v>
      </c>
      <c r="J1370">
        <v>0.29439761374015733</v>
      </c>
      <c r="K1370">
        <v>0.93369753499999986</v>
      </c>
      <c r="L1370">
        <v>2.1715526601520101</v>
      </c>
      <c r="M1370">
        <v>0.63929992125984259</v>
      </c>
      <c r="N1370">
        <v>0.29439761374015733</v>
      </c>
    </row>
    <row r="1371" spans="1:14" x14ac:dyDescent="0.2">
      <c r="B1371">
        <v>100</v>
      </c>
      <c r="C1371">
        <v>6</v>
      </c>
      <c r="D1371">
        <v>2.15</v>
      </c>
      <c r="E1371">
        <v>1.1499999999999999</v>
      </c>
      <c r="F1371">
        <v>2.15</v>
      </c>
      <c r="G1371">
        <v>1.1499999999999999</v>
      </c>
      <c r="H1371">
        <v>3.5767E-2</v>
      </c>
      <c r="I1371">
        <v>0.63929992125984259</v>
      </c>
      <c r="J1371">
        <v>0.29439761374015733</v>
      </c>
      <c r="K1371">
        <v>0.93369753499999986</v>
      </c>
      <c r="L1371">
        <v>2.1715526601520101</v>
      </c>
    </row>
    <row r="1372" spans="1:14" x14ac:dyDescent="0.2">
      <c r="A1372">
        <v>489275</v>
      </c>
      <c r="B1372">
        <v>100</v>
      </c>
      <c r="C1372">
        <v>6</v>
      </c>
      <c r="D1372">
        <v>3.45</v>
      </c>
      <c r="E1372">
        <v>1.8</v>
      </c>
      <c r="F1372">
        <v>3.45</v>
      </c>
      <c r="G1372">
        <v>1.8</v>
      </c>
      <c r="H1372">
        <v>3.5767E-2</v>
      </c>
      <c r="I1372">
        <v>1.0548448700787403</v>
      </c>
      <c r="J1372">
        <v>0.40659474992125977</v>
      </c>
      <c r="K1372">
        <v>1.4614396200000002</v>
      </c>
      <c r="L1372">
        <v>2.5943396226415101</v>
      </c>
      <c r="M1372">
        <v>1.0708273681102363</v>
      </c>
      <c r="N1372">
        <v>0.41091002438976398</v>
      </c>
    </row>
    <row r="1373" spans="1:14" x14ac:dyDescent="0.2">
      <c r="B1373">
        <v>100</v>
      </c>
      <c r="C1373">
        <v>6</v>
      </c>
      <c r="D1373">
        <v>3.55</v>
      </c>
      <c r="E1373">
        <v>1.85</v>
      </c>
      <c r="F1373">
        <v>3.55</v>
      </c>
      <c r="G1373">
        <v>1.85</v>
      </c>
      <c r="H1373">
        <v>3.5767E-2</v>
      </c>
      <c r="I1373">
        <v>1.0868098661417323</v>
      </c>
      <c r="J1373">
        <v>0.41522529885826825</v>
      </c>
      <c r="K1373">
        <v>1.5020351650000006</v>
      </c>
      <c r="L1373">
        <v>2.6173979984603508</v>
      </c>
    </row>
    <row r="1374" spans="1:14" x14ac:dyDescent="0.2">
      <c r="A1374">
        <v>489276</v>
      </c>
      <c r="B1374">
        <v>100</v>
      </c>
      <c r="C1374">
        <v>7</v>
      </c>
      <c r="D1374">
        <v>5.35</v>
      </c>
      <c r="E1374">
        <v>2.75</v>
      </c>
      <c r="F1374">
        <v>5.35</v>
      </c>
      <c r="G1374">
        <v>2.75</v>
      </c>
      <c r="H1374">
        <v>9.7450000000000002E-3</v>
      </c>
      <c r="I1374">
        <v>0.45287393700787398</v>
      </c>
      <c r="J1374">
        <v>0.155457687992126</v>
      </c>
      <c r="K1374">
        <v>0.60833162499999993</v>
      </c>
      <c r="L1374">
        <v>2.913165266106442</v>
      </c>
      <c r="M1374">
        <v>0.4398102657480315</v>
      </c>
      <c r="N1374">
        <v>0.16852135925196848</v>
      </c>
    </row>
    <row r="1375" spans="1:14" x14ac:dyDescent="0.2">
      <c r="B1375">
        <v>100</v>
      </c>
      <c r="C1375">
        <v>7</v>
      </c>
      <c r="D1375">
        <v>5.2</v>
      </c>
      <c r="E1375">
        <v>2.75</v>
      </c>
      <c r="F1375">
        <v>5.2</v>
      </c>
      <c r="G1375">
        <v>2.75</v>
      </c>
      <c r="H1375">
        <v>9.7450000000000002E-3</v>
      </c>
      <c r="I1375">
        <v>0.42674659448818902</v>
      </c>
      <c r="J1375">
        <v>0.18158503051181099</v>
      </c>
      <c r="K1375">
        <v>0.60833162500000004</v>
      </c>
      <c r="L1375">
        <v>2.3501199040767391</v>
      </c>
    </row>
    <row r="1376" spans="1:14" x14ac:dyDescent="0.2">
      <c r="A1376">
        <v>489277</v>
      </c>
      <c r="B1376">
        <v>100</v>
      </c>
      <c r="C1376">
        <v>7</v>
      </c>
      <c r="D1376">
        <v>3.75</v>
      </c>
      <c r="E1376">
        <v>1.85</v>
      </c>
      <c r="F1376">
        <v>3.75</v>
      </c>
      <c r="G1376">
        <v>1.85</v>
      </c>
      <c r="H1376">
        <v>9.7450000000000002E-3</v>
      </c>
      <c r="I1376">
        <v>0.33094633858267719</v>
      </c>
      <c r="J1376">
        <v>7.8294936417322963E-2</v>
      </c>
      <c r="K1376">
        <v>0.40924127500000018</v>
      </c>
      <c r="L1376">
        <v>4.2269187986651771</v>
      </c>
      <c r="M1376">
        <v>0.3222372244094488</v>
      </c>
      <c r="N1376">
        <v>8.7004050590551288E-2</v>
      </c>
    </row>
    <row r="1377" spans="1:14" x14ac:dyDescent="0.2">
      <c r="B1377">
        <v>100</v>
      </c>
      <c r="C1377">
        <v>7</v>
      </c>
      <c r="D1377">
        <v>3.65</v>
      </c>
      <c r="E1377">
        <v>1.85</v>
      </c>
      <c r="F1377">
        <v>3.65</v>
      </c>
      <c r="G1377">
        <v>1.85</v>
      </c>
      <c r="H1377">
        <v>9.7450000000000002E-3</v>
      </c>
      <c r="I1377">
        <v>0.3135281102362204</v>
      </c>
      <c r="J1377">
        <v>9.5713164763779612E-2</v>
      </c>
      <c r="K1377">
        <v>0.40924127500000002</v>
      </c>
      <c r="L1377">
        <v>3.2757051865332083</v>
      </c>
    </row>
    <row r="1378" spans="1:14" x14ac:dyDescent="0.2">
      <c r="A1378">
        <v>489278</v>
      </c>
      <c r="B1378">
        <v>100</v>
      </c>
      <c r="C1378">
        <v>7</v>
      </c>
      <c r="D1378">
        <v>3.85</v>
      </c>
      <c r="E1378">
        <v>1.9</v>
      </c>
      <c r="F1378">
        <v>3.85</v>
      </c>
      <c r="G1378">
        <v>1.9</v>
      </c>
      <c r="H1378">
        <v>9.7450000000000002E-3</v>
      </c>
      <c r="I1378">
        <v>0.33965545275590558</v>
      </c>
      <c r="J1378">
        <v>8.0646397244094475E-2</v>
      </c>
      <c r="K1378">
        <v>0.42030185000000009</v>
      </c>
      <c r="L1378">
        <v>4.2116630669546451</v>
      </c>
      <c r="M1378">
        <v>0.33965545275590558</v>
      </c>
      <c r="N1378">
        <v>8.0646397244094475E-2</v>
      </c>
    </row>
    <row r="1379" spans="1:14" x14ac:dyDescent="0.2">
      <c r="B1379">
        <v>100</v>
      </c>
      <c r="C1379">
        <v>7</v>
      </c>
      <c r="D1379">
        <v>3.85</v>
      </c>
      <c r="E1379">
        <v>1.9</v>
      </c>
      <c r="F1379">
        <v>3.85</v>
      </c>
      <c r="G1379">
        <v>1.9</v>
      </c>
      <c r="H1379">
        <v>9.7450000000000002E-3</v>
      </c>
      <c r="I1379">
        <v>0.33965545275590558</v>
      </c>
      <c r="J1379">
        <v>8.0646397244094475E-2</v>
      </c>
      <c r="K1379">
        <v>0.42030185000000009</v>
      </c>
      <c r="L1379">
        <v>4.2116630669546451</v>
      </c>
    </row>
    <row r="1380" spans="1:14" x14ac:dyDescent="0.2">
      <c r="A1380">
        <v>489281</v>
      </c>
      <c r="B1380">
        <v>100</v>
      </c>
      <c r="C1380">
        <v>8</v>
      </c>
      <c r="D1380">
        <v>2.4500000000000002</v>
      </c>
      <c r="E1380">
        <v>1.75</v>
      </c>
      <c r="F1380">
        <v>2.4500000000000002</v>
      </c>
      <c r="G1380">
        <v>1.75</v>
      </c>
      <c r="H1380">
        <v>3.8630000000000001E-3</v>
      </c>
      <c r="I1380">
        <v>4.8333125984251983E-2</v>
      </c>
      <c r="J1380">
        <v>0.10512454901574803</v>
      </c>
      <c r="K1380">
        <v>0.15345767500000002</v>
      </c>
      <c r="L1380">
        <v>0.4597701149425289</v>
      </c>
      <c r="M1380">
        <v>5.1785492125984253E-2</v>
      </c>
      <c r="N1380">
        <v>0.10605668787401576</v>
      </c>
    </row>
    <row r="1381" spans="1:14" x14ac:dyDescent="0.2">
      <c r="B1381">
        <v>100</v>
      </c>
      <c r="C1381">
        <v>8</v>
      </c>
      <c r="D1381">
        <v>2.65</v>
      </c>
      <c r="E1381">
        <v>1.85</v>
      </c>
      <c r="F1381">
        <v>2.65</v>
      </c>
      <c r="G1381">
        <v>1.85</v>
      </c>
      <c r="H1381">
        <v>3.8630000000000001E-3</v>
      </c>
      <c r="I1381">
        <v>5.523785826771653E-2</v>
      </c>
      <c r="J1381">
        <v>0.10698882673228349</v>
      </c>
      <c r="K1381">
        <v>0.16222668500000004</v>
      </c>
      <c r="L1381">
        <v>0.51629557921910274</v>
      </c>
    </row>
    <row r="1382" spans="1:14" x14ac:dyDescent="0.2">
      <c r="A1382">
        <v>489282</v>
      </c>
      <c r="B1382">
        <v>100</v>
      </c>
      <c r="C1382">
        <v>7</v>
      </c>
      <c r="D1382">
        <v>3.15</v>
      </c>
      <c r="E1382">
        <v>1.75</v>
      </c>
      <c r="F1382">
        <v>3.15</v>
      </c>
      <c r="G1382">
        <v>1.75</v>
      </c>
      <c r="H1382">
        <v>9.7450000000000002E-3</v>
      </c>
      <c r="I1382">
        <v>0.2438551968503937</v>
      </c>
      <c r="J1382">
        <v>0.14326492814960634</v>
      </c>
      <c r="K1382">
        <v>0.38712012500000004</v>
      </c>
      <c r="L1382">
        <v>1.7021276595744677</v>
      </c>
      <c r="M1382">
        <v>0.23514608267716541</v>
      </c>
      <c r="N1382">
        <v>0.14091346732283466</v>
      </c>
    </row>
    <row r="1383" spans="1:14" x14ac:dyDescent="0.2">
      <c r="B1383">
        <v>100</v>
      </c>
      <c r="C1383">
        <v>7</v>
      </c>
      <c r="D1383">
        <v>2.95</v>
      </c>
      <c r="E1383">
        <v>1.65</v>
      </c>
      <c r="F1383">
        <v>2.95</v>
      </c>
      <c r="G1383">
        <v>1.65</v>
      </c>
      <c r="H1383">
        <v>9.7450000000000002E-3</v>
      </c>
      <c r="I1383">
        <v>0.2264369685039371</v>
      </c>
      <c r="J1383">
        <v>0.13856200649606298</v>
      </c>
      <c r="K1383">
        <v>0.36499897500000011</v>
      </c>
      <c r="L1383">
        <v>1.6341923318667513</v>
      </c>
    </row>
    <row r="1384" spans="1:14" x14ac:dyDescent="0.2">
      <c r="A1384">
        <v>489283</v>
      </c>
      <c r="B1384">
        <v>100</v>
      </c>
      <c r="C1384">
        <v>7</v>
      </c>
      <c r="D1384">
        <v>3.1</v>
      </c>
      <c r="E1384">
        <v>1.75</v>
      </c>
      <c r="F1384">
        <v>3.1</v>
      </c>
      <c r="G1384">
        <v>1.75</v>
      </c>
      <c r="H1384">
        <v>9.7450000000000002E-3</v>
      </c>
      <c r="I1384">
        <v>0.23514608267716539</v>
      </c>
      <c r="J1384">
        <v>0.15197404232283465</v>
      </c>
      <c r="K1384">
        <v>0.38712012500000004</v>
      </c>
      <c r="L1384">
        <v>1.547277936962751</v>
      </c>
      <c r="M1384">
        <v>0.23950063976377955</v>
      </c>
      <c r="N1384">
        <v>0.15314977273622049</v>
      </c>
    </row>
    <row r="1385" spans="1:14" x14ac:dyDescent="0.2">
      <c r="B1385">
        <v>100</v>
      </c>
      <c r="C1385">
        <v>7</v>
      </c>
      <c r="D1385">
        <v>3.2</v>
      </c>
      <c r="E1385">
        <v>1.8</v>
      </c>
      <c r="F1385">
        <v>3.2</v>
      </c>
      <c r="G1385">
        <v>1.8</v>
      </c>
      <c r="H1385">
        <v>9.7450000000000002E-3</v>
      </c>
      <c r="I1385">
        <v>0.24385519685039372</v>
      </c>
      <c r="J1385">
        <v>0.15432550314960633</v>
      </c>
      <c r="K1385">
        <v>0.39818070000000005</v>
      </c>
      <c r="L1385">
        <v>1.5801354401805867</v>
      </c>
    </row>
    <row r="1386" spans="1:14" x14ac:dyDescent="0.2">
      <c r="A1386">
        <v>489284</v>
      </c>
      <c r="B1386">
        <v>100</v>
      </c>
      <c r="C1386">
        <v>7</v>
      </c>
      <c r="D1386">
        <v>4.25</v>
      </c>
      <c r="E1386">
        <v>2.4500000000000002</v>
      </c>
      <c r="F1386">
        <v>4.25</v>
      </c>
      <c r="G1386">
        <v>2.4500000000000002</v>
      </c>
      <c r="H1386">
        <v>9.7450000000000002E-3</v>
      </c>
      <c r="I1386">
        <v>0.3135281102362204</v>
      </c>
      <c r="J1386">
        <v>0.22844006476377962</v>
      </c>
      <c r="K1386">
        <v>0.54196817500000005</v>
      </c>
      <c r="L1386">
        <v>1.3724742661075096</v>
      </c>
      <c r="M1386">
        <v>0.30917355314960626</v>
      </c>
      <c r="N1386">
        <v>0.22173404685039377</v>
      </c>
    </row>
    <row r="1387" spans="1:14" x14ac:dyDescent="0.2">
      <c r="B1387">
        <v>100</v>
      </c>
      <c r="C1387">
        <v>7</v>
      </c>
      <c r="D1387">
        <v>4.0999999999999996</v>
      </c>
      <c r="E1387">
        <v>2.35</v>
      </c>
      <c r="F1387">
        <v>4.0999999999999996</v>
      </c>
      <c r="G1387">
        <v>2.35</v>
      </c>
      <c r="H1387">
        <v>9.7450000000000002E-3</v>
      </c>
      <c r="I1387">
        <v>0.30481899606299206</v>
      </c>
      <c r="J1387">
        <v>0.21502802893700795</v>
      </c>
      <c r="K1387">
        <v>0.51984702500000002</v>
      </c>
      <c r="L1387">
        <v>1.4175779667881725</v>
      </c>
    </row>
    <row r="1388" spans="1:14" x14ac:dyDescent="0.2">
      <c r="A1388">
        <v>489285</v>
      </c>
      <c r="B1388">
        <v>100</v>
      </c>
      <c r="C1388">
        <v>7</v>
      </c>
      <c r="D1388">
        <v>6.45</v>
      </c>
      <c r="E1388">
        <v>3.7</v>
      </c>
      <c r="F1388">
        <v>6.45</v>
      </c>
      <c r="G1388">
        <v>3.7</v>
      </c>
      <c r="H1388">
        <v>9.7450000000000002E-3</v>
      </c>
      <c r="I1388">
        <v>0.47900127952755911</v>
      </c>
      <c r="J1388">
        <v>0.33948127047244109</v>
      </c>
      <c r="K1388">
        <v>0.81848255000000014</v>
      </c>
      <c r="L1388">
        <v>1.4109799897383268</v>
      </c>
      <c r="M1388">
        <v>0.47464672244094491</v>
      </c>
      <c r="N1388">
        <v>0.36042669005905514</v>
      </c>
    </row>
    <row r="1389" spans="1:14" x14ac:dyDescent="0.2">
      <c r="B1389">
        <v>100</v>
      </c>
      <c r="C1389">
        <v>7</v>
      </c>
      <c r="D1389">
        <v>6.55</v>
      </c>
      <c r="E1389">
        <v>3.85</v>
      </c>
      <c r="F1389">
        <v>6.55</v>
      </c>
      <c r="G1389">
        <v>3.85</v>
      </c>
      <c r="H1389">
        <v>9.7450000000000002E-3</v>
      </c>
      <c r="I1389">
        <v>0.47029216535433072</v>
      </c>
      <c r="J1389">
        <v>0.38137210964566925</v>
      </c>
      <c r="K1389">
        <v>0.85166427499999997</v>
      </c>
      <c r="L1389">
        <v>1.2331582553094316</v>
      </c>
    </row>
    <row r="1390" spans="1:14" x14ac:dyDescent="0.2">
      <c r="A1390">
        <v>489286</v>
      </c>
      <c r="B1390">
        <v>100</v>
      </c>
      <c r="C1390">
        <v>6</v>
      </c>
      <c r="D1390">
        <v>3.2</v>
      </c>
      <c r="E1390">
        <v>1.7</v>
      </c>
      <c r="F1390">
        <v>3.2</v>
      </c>
      <c r="G1390">
        <v>1.7</v>
      </c>
      <c r="H1390">
        <v>3.5767E-2</v>
      </c>
      <c r="I1390">
        <v>0.95894988188976393</v>
      </c>
      <c r="J1390">
        <v>0.42129864811023621</v>
      </c>
      <c r="K1390">
        <v>1.3802485300000003</v>
      </c>
      <c r="L1390">
        <v>2.2761760242792115</v>
      </c>
      <c r="M1390">
        <v>0.97493237992125992</v>
      </c>
      <c r="N1390">
        <v>0.42561392257874009</v>
      </c>
    </row>
    <row r="1391" spans="1:14" x14ac:dyDescent="0.2">
      <c r="B1391">
        <v>100</v>
      </c>
      <c r="C1391">
        <v>6</v>
      </c>
      <c r="D1391">
        <v>3.3</v>
      </c>
      <c r="E1391">
        <v>1.75</v>
      </c>
      <c r="F1391">
        <v>3.3</v>
      </c>
      <c r="G1391">
        <v>1.75</v>
      </c>
      <c r="H1391">
        <v>3.5767E-2</v>
      </c>
      <c r="I1391">
        <v>0.99091487795275579</v>
      </c>
      <c r="J1391">
        <v>0.42992919704724403</v>
      </c>
      <c r="K1391">
        <v>1.4208440749999998</v>
      </c>
      <c r="L1391">
        <v>2.3048327137546467</v>
      </c>
    </row>
    <row r="1392" spans="1:14" x14ac:dyDescent="0.2">
      <c r="A1392">
        <v>489288</v>
      </c>
      <c r="B1392">
        <v>100</v>
      </c>
      <c r="C1392">
        <v>7</v>
      </c>
      <c r="D1392">
        <v>3.95</v>
      </c>
      <c r="E1392">
        <v>1.95</v>
      </c>
      <c r="F1392">
        <v>3.95</v>
      </c>
      <c r="G1392">
        <v>1.95</v>
      </c>
      <c r="H1392">
        <v>9.7450000000000002E-3</v>
      </c>
      <c r="I1392">
        <v>0.34836456692913387</v>
      </c>
      <c r="J1392">
        <v>8.2997858070866112E-2</v>
      </c>
      <c r="K1392">
        <v>0.43136242499999999</v>
      </c>
      <c r="L1392">
        <v>4.1972717733473255</v>
      </c>
      <c r="M1392">
        <v>0.33965545275590553</v>
      </c>
      <c r="N1392">
        <v>8.6176684744094512E-2</v>
      </c>
    </row>
    <row r="1393" spans="1:14" x14ac:dyDescent="0.2">
      <c r="B1393">
        <v>100</v>
      </c>
      <c r="C1393">
        <v>7</v>
      </c>
      <c r="D1393">
        <v>3.8</v>
      </c>
      <c r="E1393">
        <v>1.9</v>
      </c>
      <c r="F1393">
        <v>3.8</v>
      </c>
      <c r="G1393">
        <v>1.9</v>
      </c>
      <c r="H1393">
        <v>9.7450000000000002E-3</v>
      </c>
      <c r="I1393">
        <v>0.33094633858267719</v>
      </c>
      <c r="J1393">
        <v>8.9355511417322897E-2</v>
      </c>
      <c r="K1393">
        <v>0.42030185000000009</v>
      </c>
      <c r="L1393">
        <v>3.7037037037037015</v>
      </c>
    </row>
    <row r="1394" spans="1:14" x14ac:dyDescent="0.2">
      <c r="A1394">
        <v>489292</v>
      </c>
      <c r="B1394">
        <v>100</v>
      </c>
      <c r="C1394">
        <v>8</v>
      </c>
      <c r="D1394">
        <v>2.35</v>
      </c>
      <c r="E1394">
        <v>1.55</v>
      </c>
      <c r="F1394">
        <v>2.35</v>
      </c>
      <c r="G1394">
        <v>1.55</v>
      </c>
      <c r="H1394">
        <v>3.8630000000000001E-3</v>
      </c>
      <c r="I1394">
        <v>5.5237858267716537E-2</v>
      </c>
      <c r="J1394">
        <v>8.068179673228347E-2</v>
      </c>
      <c r="K1394">
        <v>0.135919655</v>
      </c>
      <c r="L1394">
        <v>0.68463842533162167</v>
      </c>
      <c r="M1394">
        <v>5.178549212598426E-2</v>
      </c>
      <c r="N1394">
        <v>8.1941910374015742E-2</v>
      </c>
    </row>
    <row r="1395" spans="1:14" x14ac:dyDescent="0.2">
      <c r="B1395">
        <v>100</v>
      </c>
      <c r="C1395">
        <v>8</v>
      </c>
      <c r="D1395">
        <v>2.2000000000000002</v>
      </c>
      <c r="E1395">
        <v>1.5</v>
      </c>
      <c r="F1395">
        <v>2.2000000000000002</v>
      </c>
      <c r="G1395">
        <v>1.5</v>
      </c>
      <c r="H1395">
        <v>3.8630000000000001E-3</v>
      </c>
      <c r="I1395">
        <v>4.8333125984251983E-2</v>
      </c>
      <c r="J1395">
        <v>8.3202024015748E-2</v>
      </c>
      <c r="K1395">
        <v>0.13153514999999999</v>
      </c>
      <c r="L1395">
        <v>0.5809128630705398</v>
      </c>
    </row>
    <row r="1396" spans="1:14" x14ac:dyDescent="0.2">
      <c r="A1396">
        <v>489293</v>
      </c>
      <c r="B1396">
        <v>100</v>
      </c>
      <c r="C1396">
        <v>8</v>
      </c>
      <c r="D1396">
        <v>2.0499999999999998</v>
      </c>
      <c r="E1396">
        <v>1.35</v>
      </c>
      <c r="F1396">
        <v>2.0499999999999998</v>
      </c>
      <c r="G1396">
        <v>1.35</v>
      </c>
      <c r="H1396">
        <v>3.8630000000000001E-3</v>
      </c>
      <c r="I1396">
        <v>4.8333125984251948E-2</v>
      </c>
      <c r="J1396">
        <v>7.0048509015748051E-2</v>
      </c>
      <c r="K1396">
        <v>0.118381635</v>
      </c>
      <c r="L1396">
        <v>0.68999507146377481</v>
      </c>
      <c r="M1396">
        <v>4.8333125984251948E-2</v>
      </c>
      <c r="N1396">
        <v>8.1009771515748064E-2</v>
      </c>
    </row>
    <row r="1397" spans="1:14" x14ac:dyDescent="0.2">
      <c r="B1397">
        <v>100</v>
      </c>
      <c r="C1397">
        <v>8</v>
      </c>
      <c r="D1397">
        <v>2.2999999999999998</v>
      </c>
      <c r="E1397">
        <v>1.6</v>
      </c>
      <c r="F1397">
        <v>2.2999999999999998</v>
      </c>
      <c r="G1397">
        <v>1.6</v>
      </c>
      <c r="H1397">
        <v>3.8630000000000001E-3</v>
      </c>
      <c r="I1397">
        <v>4.8333125984251948E-2</v>
      </c>
      <c r="J1397">
        <v>9.1971034015748063E-2</v>
      </c>
      <c r="K1397">
        <v>0.14030416000000001</v>
      </c>
      <c r="L1397">
        <v>0.52552552552552512</v>
      </c>
    </row>
    <row r="1398" spans="1:14" x14ac:dyDescent="0.2">
      <c r="A1398">
        <v>489294</v>
      </c>
      <c r="B1398">
        <v>100</v>
      </c>
      <c r="C1398">
        <v>8</v>
      </c>
      <c r="D1398">
        <v>3.75</v>
      </c>
      <c r="E1398">
        <v>2.4500000000000002</v>
      </c>
      <c r="F1398">
        <v>3.75</v>
      </c>
      <c r="G1398">
        <v>2.4500000000000002</v>
      </c>
      <c r="H1398">
        <v>3.8630000000000001E-3</v>
      </c>
      <c r="I1398">
        <v>8.976151968503937E-2</v>
      </c>
      <c r="J1398">
        <v>0.12507922531496071</v>
      </c>
      <c r="K1398">
        <v>0.21484074500000008</v>
      </c>
      <c r="L1398">
        <v>0.71763731714049084</v>
      </c>
      <c r="M1398">
        <v>9.4940068897637786E-2</v>
      </c>
      <c r="N1398">
        <v>0.11990067610236227</v>
      </c>
    </row>
    <row r="1399" spans="1:14" x14ac:dyDescent="0.2">
      <c r="B1399">
        <v>100</v>
      </c>
      <c r="C1399">
        <v>8</v>
      </c>
      <c r="D1399">
        <v>3.9</v>
      </c>
      <c r="E1399">
        <v>2.4500000000000002</v>
      </c>
      <c r="F1399">
        <v>3.9</v>
      </c>
      <c r="G1399">
        <v>2.4500000000000002</v>
      </c>
      <c r="H1399">
        <v>3.8630000000000001E-3</v>
      </c>
      <c r="I1399">
        <v>0.1001186181102362</v>
      </c>
      <c r="J1399">
        <v>0.11472212688976383</v>
      </c>
      <c r="K1399">
        <v>0.21484074500000003</v>
      </c>
      <c r="L1399">
        <v>0.87270538669876563</v>
      </c>
    </row>
    <row r="1400" spans="1:14" x14ac:dyDescent="0.2">
      <c r="A1400">
        <v>489295</v>
      </c>
      <c r="B1400">
        <v>100</v>
      </c>
      <c r="C1400">
        <v>8</v>
      </c>
      <c r="D1400">
        <v>7.3</v>
      </c>
      <c r="E1400">
        <v>4.05</v>
      </c>
      <c r="F1400">
        <v>7.3</v>
      </c>
      <c r="G1400">
        <v>4.05</v>
      </c>
      <c r="H1400">
        <v>3.8630000000000001E-3</v>
      </c>
      <c r="I1400">
        <v>0.22440379921259843</v>
      </c>
      <c r="J1400">
        <v>0.13074110578740158</v>
      </c>
      <c r="K1400">
        <v>0.35514490500000001</v>
      </c>
      <c r="L1400">
        <v>1.7163982043834167</v>
      </c>
      <c r="M1400">
        <v>0.22612998228346456</v>
      </c>
      <c r="N1400">
        <v>0.14436069021653547</v>
      </c>
    </row>
    <row r="1401" spans="1:14" x14ac:dyDescent="0.2">
      <c r="B1401">
        <v>100</v>
      </c>
      <c r="C1401">
        <v>8</v>
      </c>
      <c r="D1401">
        <v>7.7</v>
      </c>
      <c r="E1401">
        <v>4.4000000000000004</v>
      </c>
      <c r="F1401">
        <v>7.7</v>
      </c>
      <c r="G1401">
        <v>4.4000000000000004</v>
      </c>
      <c r="H1401">
        <v>3.8630000000000001E-3</v>
      </c>
      <c r="I1401">
        <v>0.2278561653543307</v>
      </c>
      <c r="J1401">
        <v>0.15798027464566936</v>
      </c>
      <c r="K1401">
        <v>0.38583644000000006</v>
      </c>
      <c r="L1401">
        <v>1.4423076923076916</v>
      </c>
    </row>
    <row r="1402" spans="1:14" x14ac:dyDescent="0.2">
      <c r="A1402">
        <v>489296</v>
      </c>
      <c r="B1402">
        <v>100</v>
      </c>
      <c r="C1402">
        <v>7</v>
      </c>
      <c r="D1402">
        <v>6.75</v>
      </c>
      <c r="E1402">
        <v>3.8</v>
      </c>
      <c r="F1402">
        <v>6.75</v>
      </c>
      <c r="G1402">
        <v>3.8</v>
      </c>
      <c r="H1402">
        <v>9.7450000000000002E-3</v>
      </c>
      <c r="I1402">
        <v>0.51383773622047246</v>
      </c>
      <c r="J1402">
        <v>0.3267659637795276</v>
      </c>
      <c r="K1402">
        <v>0.84060370000000006</v>
      </c>
      <c r="L1402">
        <v>1.5724946695095947</v>
      </c>
      <c r="M1402">
        <v>0.51383773622047246</v>
      </c>
      <c r="N1402">
        <v>0.3267659637795276</v>
      </c>
    </row>
    <row r="1403" spans="1:14" x14ac:dyDescent="0.2">
      <c r="B1403">
        <v>100</v>
      </c>
      <c r="C1403">
        <v>7</v>
      </c>
      <c r="D1403">
        <v>6.75</v>
      </c>
      <c r="E1403">
        <v>3.8</v>
      </c>
      <c r="F1403">
        <v>6.75</v>
      </c>
      <c r="G1403">
        <v>3.8</v>
      </c>
      <c r="H1403">
        <v>9.7450000000000002E-3</v>
      </c>
      <c r="I1403">
        <v>0.51383773622047246</v>
      </c>
      <c r="J1403">
        <v>0.3267659637795276</v>
      </c>
      <c r="K1403">
        <v>0.84060370000000006</v>
      </c>
      <c r="L1403">
        <v>1.5724946695095947</v>
      </c>
    </row>
    <row r="1404" spans="1:14" x14ac:dyDescent="0.2">
      <c r="A1404">
        <v>489297</v>
      </c>
      <c r="B1404">
        <v>100</v>
      </c>
      <c r="C1404">
        <v>7</v>
      </c>
      <c r="D1404">
        <v>7.75</v>
      </c>
      <c r="E1404">
        <v>4.2</v>
      </c>
      <c r="F1404">
        <v>7.75</v>
      </c>
      <c r="G1404">
        <v>4.2</v>
      </c>
      <c r="H1404">
        <v>9.7450000000000002E-3</v>
      </c>
      <c r="I1404">
        <v>0.61834710629921263</v>
      </c>
      <c r="J1404">
        <v>0.31074119370078734</v>
      </c>
      <c r="K1404">
        <v>0.92908829999999998</v>
      </c>
      <c r="L1404">
        <v>1.9899103139013459</v>
      </c>
      <c r="M1404">
        <v>0.61834710629921263</v>
      </c>
      <c r="N1404">
        <v>0.31074119370078734</v>
      </c>
    </row>
    <row r="1405" spans="1:14" x14ac:dyDescent="0.2">
      <c r="B1405">
        <v>100</v>
      </c>
      <c r="C1405">
        <v>7</v>
      </c>
      <c r="D1405">
        <v>7.75</v>
      </c>
      <c r="E1405">
        <v>4.2</v>
      </c>
      <c r="F1405">
        <v>7.75</v>
      </c>
      <c r="G1405">
        <v>4.2</v>
      </c>
      <c r="H1405">
        <v>9.7450000000000002E-3</v>
      </c>
      <c r="I1405">
        <v>0.61834710629921263</v>
      </c>
      <c r="J1405">
        <v>0.31074119370078734</v>
      </c>
      <c r="K1405">
        <v>0.92908829999999998</v>
      </c>
      <c r="L1405">
        <v>1.9899103139013459</v>
      </c>
    </row>
    <row r="1406" spans="1:14" x14ac:dyDescent="0.2">
      <c r="A1406">
        <v>489298</v>
      </c>
      <c r="B1406">
        <v>100</v>
      </c>
      <c r="C1406">
        <v>7</v>
      </c>
      <c r="D1406">
        <v>4.25</v>
      </c>
      <c r="E1406">
        <v>2.25</v>
      </c>
      <c r="F1406">
        <v>4.25</v>
      </c>
      <c r="G1406">
        <v>2.25</v>
      </c>
      <c r="H1406">
        <v>9.7450000000000002E-3</v>
      </c>
      <c r="I1406">
        <v>0.34836456692913387</v>
      </c>
      <c r="J1406">
        <v>0.14936130807086609</v>
      </c>
      <c r="K1406">
        <v>0.49772587499999998</v>
      </c>
      <c r="L1406">
        <v>2.3323615160349864</v>
      </c>
      <c r="M1406">
        <v>0.33530089566929133</v>
      </c>
      <c r="N1406">
        <v>0.1568946918307087</v>
      </c>
    </row>
    <row r="1407" spans="1:14" x14ac:dyDescent="0.2">
      <c r="B1407">
        <v>100</v>
      </c>
      <c r="C1407">
        <v>7</v>
      </c>
      <c r="D1407">
        <v>4.05</v>
      </c>
      <c r="E1407">
        <v>2.2000000000000002</v>
      </c>
      <c r="F1407">
        <v>4.05</v>
      </c>
      <c r="G1407">
        <v>2.2000000000000002</v>
      </c>
      <c r="H1407">
        <v>9.7450000000000002E-3</v>
      </c>
      <c r="I1407">
        <v>0.32223722440944885</v>
      </c>
      <c r="J1407">
        <v>0.16442807559055128</v>
      </c>
      <c r="K1407">
        <v>0.48666530000000013</v>
      </c>
      <c r="L1407">
        <v>1.9597457627118635</v>
      </c>
    </row>
    <row r="1408" spans="1:14" x14ac:dyDescent="0.2">
      <c r="A1408">
        <v>489299</v>
      </c>
      <c r="B1408">
        <v>100</v>
      </c>
      <c r="C1408">
        <v>7</v>
      </c>
      <c r="D1408">
        <v>3.55</v>
      </c>
      <c r="E1408">
        <v>1.9</v>
      </c>
      <c r="F1408">
        <v>3.55</v>
      </c>
      <c r="G1408">
        <v>1.9</v>
      </c>
      <c r="H1408">
        <v>9.7450000000000002E-3</v>
      </c>
      <c r="I1408">
        <v>0.28740076771653539</v>
      </c>
      <c r="J1408">
        <v>0.13290108228346467</v>
      </c>
      <c r="K1408">
        <v>0.42030185000000009</v>
      </c>
      <c r="L1408">
        <v>2.162516382699867</v>
      </c>
      <c r="M1408">
        <v>0.29175532480314958</v>
      </c>
      <c r="N1408">
        <v>0.12301623769685052</v>
      </c>
    </row>
    <row r="1409" spans="1:14" x14ac:dyDescent="0.2">
      <c r="B1409">
        <v>100</v>
      </c>
      <c r="C1409">
        <v>7</v>
      </c>
      <c r="D1409">
        <v>3.55</v>
      </c>
      <c r="E1409">
        <v>1.85</v>
      </c>
      <c r="F1409">
        <v>3.55</v>
      </c>
      <c r="G1409">
        <v>1.85</v>
      </c>
      <c r="H1409">
        <v>9.7450000000000002E-3</v>
      </c>
      <c r="I1409">
        <v>0.29610988188976373</v>
      </c>
      <c r="J1409">
        <v>0.11313139311023637</v>
      </c>
      <c r="K1409">
        <v>0.40924127500000007</v>
      </c>
      <c r="L1409">
        <v>2.6173979984603499</v>
      </c>
    </row>
    <row r="1410" spans="1:14" x14ac:dyDescent="0.2">
      <c r="A1410">
        <v>489300</v>
      </c>
      <c r="B1410">
        <v>100</v>
      </c>
      <c r="C1410">
        <v>7</v>
      </c>
      <c r="D1410">
        <v>2.8</v>
      </c>
      <c r="E1410">
        <v>1.4</v>
      </c>
      <c r="F1410">
        <v>2.8</v>
      </c>
      <c r="G1410">
        <v>1.4</v>
      </c>
      <c r="H1410">
        <v>9.7450000000000002E-3</v>
      </c>
      <c r="I1410">
        <v>0.2438551968503937</v>
      </c>
      <c r="J1410">
        <v>6.584090314960632E-2</v>
      </c>
      <c r="K1410">
        <v>0.30969610000000003</v>
      </c>
      <c r="L1410">
        <v>3.7037037037037024</v>
      </c>
      <c r="M1410">
        <v>0.2438551968503937</v>
      </c>
      <c r="N1410">
        <v>5.478032814960631E-2</v>
      </c>
    </row>
    <row r="1411" spans="1:14" x14ac:dyDescent="0.2">
      <c r="B1411">
        <v>100</v>
      </c>
      <c r="C1411">
        <v>7</v>
      </c>
      <c r="D1411">
        <v>2.7</v>
      </c>
      <c r="E1411">
        <v>1.3</v>
      </c>
      <c r="F1411">
        <v>2.7</v>
      </c>
      <c r="G1411">
        <v>1.3</v>
      </c>
      <c r="H1411">
        <v>9.7450000000000002E-3</v>
      </c>
      <c r="I1411">
        <v>0.24385519685039372</v>
      </c>
      <c r="J1411">
        <v>4.37197531496063E-2</v>
      </c>
      <c r="K1411">
        <v>0.28757495</v>
      </c>
      <c r="L1411">
        <v>5.5776892430278888</v>
      </c>
    </row>
    <row r="1412" spans="1:14" x14ac:dyDescent="0.2">
      <c r="A1412">
        <v>489302</v>
      </c>
      <c r="B1412">
        <v>100</v>
      </c>
      <c r="C1412">
        <v>8</v>
      </c>
      <c r="D1412">
        <v>2.5499999999999998</v>
      </c>
      <c r="E1412">
        <v>2</v>
      </c>
      <c r="F1412">
        <v>2.5499999999999998</v>
      </c>
      <c r="G1412">
        <v>2</v>
      </c>
      <c r="H1412">
        <v>3.8630000000000001E-3</v>
      </c>
      <c r="I1412">
        <v>3.7976027559055103E-2</v>
      </c>
      <c r="J1412">
        <v>0.13740417244094494</v>
      </c>
      <c r="K1412">
        <v>0.17538020000000004</v>
      </c>
      <c r="L1412">
        <v>0.27638190954773845</v>
      </c>
      <c r="M1412">
        <v>3.6249844488188972E-2</v>
      </c>
      <c r="N1412">
        <v>0.13913035551181105</v>
      </c>
    </row>
    <row r="1413" spans="1:14" x14ac:dyDescent="0.2">
      <c r="B1413">
        <v>100</v>
      </c>
      <c r="C1413">
        <v>8</v>
      </c>
      <c r="D1413">
        <v>2.5</v>
      </c>
      <c r="E1413">
        <v>2</v>
      </c>
      <c r="F1413">
        <v>2.5</v>
      </c>
      <c r="G1413">
        <v>2</v>
      </c>
      <c r="H1413">
        <v>3.8630000000000001E-3</v>
      </c>
      <c r="I1413">
        <v>3.452366141732284E-2</v>
      </c>
      <c r="J1413">
        <v>0.14085653858267716</v>
      </c>
      <c r="K1413">
        <v>0.17538019999999999</v>
      </c>
      <c r="L1413">
        <v>0.24509803921568632</v>
      </c>
    </row>
    <row r="1414" spans="1:14" x14ac:dyDescent="0.2">
      <c r="A1414">
        <v>489303</v>
      </c>
      <c r="B1414">
        <v>100</v>
      </c>
      <c r="C1414">
        <v>8</v>
      </c>
      <c r="D1414">
        <v>2.2999999999999998</v>
      </c>
      <c r="E1414">
        <v>1.7</v>
      </c>
      <c r="F1414">
        <v>2.2999999999999998</v>
      </c>
      <c r="G1414">
        <v>1.7</v>
      </c>
      <c r="H1414">
        <v>3.8630000000000001E-3</v>
      </c>
      <c r="I1414">
        <v>4.1428393700787387E-2</v>
      </c>
      <c r="J1414">
        <v>0.10764477629921262</v>
      </c>
      <c r="K1414">
        <v>0.14907317</v>
      </c>
      <c r="L1414">
        <v>0.38486209108402802</v>
      </c>
      <c r="M1414">
        <v>4.4880759842519678E-2</v>
      </c>
      <c r="N1414">
        <v>9.7615652657480331E-2</v>
      </c>
    </row>
    <row r="1415" spans="1:14" x14ac:dyDescent="0.2">
      <c r="B1415">
        <v>100</v>
      </c>
      <c r="C1415">
        <v>8</v>
      </c>
      <c r="D1415">
        <v>2.25</v>
      </c>
      <c r="E1415">
        <v>1.55</v>
      </c>
      <c r="F1415">
        <v>2.25</v>
      </c>
      <c r="G1415">
        <v>1.55</v>
      </c>
      <c r="H1415">
        <v>3.8630000000000001E-3</v>
      </c>
      <c r="I1415">
        <v>4.8333125984251969E-2</v>
      </c>
      <c r="J1415">
        <v>8.7586529015748038E-2</v>
      </c>
      <c r="K1415">
        <v>0.135919655</v>
      </c>
      <c r="L1415">
        <v>0.55183287347260546</v>
      </c>
    </row>
    <row r="1416" spans="1:14" x14ac:dyDescent="0.2">
      <c r="A1416">
        <v>489304</v>
      </c>
      <c r="B1416">
        <v>100</v>
      </c>
      <c r="C1416">
        <v>7</v>
      </c>
      <c r="D1416">
        <v>7.25</v>
      </c>
      <c r="E1416">
        <v>4.1500000000000004</v>
      </c>
      <c r="F1416">
        <v>7.25</v>
      </c>
      <c r="G1416">
        <v>4.1500000000000004</v>
      </c>
      <c r="H1416">
        <v>9.7450000000000002E-3</v>
      </c>
      <c r="I1416">
        <v>0.53996507874015753</v>
      </c>
      <c r="J1416">
        <v>0.37806264625984276</v>
      </c>
      <c r="K1416">
        <v>0.91802772500000029</v>
      </c>
      <c r="L1416">
        <v>1.4282423404745443</v>
      </c>
      <c r="M1416">
        <v>0.53561052165354339</v>
      </c>
      <c r="N1416">
        <v>0.3437051908464569</v>
      </c>
    </row>
    <row r="1417" spans="1:14" x14ac:dyDescent="0.2">
      <c r="B1417">
        <v>100</v>
      </c>
      <c r="C1417">
        <v>7</v>
      </c>
      <c r="D1417">
        <v>6.85</v>
      </c>
      <c r="E1417">
        <v>3.8</v>
      </c>
      <c r="F1417">
        <v>6.85</v>
      </c>
      <c r="G1417">
        <v>3.8</v>
      </c>
      <c r="H1417">
        <v>9.7450000000000002E-3</v>
      </c>
      <c r="I1417">
        <v>0.53125596456692914</v>
      </c>
      <c r="J1417">
        <v>0.30934773543307098</v>
      </c>
      <c r="K1417">
        <v>0.84060370000000018</v>
      </c>
      <c r="L1417">
        <v>1.7173423423423417</v>
      </c>
    </row>
    <row r="1418" spans="1:14" x14ac:dyDescent="0.2">
      <c r="A1418">
        <v>489305</v>
      </c>
      <c r="B1418">
        <v>100</v>
      </c>
      <c r="C1418">
        <v>7</v>
      </c>
      <c r="D1418">
        <v>3.45</v>
      </c>
      <c r="E1418">
        <v>1.85</v>
      </c>
      <c r="F1418">
        <v>3.45</v>
      </c>
      <c r="G1418">
        <v>1.85</v>
      </c>
      <c r="H1418">
        <v>9.7450000000000002E-3</v>
      </c>
      <c r="I1418">
        <v>0.27869165354330711</v>
      </c>
      <c r="J1418">
        <v>0.13054962145669294</v>
      </c>
      <c r="K1418">
        <v>0.40924127500000007</v>
      </c>
      <c r="L1418">
        <v>2.1347565043362238</v>
      </c>
      <c r="M1418">
        <v>0.26998253937007877</v>
      </c>
      <c r="N1418">
        <v>0.15031931062992121</v>
      </c>
    </row>
    <row r="1419" spans="1:14" x14ac:dyDescent="0.2">
      <c r="B1419">
        <v>100</v>
      </c>
      <c r="C1419">
        <v>7</v>
      </c>
      <c r="D1419">
        <v>3.45</v>
      </c>
      <c r="E1419">
        <v>1.95</v>
      </c>
      <c r="F1419">
        <v>3.45</v>
      </c>
      <c r="G1419">
        <v>1.95</v>
      </c>
      <c r="H1419">
        <v>9.7450000000000002E-3</v>
      </c>
      <c r="I1419">
        <v>0.26127342519685048</v>
      </c>
      <c r="J1419">
        <v>0.17008899980314951</v>
      </c>
      <c r="K1419">
        <v>0.43136242499999999</v>
      </c>
      <c r="L1419">
        <v>1.5360983102918602</v>
      </c>
    </row>
    <row r="1420" spans="1:14" x14ac:dyDescent="0.2">
      <c r="A1420">
        <v>489306</v>
      </c>
      <c r="B1420">
        <v>100</v>
      </c>
      <c r="C1420">
        <v>6</v>
      </c>
      <c r="D1420">
        <v>3.95</v>
      </c>
      <c r="E1420">
        <v>2.0499999999999998</v>
      </c>
      <c r="F1420">
        <v>3.95</v>
      </c>
      <c r="G1420">
        <v>2.0499999999999998</v>
      </c>
      <c r="H1420">
        <v>3.5767E-2</v>
      </c>
      <c r="I1420">
        <v>1.214669850393701</v>
      </c>
      <c r="J1420">
        <v>0.44974749460629909</v>
      </c>
      <c r="K1420">
        <v>1.6644173450000002</v>
      </c>
      <c r="L1420">
        <v>2.7007818052594184</v>
      </c>
      <c r="M1420">
        <v>1.214669850393701</v>
      </c>
      <c r="N1420">
        <v>0.47004526710629924</v>
      </c>
    </row>
    <row r="1421" spans="1:14" x14ac:dyDescent="0.2">
      <c r="B1421">
        <v>100</v>
      </c>
      <c r="C1421">
        <v>6</v>
      </c>
      <c r="D1421">
        <v>4</v>
      </c>
      <c r="E1421">
        <v>2.1</v>
      </c>
      <c r="F1421">
        <v>4</v>
      </c>
      <c r="G1421">
        <v>2.1</v>
      </c>
      <c r="H1421">
        <v>3.5767E-2</v>
      </c>
      <c r="I1421">
        <v>1.2146698503937008</v>
      </c>
      <c r="J1421">
        <v>0.49034303960629932</v>
      </c>
      <c r="K1421">
        <v>1.7050128900000001</v>
      </c>
      <c r="L1421">
        <v>2.4771838331160358</v>
      </c>
    </row>
    <row r="1422" spans="1:14" x14ac:dyDescent="0.2">
      <c r="A1422">
        <v>489307</v>
      </c>
      <c r="B1422">
        <v>100</v>
      </c>
      <c r="C1422">
        <v>6</v>
      </c>
      <c r="D1422">
        <v>4</v>
      </c>
      <c r="E1422">
        <v>2.0499999999999998</v>
      </c>
      <c r="F1422">
        <v>4</v>
      </c>
      <c r="G1422">
        <v>2.0499999999999998</v>
      </c>
      <c r="H1422">
        <v>3.5767E-2</v>
      </c>
      <c r="I1422">
        <v>1.2466348464566932</v>
      </c>
      <c r="J1422">
        <v>0.41778249854330712</v>
      </c>
      <c r="K1422">
        <v>1.6644173450000004</v>
      </c>
      <c r="L1422">
        <v>2.9839326702371847</v>
      </c>
      <c r="M1422">
        <v>1.2466348464566932</v>
      </c>
      <c r="N1422">
        <v>0.41778249854330712</v>
      </c>
    </row>
    <row r="1423" spans="1:14" x14ac:dyDescent="0.2">
      <c r="B1423">
        <v>100</v>
      </c>
      <c r="C1423">
        <v>6</v>
      </c>
      <c r="D1423">
        <v>4</v>
      </c>
      <c r="E1423">
        <v>2.0499999999999998</v>
      </c>
      <c r="F1423">
        <v>4</v>
      </c>
      <c r="G1423">
        <v>2.0499999999999998</v>
      </c>
      <c r="H1423">
        <v>3.5767E-2</v>
      </c>
      <c r="I1423">
        <v>1.2466348464566932</v>
      </c>
      <c r="J1423">
        <v>0.41778249854330712</v>
      </c>
      <c r="K1423">
        <v>1.6644173450000004</v>
      </c>
      <c r="L1423">
        <v>2.9839326702371847</v>
      </c>
    </row>
    <row r="1424" spans="1:14" x14ac:dyDescent="0.2">
      <c r="A1424">
        <v>489308</v>
      </c>
      <c r="B1424">
        <v>100</v>
      </c>
      <c r="C1424">
        <v>7</v>
      </c>
      <c r="D1424">
        <v>5.6</v>
      </c>
      <c r="E1424">
        <v>3.1</v>
      </c>
      <c r="F1424">
        <v>5.6</v>
      </c>
      <c r="G1424">
        <v>3.1</v>
      </c>
      <c r="H1424">
        <v>9.7450000000000002E-3</v>
      </c>
      <c r="I1424">
        <v>0.43545570866141725</v>
      </c>
      <c r="J1424">
        <v>0.2502999413385828</v>
      </c>
      <c r="K1424">
        <v>0.68575565000000005</v>
      </c>
      <c r="L1424">
        <v>1.7397355601948492</v>
      </c>
      <c r="M1424">
        <v>0.42239203740157483</v>
      </c>
      <c r="N1424">
        <v>0.26889390009842529</v>
      </c>
    </row>
    <row r="1425" spans="1:14" x14ac:dyDescent="0.2">
      <c r="B1425">
        <v>100</v>
      </c>
      <c r="C1425">
        <v>7</v>
      </c>
      <c r="D1425">
        <v>5.5</v>
      </c>
      <c r="E1425">
        <v>3.15</v>
      </c>
      <c r="F1425">
        <v>5.5</v>
      </c>
      <c r="G1425">
        <v>3.15</v>
      </c>
      <c r="H1425">
        <v>9.7450000000000002E-3</v>
      </c>
      <c r="I1425">
        <v>0.40932836614173235</v>
      </c>
      <c r="J1425">
        <v>0.28748785885826778</v>
      </c>
      <c r="K1425">
        <v>0.69681622500000007</v>
      </c>
      <c r="L1425">
        <v>1.4238109663738261</v>
      </c>
    </row>
    <row r="1426" spans="1:14" x14ac:dyDescent="0.2">
      <c r="A1426">
        <v>489309</v>
      </c>
      <c r="B1426">
        <v>100</v>
      </c>
      <c r="C1426">
        <v>7</v>
      </c>
      <c r="D1426">
        <v>2.8</v>
      </c>
      <c r="E1426">
        <v>1.5</v>
      </c>
      <c r="F1426">
        <v>2.8</v>
      </c>
      <c r="G1426">
        <v>1.5</v>
      </c>
      <c r="H1426">
        <v>9.7450000000000002E-3</v>
      </c>
      <c r="I1426">
        <v>0.22643696850393699</v>
      </c>
      <c r="J1426">
        <v>0.10538028149606299</v>
      </c>
      <c r="K1426">
        <v>0.33181724999999995</v>
      </c>
      <c r="L1426">
        <v>2.1487603305785123</v>
      </c>
      <c r="M1426">
        <v>0.22643696850393702</v>
      </c>
      <c r="N1426">
        <v>9.9849993996063008E-2</v>
      </c>
    </row>
    <row r="1427" spans="1:14" x14ac:dyDescent="0.2">
      <c r="B1427">
        <v>100</v>
      </c>
      <c r="C1427">
        <v>7</v>
      </c>
      <c r="D1427">
        <v>2.75</v>
      </c>
      <c r="E1427">
        <v>1.45</v>
      </c>
      <c r="F1427">
        <v>2.75</v>
      </c>
      <c r="G1427">
        <v>1.45</v>
      </c>
      <c r="H1427">
        <v>9.7450000000000002E-3</v>
      </c>
      <c r="I1427">
        <v>0.22643696850393705</v>
      </c>
      <c r="J1427">
        <v>9.4319706496063041E-2</v>
      </c>
      <c r="K1427">
        <v>0.3207566750000001</v>
      </c>
      <c r="L1427">
        <v>2.4007386888273308</v>
      </c>
    </row>
    <row r="1428" spans="1:14" x14ac:dyDescent="0.2">
      <c r="A1428">
        <v>489310</v>
      </c>
      <c r="B1428">
        <v>100</v>
      </c>
      <c r="C1428">
        <v>7</v>
      </c>
      <c r="D1428">
        <v>2.8</v>
      </c>
      <c r="E1428">
        <v>1.45</v>
      </c>
      <c r="F1428">
        <v>2.8</v>
      </c>
      <c r="G1428">
        <v>1.45</v>
      </c>
      <c r="H1428">
        <v>9.7450000000000002E-3</v>
      </c>
      <c r="I1428">
        <v>0.23514608267716536</v>
      </c>
      <c r="J1428">
        <v>8.5610592322834703E-2</v>
      </c>
      <c r="K1428">
        <v>0.32075667500000005</v>
      </c>
      <c r="L1428">
        <v>2.7466937945066108</v>
      </c>
      <c r="M1428">
        <v>0.23514608267716536</v>
      </c>
      <c r="N1428">
        <v>8.008030482283468E-2</v>
      </c>
    </row>
    <row r="1429" spans="1:14" x14ac:dyDescent="0.2">
      <c r="B1429">
        <v>100</v>
      </c>
      <c r="C1429">
        <v>7</v>
      </c>
      <c r="D1429">
        <v>2.75</v>
      </c>
      <c r="E1429">
        <v>1.4</v>
      </c>
      <c r="F1429">
        <v>2.75</v>
      </c>
      <c r="G1429">
        <v>1.4</v>
      </c>
      <c r="H1429">
        <v>9.7450000000000002E-3</v>
      </c>
      <c r="I1429">
        <v>0.23514608267716539</v>
      </c>
      <c r="J1429">
        <v>7.4550017322834658E-2</v>
      </c>
      <c r="K1429">
        <v>0.30969610000000003</v>
      </c>
      <c r="L1429">
        <v>3.1542056074766354</v>
      </c>
    </row>
    <row r="1430" spans="1:14" x14ac:dyDescent="0.2">
      <c r="A1430">
        <v>489312</v>
      </c>
      <c r="B1430">
        <v>100</v>
      </c>
      <c r="C1430">
        <v>8</v>
      </c>
      <c r="D1430">
        <v>3</v>
      </c>
      <c r="E1430">
        <v>2.25</v>
      </c>
      <c r="F1430">
        <v>3</v>
      </c>
      <c r="G1430">
        <v>2.25</v>
      </c>
      <c r="H1430">
        <v>3.8630000000000001E-3</v>
      </c>
      <c r="I1430">
        <v>5.1785492125984253E-2</v>
      </c>
      <c r="J1430">
        <v>0.14551723287401572</v>
      </c>
      <c r="K1430">
        <v>0.19730272499999996</v>
      </c>
      <c r="L1430">
        <v>0.35587188612099652</v>
      </c>
      <c r="M1430">
        <v>4.6606942913385817E-2</v>
      </c>
      <c r="N1430">
        <v>0.15946479208661421</v>
      </c>
    </row>
    <row r="1431" spans="1:14" x14ac:dyDescent="0.2">
      <c r="B1431">
        <v>100</v>
      </c>
      <c r="C1431">
        <v>8</v>
      </c>
      <c r="D1431">
        <v>3.05</v>
      </c>
      <c r="E1431">
        <v>2.4500000000000002</v>
      </c>
      <c r="F1431">
        <v>3.05</v>
      </c>
      <c r="G1431">
        <v>2.4500000000000002</v>
      </c>
      <c r="H1431">
        <v>3.8630000000000001E-3</v>
      </c>
      <c r="I1431">
        <v>4.142839370078738E-2</v>
      </c>
      <c r="J1431">
        <v>0.1734123512992127</v>
      </c>
      <c r="K1431">
        <v>0.21484074500000008</v>
      </c>
      <c r="L1431">
        <v>0.23890105514632662</v>
      </c>
    </row>
    <row r="1432" spans="1:14" x14ac:dyDescent="0.2">
      <c r="A1432">
        <v>489313</v>
      </c>
      <c r="B1432">
        <v>100</v>
      </c>
      <c r="C1432">
        <v>8</v>
      </c>
      <c r="D1432">
        <v>4.9000000000000004</v>
      </c>
      <c r="E1432">
        <v>2.95</v>
      </c>
      <c r="F1432">
        <v>4.9000000000000004</v>
      </c>
      <c r="G1432">
        <v>2.95</v>
      </c>
      <c r="H1432">
        <v>3.8630000000000001E-3</v>
      </c>
      <c r="I1432">
        <v>0.13464227952755908</v>
      </c>
      <c r="J1432">
        <v>0.12404351547244101</v>
      </c>
      <c r="K1432">
        <v>0.25868579500000011</v>
      </c>
      <c r="L1432">
        <v>1.0854439187308653</v>
      </c>
      <c r="M1432">
        <v>0.12773754724409453</v>
      </c>
      <c r="N1432">
        <v>0.13971725775590552</v>
      </c>
    </row>
    <row r="1433" spans="1:14" x14ac:dyDescent="0.2">
      <c r="B1433">
        <v>100</v>
      </c>
      <c r="C1433">
        <v>8</v>
      </c>
      <c r="D1433">
        <v>4.9000000000000004</v>
      </c>
      <c r="E1433">
        <v>3.15</v>
      </c>
      <c r="F1433">
        <v>4.9000000000000004</v>
      </c>
      <c r="G1433">
        <v>3.15</v>
      </c>
      <c r="H1433">
        <v>3.8630000000000001E-3</v>
      </c>
      <c r="I1433">
        <v>0.12083281496062996</v>
      </c>
      <c r="J1433">
        <v>0.15539100003937004</v>
      </c>
      <c r="K1433">
        <v>0.27622381499999998</v>
      </c>
      <c r="L1433">
        <v>0.77760497667185113</v>
      </c>
    </row>
    <row r="1434" spans="1:14" x14ac:dyDescent="0.2">
      <c r="A1434">
        <v>489314</v>
      </c>
      <c r="B1434">
        <v>100</v>
      </c>
      <c r="C1434">
        <v>7</v>
      </c>
      <c r="D1434">
        <v>4</v>
      </c>
      <c r="E1434">
        <v>2.35</v>
      </c>
      <c r="F1434">
        <v>4</v>
      </c>
      <c r="G1434">
        <v>2.35</v>
      </c>
      <c r="H1434">
        <v>9.7450000000000002E-3</v>
      </c>
      <c r="I1434">
        <v>0.28740076771653539</v>
      </c>
      <c r="J1434">
        <v>0.2324462572834646</v>
      </c>
      <c r="K1434">
        <v>0.51984702500000002</v>
      </c>
      <c r="L1434">
        <v>1.2364181341326335</v>
      </c>
      <c r="M1434">
        <v>0.28304621062992125</v>
      </c>
      <c r="N1434">
        <v>0.2257402393700787</v>
      </c>
    </row>
    <row r="1435" spans="1:14" x14ac:dyDescent="0.2">
      <c r="B1435">
        <v>100</v>
      </c>
      <c r="C1435">
        <v>7</v>
      </c>
      <c r="D1435">
        <v>3.85</v>
      </c>
      <c r="E1435">
        <v>2.25</v>
      </c>
      <c r="F1435">
        <v>3.85</v>
      </c>
      <c r="G1435">
        <v>2.25</v>
      </c>
      <c r="H1435">
        <v>9.7450000000000002E-3</v>
      </c>
      <c r="I1435">
        <v>0.27869165354330711</v>
      </c>
      <c r="J1435">
        <v>0.21903422145669282</v>
      </c>
      <c r="K1435">
        <v>0.49772587499999993</v>
      </c>
      <c r="L1435">
        <v>1.2723658051689868</v>
      </c>
    </row>
    <row r="1436" spans="1:14" x14ac:dyDescent="0.2">
      <c r="A1436">
        <v>489315</v>
      </c>
      <c r="B1436">
        <v>100</v>
      </c>
      <c r="C1436">
        <v>7</v>
      </c>
      <c r="D1436">
        <v>4.2</v>
      </c>
      <c r="E1436">
        <v>2.4500000000000002</v>
      </c>
      <c r="F1436">
        <v>4.2</v>
      </c>
      <c r="G1436">
        <v>2.4500000000000002</v>
      </c>
      <c r="H1436">
        <v>9.7450000000000002E-3</v>
      </c>
      <c r="I1436">
        <v>0.30481899606299218</v>
      </c>
      <c r="J1436">
        <v>0.23714917893700796</v>
      </c>
      <c r="K1436">
        <v>0.54196817500000016</v>
      </c>
      <c r="L1436">
        <v>1.2853470437017993</v>
      </c>
      <c r="M1436">
        <v>0.30917355314960626</v>
      </c>
      <c r="N1436">
        <v>0.2051431843503938</v>
      </c>
    </row>
    <row r="1437" spans="1:14" x14ac:dyDescent="0.2">
      <c r="B1437">
        <v>100</v>
      </c>
      <c r="C1437">
        <v>7</v>
      </c>
      <c r="D1437">
        <v>4</v>
      </c>
      <c r="E1437">
        <v>2.2000000000000002</v>
      </c>
      <c r="F1437">
        <v>4</v>
      </c>
      <c r="G1437">
        <v>2.2000000000000002</v>
      </c>
      <c r="H1437">
        <v>9.7450000000000002E-3</v>
      </c>
      <c r="I1437">
        <v>0.3135281102362204</v>
      </c>
      <c r="J1437">
        <v>0.17313718976377962</v>
      </c>
      <c r="K1437">
        <v>0.48666530000000002</v>
      </c>
      <c r="L1437">
        <v>1.8108651911468798</v>
      </c>
    </row>
    <row r="1438" spans="1:14" x14ac:dyDescent="0.2">
      <c r="A1438">
        <v>489316</v>
      </c>
      <c r="B1438">
        <v>100</v>
      </c>
      <c r="C1438">
        <v>6</v>
      </c>
      <c r="D1438">
        <v>2.85</v>
      </c>
      <c r="E1438">
        <v>1.55</v>
      </c>
      <c r="F1438">
        <v>2.85</v>
      </c>
      <c r="G1438">
        <v>1.55</v>
      </c>
      <c r="H1438">
        <v>3.5767E-2</v>
      </c>
      <c r="I1438">
        <v>0.83108989763779528</v>
      </c>
      <c r="J1438">
        <v>0.4273719973622046</v>
      </c>
      <c r="K1438">
        <v>1.2584618949999999</v>
      </c>
      <c r="L1438">
        <v>1.9446522064323117</v>
      </c>
      <c r="M1438">
        <v>0.91100238779527565</v>
      </c>
      <c r="N1438">
        <v>0.40835282470472445</v>
      </c>
    </row>
    <row r="1439" spans="1:14" x14ac:dyDescent="0.2">
      <c r="B1439">
        <v>100</v>
      </c>
      <c r="C1439">
        <v>6</v>
      </c>
      <c r="D1439">
        <v>3.25</v>
      </c>
      <c r="E1439">
        <v>1.7</v>
      </c>
      <c r="F1439">
        <v>3.25</v>
      </c>
      <c r="G1439">
        <v>1.7</v>
      </c>
      <c r="H1439">
        <v>3.5767E-2</v>
      </c>
      <c r="I1439">
        <v>0.99091487795275601</v>
      </c>
      <c r="J1439">
        <v>0.38933365204724424</v>
      </c>
      <c r="K1439">
        <v>1.3802485300000003</v>
      </c>
      <c r="L1439">
        <v>2.5451559934318548</v>
      </c>
    </row>
    <row r="1440" spans="1:14" x14ac:dyDescent="0.2">
      <c r="A1440">
        <v>489317</v>
      </c>
      <c r="B1440">
        <v>100</v>
      </c>
      <c r="C1440">
        <v>7</v>
      </c>
      <c r="D1440">
        <v>4.0999999999999996</v>
      </c>
      <c r="E1440">
        <v>2.2999999999999998</v>
      </c>
      <c r="F1440">
        <v>4.0999999999999996</v>
      </c>
      <c r="G1440">
        <v>2.2999999999999998</v>
      </c>
      <c r="H1440">
        <v>9.7450000000000002E-3</v>
      </c>
      <c r="I1440">
        <v>0.3135281102362204</v>
      </c>
      <c r="J1440">
        <v>0.19525833976377946</v>
      </c>
      <c r="K1440">
        <v>0.50878644999999989</v>
      </c>
      <c r="L1440">
        <v>1.6057091882247996</v>
      </c>
      <c r="M1440">
        <v>0.31352811023622051</v>
      </c>
      <c r="N1440">
        <v>0.16760690226377944</v>
      </c>
    </row>
    <row r="1441" spans="1:14" x14ac:dyDescent="0.2">
      <c r="B1441">
        <v>100</v>
      </c>
      <c r="C1441">
        <v>7</v>
      </c>
      <c r="D1441">
        <v>3.85</v>
      </c>
      <c r="E1441">
        <v>2.0499999999999998</v>
      </c>
      <c r="F1441">
        <v>3.85</v>
      </c>
      <c r="G1441">
        <v>2.0499999999999998</v>
      </c>
      <c r="H1441">
        <v>9.7450000000000002E-3</v>
      </c>
      <c r="I1441">
        <v>0.31352811023622057</v>
      </c>
      <c r="J1441">
        <v>0.13995546476377946</v>
      </c>
      <c r="K1441">
        <v>0.45348357500000003</v>
      </c>
      <c r="L1441">
        <v>2.2401991288114518</v>
      </c>
    </row>
    <row r="1442" spans="1:14" x14ac:dyDescent="0.2">
      <c r="A1442">
        <v>489318</v>
      </c>
      <c r="B1442">
        <v>100</v>
      </c>
      <c r="C1442">
        <v>7</v>
      </c>
      <c r="D1442">
        <v>2.7</v>
      </c>
      <c r="E1442">
        <v>1.45</v>
      </c>
      <c r="F1442">
        <v>2.7</v>
      </c>
      <c r="G1442">
        <v>1.45</v>
      </c>
      <c r="H1442">
        <v>9.7450000000000002E-3</v>
      </c>
      <c r="I1442">
        <v>0.21772785433070868</v>
      </c>
      <c r="J1442">
        <v>0.10302882066929137</v>
      </c>
      <c r="K1442">
        <v>0.32075667500000005</v>
      </c>
      <c r="L1442">
        <v>2.1132713440405744</v>
      </c>
      <c r="M1442">
        <v>0.22643696850393702</v>
      </c>
      <c r="N1442">
        <v>0.10538028149606299</v>
      </c>
    </row>
    <row r="1443" spans="1:14" x14ac:dyDescent="0.2">
      <c r="B1443">
        <v>100</v>
      </c>
      <c r="C1443">
        <v>7</v>
      </c>
      <c r="D1443">
        <v>2.9</v>
      </c>
      <c r="E1443">
        <v>1.55</v>
      </c>
      <c r="F1443">
        <v>2.9</v>
      </c>
      <c r="G1443">
        <v>1.55</v>
      </c>
      <c r="H1443">
        <v>9.7450000000000002E-3</v>
      </c>
      <c r="I1443">
        <v>0.23514608267716536</v>
      </c>
      <c r="J1443">
        <v>0.10773174232283463</v>
      </c>
      <c r="K1443">
        <v>0.34287782499999997</v>
      </c>
      <c r="L1443">
        <v>2.182700080840744</v>
      </c>
    </row>
    <row r="1444" spans="1:14" x14ac:dyDescent="0.2">
      <c r="A1444">
        <v>489319</v>
      </c>
      <c r="B1444">
        <v>100</v>
      </c>
      <c r="C1444">
        <v>7</v>
      </c>
      <c r="D1444">
        <v>2.65</v>
      </c>
      <c r="E1444">
        <v>1.35</v>
      </c>
      <c r="F1444">
        <v>2.65</v>
      </c>
      <c r="G1444">
        <v>1.35</v>
      </c>
      <c r="H1444">
        <v>9.7450000000000002E-3</v>
      </c>
      <c r="I1444">
        <v>0.22643696850393699</v>
      </c>
      <c r="J1444">
        <v>7.2198556496063035E-2</v>
      </c>
      <c r="K1444">
        <v>0.29863552500000001</v>
      </c>
      <c r="L1444">
        <v>3.1363088057901063</v>
      </c>
      <c r="M1444">
        <v>0.22208241141732282</v>
      </c>
      <c r="N1444">
        <v>8.2083401082677171E-2</v>
      </c>
    </row>
    <row r="1445" spans="1:14" x14ac:dyDescent="0.2">
      <c r="B1445">
        <v>100</v>
      </c>
      <c r="C1445">
        <v>7</v>
      </c>
      <c r="D1445">
        <v>2.65</v>
      </c>
      <c r="E1445">
        <v>1.4</v>
      </c>
      <c r="F1445">
        <v>2.65</v>
      </c>
      <c r="G1445">
        <v>1.4</v>
      </c>
      <c r="H1445">
        <v>9.7450000000000002E-3</v>
      </c>
      <c r="I1445">
        <v>0.21772785433070865</v>
      </c>
      <c r="J1445">
        <v>9.1968245669291307E-2</v>
      </c>
      <c r="K1445">
        <v>0.30969609999999997</v>
      </c>
      <c r="L1445">
        <v>2.3674242424242431</v>
      </c>
    </row>
    <row r="1446" spans="1:14" x14ac:dyDescent="0.2">
      <c r="A1446">
        <v>489320</v>
      </c>
      <c r="B1446">
        <v>100</v>
      </c>
      <c r="C1446">
        <v>8</v>
      </c>
      <c r="D1446">
        <v>2.95</v>
      </c>
      <c r="E1446">
        <v>2.15</v>
      </c>
      <c r="F1446">
        <v>2.95</v>
      </c>
      <c r="G1446">
        <v>2.15</v>
      </c>
      <c r="H1446">
        <v>3.8630000000000001E-3</v>
      </c>
      <c r="I1446">
        <v>5.5237858267716551E-2</v>
      </c>
      <c r="J1446">
        <v>0.13329585673228345</v>
      </c>
      <c r="K1446">
        <v>0.18853371499999999</v>
      </c>
      <c r="L1446">
        <v>0.41440041440041459</v>
      </c>
      <c r="M1446">
        <v>5.696404133858269E-2</v>
      </c>
      <c r="N1446">
        <v>0.14033868366141733</v>
      </c>
    </row>
    <row r="1447" spans="1:14" x14ac:dyDescent="0.2">
      <c r="B1447">
        <v>100</v>
      </c>
      <c r="C1447">
        <v>8</v>
      </c>
      <c r="D1447">
        <v>3.2</v>
      </c>
      <c r="E1447">
        <v>2.35</v>
      </c>
      <c r="F1447">
        <v>3.2</v>
      </c>
      <c r="G1447">
        <v>2.35</v>
      </c>
      <c r="H1447">
        <v>3.8630000000000001E-3</v>
      </c>
      <c r="I1447">
        <v>5.8690224409448828E-2</v>
      </c>
      <c r="J1447">
        <v>0.14738151059055118</v>
      </c>
      <c r="K1447">
        <v>0.20607173500000001</v>
      </c>
      <c r="L1447">
        <v>0.39821972358866248</v>
      </c>
    </row>
    <row r="1448" spans="1:14" x14ac:dyDescent="0.2">
      <c r="A1448">
        <v>489321</v>
      </c>
      <c r="B1448">
        <v>100</v>
      </c>
      <c r="C1448">
        <v>8</v>
      </c>
      <c r="D1448">
        <v>3</v>
      </c>
      <c r="E1448">
        <v>2.2000000000000002</v>
      </c>
      <c r="F1448">
        <v>3</v>
      </c>
      <c r="G1448">
        <v>2.2000000000000002</v>
      </c>
      <c r="H1448">
        <v>3.8630000000000001E-3</v>
      </c>
      <c r="I1448">
        <v>5.523785826771653E-2</v>
      </c>
      <c r="J1448">
        <v>0.13768036173228351</v>
      </c>
      <c r="K1448">
        <v>0.19291822000000003</v>
      </c>
      <c r="L1448">
        <v>0.40120361083249734</v>
      </c>
      <c r="M1448">
        <v>5.5237858267716544E-2</v>
      </c>
      <c r="N1448">
        <v>0.13110360423228348</v>
      </c>
    </row>
    <row r="1449" spans="1:14" x14ac:dyDescent="0.2">
      <c r="B1449">
        <v>100</v>
      </c>
      <c r="C1449">
        <v>8</v>
      </c>
      <c r="D1449">
        <v>2.85</v>
      </c>
      <c r="E1449">
        <v>2.0499999999999998</v>
      </c>
      <c r="F1449">
        <v>2.85</v>
      </c>
      <c r="G1449">
        <v>2.0499999999999998</v>
      </c>
      <c r="H1449">
        <v>3.8630000000000001E-3</v>
      </c>
      <c r="I1449">
        <v>5.5237858267716551E-2</v>
      </c>
      <c r="J1449">
        <v>0.12452684673228344</v>
      </c>
      <c r="K1449">
        <v>0.179764705</v>
      </c>
      <c r="L1449">
        <v>0.44358192403659574</v>
      </c>
    </row>
    <row r="1450" spans="1:14" x14ac:dyDescent="0.2">
      <c r="A1450">
        <v>489322</v>
      </c>
      <c r="B1450">
        <v>100</v>
      </c>
      <c r="C1450">
        <v>8</v>
      </c>
      <c r="D1450">
        <v>3.1</v>
      </c>
      <c r="E1450">
        <v>2.1</v>
      </c>
      <c r="F1450">
        <v>3.1</v>
      </c>
      <c r="G1450">
        <v>2.1</v>
      </c>
      <c r="H1450">
        <v>3.8630000000000001E-3</v>
      </c>
      <c r="I1450">
        <v>6.904732283464568E-2</v>
      </c>
      <c r="J1450">
        <v>0.11510188716535436</v>
      </c>
      <c r="K1450">
        <v>0.18414921000000004</v>
      </c>
      <c r="L1450">
        <v>0.59988002399520091</v>
      </c>
      <c r="M1450">
        <v>7.0773505905511819E-2</v>
      </c>
      <c r="N1450">
        <v>0.11337570409448822</v>
      </c>
    </row>
    <row r="1451" spans="1:14" x14ac:dyDescent="0.2">
      <c r="B1451">
        <v>100</v>
      </c>
      <c r="C1451">
        <v>8</v>
      </c>
      <c r="D1451">
        <v>3.15</v>
      </c>
      <c r="E1451">
        <v>2.1</v>
      </c>
      <c r="F1451">
        <v>3.15</v>
      </c>
      <c r="G1451">
        <v>2.1</v>
      </c>
      <c r="H1451">
        <v>3.8630000000000001E-3</v>
      </c>
      <c r="I1451">
        <v>7.2499688976377943E-2</v>
      </c>
      <c r="J1451">
        <v>0.11164952102362208</v>
      </c>
      <c r="K1451">
        <v>0.18414921000000001</v>
      </c>
      <c r="L1451">
        <v>0.64935064935064912</v>
      </c>
    </row>
    <row r="1452" spans="1:14" x14ac:dyDescent="0.2">
      <c r="A1452">
        <v>489323</v>
      </c>
      <c r="B1452">
        <v>100</v>
      </c>
      <c r="C1452">
        <v>7</v>
      </c>
      <c r="D1452">
        <v>4.75</v>
      </c>
      <c r="E1452">
        <v>2.5</v>
      </c>
      <c r="F1452">
        <v>4.75</v>
      </c>
      <c r="G1452">
        <v>2.5</v>
      </c>
      <c r="H1452">
        <v>9.7450000000000002E-3</v>
      </c>
      <c r="I1452">
        <v>0.39191013779527567</v>
      </c>
      <c r="J1452">
        <v>0.16111861220472457</v>
      </c>
      <c r="K1452">
        <v>0.55302875000000018</v>
      </c>
      <c r="L1452">
        <v>2.4324324324324307</v>
      </c>
      <c r="M1452">
        <v>0.37884646653543308</v>
      </c>
      <c r="N1452">
        <v>0.22395487096456712</v>
      </c>
    </row>
    <row r="1453" spans="1:14" x14ac:dyDescent="0.2">
      <c r="B1453">
        <v>100</v>
      </c>
      <c r="C1453">
        <v>7</v>
      </c>
      <c r="D1453">
        <v>5.05</v>
      </c>
      <c r="E1453">
        <v>2.95</v>
      </c>
      <c r="F1453">
        <v>5.05</v>
      </c>
      <c r="G1453">
        <v>2.95</v>
      </c>
      <c r="H1453">
        <v>9.7450000000000002E-3</v>
      </c>
      <c r="I1453">
        <v>0.36578279527559049</v>
      </c>
      <c r="J1453">
        <v>0.28679112972440968</v>
      </c>
      <c r="K1453">
        <v>0.65257392500000022</v>
      </c>
      <c r="L1453">
        <v>1.2754327361068922</v>
      </c>
    </row>
    <row r="1454" spans="1:14" x14ac:dyDescent="0.2">
      <c r="A1454">
        <v>489324</v>
      </c>
      <c r="B1454">
        <v>100</v>
      </c>
      <c r="C1454">
        <v>7</v>
      </c>
      <c r="D1454">
        <v>5.3</v>
      </c>
      <c r="E1454">
        <v>3</v>
      </c>
      <c r="F1454">
        <v>5.3</v>
      </c>
      <c r="G1454">
        <v>3</v>
      </c>
      <c r="H1454">
        <v>9.7450000000000002E-3</v>
      </c>
      <c r="I1454">
        <v>0.40061925196850395</v>
      </c>
      <c r="J1454">
        <v>0.26301524803149601</v>
      </c>
      <c r="K1454">
        <v>0.66363449999999991</v>
      </c>
      <c r="L1454">
        <v>1.5231788079470203</v>
      </c>
      <c r="M1454">
        <v>0.41368292322834649</v>
      </c>
      <c r="N1454">
        <v>0.24995157677165353</v>
      </c>
    </row>
    <row r="1455" spans="1:14" x14ac:dyDescent="0.2">
      <c r="B1455">
        <v>100</v>
      </c>
      <c r="C1455">
        <v>7</v>
      </c>
      <c r="D1455">
        <v>5.45</v>
      </c>
      <c r="E1455">
        <v>3</v>
      </c>
      <c r="F1455">
        <v>5.45</v>
      </c>
      <c r="G1455">
        <v>3</v>
      </c>
      <c r="H1455">
        <v>9.7450000000000002E-3</v>
      </c>
      <c r="I1455">
        <v>0.42674659448818902</v>
      </c>
      <c r="J1455">
        <v>0.23688790551181105</v>
      </c>
      <c r="K1455">
        <v>0.66363450000000013</v>
      </c>
      <c r="L1455">
        <v>1.8014705882352942</v>
      </c>
    </row>
    <row r="1456" spans="1:14" x14ac:dyDescent="0.2">
      <c r="A1456">
        <v>489325</v>
      </c>
      <c r="B1456">
        <v>100</v>
      </c>
      <c r="C1456">
        <v>7</v>
      </c>
      <c r="D1456">
        <v>7.6</v>
      </c>
      <c r="E1456">
        <v>4.25</v>
      </c>
      <c r="F1456">
        <v>7.6</v>
      </c>
      <c r="G1456">
        <v>4.25</v>
      </c>
      <c r="H1456">
        <v>9.7450000000000002E-3</v>
      </c>
      <c r="I1456">
        <v>0.58351064960629917</v>
      </c>
      <c r="J1456">
        <v>0.35663822539370088</v>
      </c>
      <c r="K1456">
        <v>0.94014887499999999</v>
      </c>
      <c r="L1456">
        <v>1.6361416361416357</v>
      </c>
      <c r="M1456">
        <v>0.59657432086614182</v>
      </c>
      <c r="N1456">
        <v>0.35463512913385831</v>
      </c>
    </row>
    <row r="1457" spans="1:14" x14ac:dyDescent="0.2">
      <c r="B1457">
        <v>100</v>
      </c>
      <c r="C1457">
        <v>7</v>
      </c>
      <c r="D1457">
        <v>7.85</v>
      </c>
      <c r="E1457">
        <v>4.3499999999999996</v>
      </c>
      <c r="F1457">
        <v>7.85</v>
      </c>
      <c r="G1457">
        <v>4.3499999999999996</v>
      </c>
      <c r="H1457">
        <v>9.7450000000000002E-3</v>
      </c>
      <c r="I1457">
        <v>0.60963799212598435</v>
      </c>
      <c r="J1457">
        <v>0.35263203287401579</v>
      </c>
      <c r="K1457">
        <v>0.96227002500000014</v>
      </c>
      <c r="L1457">
        <v>1.728821931341072</v>
      </c>
    </row>
    <row r="1458" spans="1:14" x14ac:dyDescent="0.2">
      <c r="A1458">
        <v>489326</v>
      </c>
      <c r="B1458">
        <v>100</v>
      </c>
      <c r="C1458">
        <v>7</v>
      </c>
      <c r="D1458">
        <v>3.7</v>
      </c>
      <c r="E1458">
        <v>2</v>
      </c>
      <c r="F1458">
        <v>3.7</v>
      </c>
      <c r="G1458">
        <v>2</v>
      </c>
      <c r="H1458">
        <v>9.7450000000000002E-3</v>
      </c>
      <c r="I1458">
        <v>0.29610988188976384</v>
      </c>
      <c r="J1458">
        <v>0.14631311811023626</v>
      </c>
      <c r="K1458">
        <v>0.44242300000000012</v>
      </c>
      <c r="L1458">
        <v>2.0238095238095237</v>
      </c>
      <c r="M1458">
        <v>0.30481899606299223</v>
      </c>
      <c r="N1458">
        <v>0.15419486643700786</v>
      </c>
    </row>
    <row r="1459" spans="1:14" x14ac:dyDescent="0.2">
      <c r="B1459">
        <v>100</v>
      </c>
      <c r="C1459">
        <v>7</v>
      </c>
      <c r="D1459">
        <v>3.95</v>
      </c>
      <c r="E1459">
        <v>2.15</v>
      </c>
      <c r="F1459">
        <v>3.95</v>
      </c>
      <c r="G1459">
        <v>2.15</v>
      </c>
      <c r="H1459">
        <v>9.7450000000000002E-3</v>
      </c>
      <c r="I1459">
        <v>0.31352811023622057</v>
      </c>
      <c r="J1459">
        <v>0.16207661476377949</v>
      </c>
      <c r="K1459">
        <v>0.47560472500000006</v>
      </c>
      <c r="L1459">
        <v>1.9344438473938752</v>
      </c>
    </row>
    <row r="1460" spans="1:14" x14ac:dyDescent="0.2">
      <c r="A1460">
        <v>489327</v>
      </c>
      <c r="B1460">
        <v>100</v>
      </c>
      <c r="C1460">
        <v>7</v>
      </c>
      <c r="D1460">
        <v>3</v>
      </c>
      <c r="E1460">
        <v>1.6</v>
      </c>
      <c r="F1460">
        <v>3</v>
      </c>
      <c r="G1460">
        <v>1.6</v>
      </c>
      <c r="H1460">
        <v>9.7450000000000002E-3</v>
      </c>
      <c r="I1460">
        <v>0.2438551968503937</v>
      </c>
      <c r="J1460">
        <v>0.11008320314960636</v>
      </c>
      <c r="K1460">
        <v>0.35393840000000004</v>
      </c>
      <c r="L1460">
        <v>2.2151898734177204</v>
      </c>
      <c r="M1460">
        <v>0.23514608267716536</v>
      </c>
      <c r="N1460">
        <v>0.10773174232283467</v>
      </c>
    </row>
    <row r="1461" spans="1:14" x14ac:dyDescent="0.2">
      <c r="B1461">
        <v>100</v>
      </c>
      <c r="C1461">
        <v>7</v>
      </c>
      <c r="D1461">
        <v>2.8</v>
      </c>
      <c r="E1461">
        <v>1.5</v>
      </c>
      <c r="F1461">
        <v>2.8</v>
      </c>
      <c r="G1461">
        <v>1.5</v>
      </c>
      <c r="H1461">
        <v>9.7450000000000002E-3</v>
      </c>
      <c r="I1461">
        <v>0.22643696850393699</v>
      </c>
      <c r="J1461">
        <v>0.10538028149606299</v>
      </c>
      <c r="K1461">
        <v>0.33181724999999995</v>
      </c>
      <c r="L1461">
        <v>2.1487603305785123</v>
      </c>
    </row>
    <row r="1462" spans="1:14" x14ac:dyDescent="0.2">
      <c r="A1462">
        <v>489329</v>
      </c>
      <c r="B1462">
        <v>100</v>
      </c>
      <c r="C1462">
        <v>8</v>
      </c>
      <c r="D1462">
        <v>3.8</v>
      </c>
      <c r="E1462">
        <v>2.9</v>
      </c>
      <c r="F1462">
        <v>3.8</v>
      </c>
      <c r="G1462">
        <v>2.9</v>
      </c>
      <c r="H1462">
        <v>3.8630000000000001E-3</v>
      </c>
      <c r="I1462">
        <v>6.2142590551181091E-2</v>
      </c>
      <c r="J1462">
        <v>0.19215869944881894</v>
      </c>
      <c r="K1462">
        <v>0.25430129000000001</v>
      </c>
      <c r="L1462">
        <v>0.32339202299676595</v>
      </c>
      <c r="M1462">
        <v>6.5594956692913389E-2</v>
      </c>
      <c r="N1462">
        <v>0.18432182830708663</v>
      </c>
    </row>
    <row r="1463" spans="1:14" x14ac:dyDescent="0.2">
      <c r="B1463">
        <v>100</v>
      </c>
      <c r="C1463">
        <v>8</v>
      </c>
      <c r="D1463">
        <v>3.8</v>
      </c>
      <c r="E1463">
        <v>2.8</v>
      </c>
      <c r="F1463">
        <v>3.8</v>
      </c>
      <c r="G1463">
        <v>2.8</v>
      </c>
      <c r="H1463">
        <v>3.8630000000000001E-3</v>
      </c>
      <c r="I1463">
        <v>6.904732283464568E-2</v>
      </c>
      <c r="J1463">
        <v>0.17648495716535431</v>
      </c>
      <c r="K1463">
        <v>0.24553227999999999</v>
      </c>
      <c r="L1463">
        <v>0.39123630672926457</v>
      </c>
    </row>
    <row r="1464" spans="1:14" x14ac:dyDescent="0.2">
      <c r="A1464">
        <v>489330</v>
      </c>
      <c r="B1464">
        <v>100</v>
      </c>
      <c r="C1464">
        <v>8</v>
      </c>
      <c r="D1464">
        <v>3.35</v>
      </c>
      <c r="E1464">
        <v>2.5499999999999998</v>
      </c>
      <c r="F1464">
        <v>3.35</v>
      </c>
      <c r="G1464">
        <v>2.5499999999999998</v>
      </c>
      <c r="H1464">
        <v>3.8630000000000001E-3</v>
      </c>
      <c r="I1464">
        <v>5.5237858267716551E-2</v>
      </c>
      <c r="J1464">
        <v>0.16837189673228348</v>
      </c>
      <c r="K1464">
        <v>0.22360975500000002</v>
      </c>
      <c r="L1464">
        <v>0.32807053516506057</v>
      </c>
      <c r="M1464">
        <v>5.5237858267716544E-2</v>
      </c>
      <c r="N1464">
        <v>0.16398739173228349</v>
      </c>
    </row>
    <row r="1465" spans="1:14" x14ac:dyDescent="0.2">
      <c r="B1465">
        <v>100</v>
      </c>
      <c r="C1465">
        <v>8</v>
      </c>
      <c r="D1465">
        <v>3.25</v>
      </c>
      <c r="E1465">
        <v>2.4500000000000002</v>
      </c>
      <c r="F1465">
        <v>3.25</v>
      </c>
      <c r="G1465">
        <v>2.4500000000000002</v>
      </c>
      <c r="H1465">
        <v>3.8630000000000001E-3</v>
      </c>
      <c r="I1465">
        <v>5.523785826771653E-2</v>
      </c>
      <c r="J1465">
        <v>0.15960288673228351</v>
      </c>
      <c r="K1465">
        <v>0.21484074500000006</v>
      </c>
      <c r="L1465">
        <v>0.34609560891196178</v>
      </c>
    </row>
    <row r="1466" spans="1:14" x14ac:dyDescent="0.2">
      <c r="A1466">
        <v>489331</v>
      </c>
      <c r="B1466">
        <v>100</v>
      </c>
      <c r="C1466">
        <v>8</v>
      </c>
      <c r="D1466">
        <v>4.5</v>
      </c>
      <c r="E1466">
        <v>3</v>
      </c>
      <c r="F1466">
        <v>4.5</v>
      </c>
      <c r="G1466">
        <v>3</v>
      </c>
      <c r="H1466">
        <v>3.8630000000000001E-3</v>
      </c>
      <c r="I1466">
        <v>0.10357098425196851</v>
      </c>
      <c r="J1466">
        <v>0.15949931574803147</v>
      </c>
      <c r="K1466">
        <v>0.26307029999999998</v>
      </c>
      <c r="L1466">
        <v>0.64935064935064946</v>
      </c>
      <c r="M1466">
        <v>0.10357098425196851</v>
      </c>
      <c r="N1466">
        <v>0.14853805324803149</v>
      </c>
    </row>
    <row r="1467" spans="1:14" x14ac:dyDescent="0.2">
      <c r="B1467">
        <v>100</v>
      </c>
      <c r="C1467">
        <v>8</v>
      </c>
      <c r="D1467">
        <v>4.25</v>
      </c>
      <c r="E1467">
        <v>2.75</v>
      </c>
      <c r="F1467">
        <v>4.25</v>
      </c>
      <c r="G1467">
        <v>2.75</v>
      </c>
      <c r="H1467">
        <v>3.8630000000000001E-3</v>
      </c>
      <c r="I1467">
        <v>0.10357098425196851</v>
      </c>
      <c r="J1467">
        <v>0.13757679074803147</v>
      </c>
      <c r="K1467">
        <v>0.24114777499999998</v>
      </c>
      <c r="L1467">
        <v>0.75282308657465513</v>
      </c>
    </row>
    <row r="1468" spans="1:14" x14ac:dyDescent="0.2">
      <c r="A1468">
        <v>489332</v>
      </c>
      <c r="B1468">
        <v>100</v>
      </c>
      <c r="C1468">
        <v>7</v>
      </c>
      <c r="D1468">
        <v>4.0999999999999996</v>
      </c>
      <c r="E1468">
        <v>2.35</v>
      </c>
      <c r="F1468">
        <v>4.0999999999999996</v>
      </c>
      <c r="G1468">
        <v>2.35</v>
      </c>
      <c r="H1468">
        <v>9.7450000000000002E-3</v>
      </c>
      <c r="I1468">
        <v>0.30481899606299206</v>
      </c>
      <c r="J1468">
        <v>0.21502802893700795</v>
      </c>
      <c r="K1468">
        <v>0.51984702500000002</v>
      </c>
      <c r="L1468">
        <v>1.4175779667881725</v>
      </c>
      <c r="M1468">
        <v>0.30481899606299206</v>
      </c>
      <c r="N1468">
        <v>0.24267946643700797</v>
      </c>
    </row>
    <row r="1469" spans="1:14" x14ac:dyDescent="0.2">
      <c r="B1469">
        <v>100</v>
      </c>
      <c r="C1469">
        <v>7</v>
      </c>
      <c r="D1469">
        <v>4.3499999999999996</v>
      </c>
      <c r="E1469">
        <v>2.6</v>
      </c>
      <c r="F1469">
        <v>4.3499999999999996</v>
      </c>
      <c r="G1469">
        <v>2.6</v>
      </c>
      <c r="H1469">
        <v>9.7450000000000002E-3</v>
      </c>
      <c r="I1469">
        <v>0.30481899606299206</v>
      </c>
      <c r="J1469">
        <v>0.27033090393700798</v>
      </c>
      <c r="K1469">
        <v>0.57514989999999999</v>
      </c>
      <c r="L1469">
        <v>1.1275773195876282</v>
      </c>
    </row>
    <row r="1470" spans="1:14" x14ac:dyDescent="0.2">
      <c r="A1470">
        <v>489333</v>
      </c>
      <c r="B1470">
        <v>100</v>
      </c>
      <c r="C1470">
        <v>7</v>
      </c>
      <c r="D1470">
        <v>6.15</v>
      </c>
      <c r="E1470">
        <v>3.4</v>
      </c>
      <c r="F1470">
        <v>6.15</v>
      </c>
      <c r="G1470">
        <v>3.4</v>
      </c>
      <c r="H1470">
        <v>9.7450000000000002E-3</v>
      </c>
      <c r="I1470">
        <v>0.47900127952755917</v>
      </c>
      <c r="J1470">
        <v>0.27311782047244093</v>
      </c>
      <c r="K1470">
        <v>0.75211910000000004</v>
      </c>
      <c r="L1470">
        <v>1.7538265306122454</v>
      </c>
      <c r="M1470">
        <v>0.48771039370078739</v>
      </c>
      <c r="N1470">
        <v>0.26993899379921266</v>
      </c>
    </row>
    <row r="1471" spans="1:14" x14ac:dyDescent="0.2">
      <c r="B1471">
        <v>100</v>
      </c>
      <c r="C1471">
        <v>7</v>
      </c>
      <c r="D1471">
        <v>6.3</v>
      </c>
      <c r="E1471">
        <v>3.45</v>
      </c>
      <c r="F1471">
        <v>6.3</v>
      </c>
      <c r="G1471">
        <v>3.45</v>
      </c>
      <c r="H1471">
        <v>9.7450000000000002E-3</v>
      </c>
      <c r="I1471">
        <v>0.49641950787401568</v>
      </c>
      <c r="J1471">
        <v>0.26676016712598438</v>
      </c>
      <c r="K1471">
        <v>0.76317967500000006</v>
      </c>
      <c r="L1471">
        <v>1.8609206660137108</v>
      </c>
    </row>
    <row r="1472" spans="1:14" x14ac:dyDescent="0.2">
      <c r="A1472">
        <v>489334</v>
      </c>
      <c r="B1472">
        <v>100</v>
      </c>
      <c r="C1472">
        <v>6</v>
      </c>
      <c r="D1472">
        <v>2.4</v>
      </c>
      <c r="E1472">
        <v>1.2</v>
      </c>
      <c r="F1472">
        <v>2.4</v>
      </c>
      <c r="G1472">
        <v>1.2</v>
      </c>
      <c r="H1472">
        <v>3.5767E-2</v>
      </c>
      <c r="I1472">
        <v>0.7671599055118109</v>
      </c>
      <c r="J1472">
        <v>0.20713317448818905</v>
      </c>
      <c r="K1472">
        <v>0.97429307999999992</v>
      </c>
      <c r="L1472">
        <v>3.7037037037037019</v>
      </c>
      <c r="M1472">
        <v>0.73519490944881893</v>
      </c>
      <c r="N1472">
        <v>0.25939594305118124</v>
      </c>
    </row>
    <row r="1473" spans="1:14" x14ac:dyDescent="0.2">
      <c r="B1473">
        <v>100</v>
      </c>
      <c r="C1473">
        <v>6</v>
      </c>
      <c r="D1473">
        <v>2.35</v>
      </c>
      <c r="E1473">
        <v>1.25</v>
      </c>
      <c r="F1473">
        <v>2.35</v>
      </c>
      <c r="G1473">
        <v>1.25</v>
      </c>
      <c r="H1473">
        <v>3.5767E-2</v>
      </c>
      <c r="I1473">
        <v>0.70322991338582697</v>
      </c>
      <c r="J1473">
        <v>0.31165871161417341</v>
      </c>
      <c r="K1473">
        <v>1.0148886250000004</v>
      </c>
      <c r="L1473">
        <v>2.2564102564102555</v>
      </c>
    </row>
    <row r="1474" spans="1:14" x14ac:dyDescent="0.2">
      <c r="A1474">
        <v>489335</v>
      </c>
      <c r="B1474">
        <v>100</v>
      </c>
      <c r="C1474">
        <v>7</v>
      </c>
      <c r="D1474">
        <v>3.8</v>
      </c>
      <c r="E1474">
        <v>2.1</v>
      </c>
      <c r="F1474">
        <v>3.8</v>
      </c>
      <c r="G1474">
        <v>2.1</v>
      </c>
      <c r="H1474">
        <v>9.7450000000000002E-3</v>
      </c>
      <c r="I1474">
        <v>0.29610988188976373</v>
      </c>
      <c r="J1474">
        <v>0.16843426811023629</v>
      </c>
      <c r="K1474">
        <v>0.46454415000000004</v>
      </c>
      <c r="L1474">
        <v>1.7580144777662865</v>
      </c>
      <c r="M1474">
        <v>0.28740076771653544</v>
      </c>
      <c r="N1474">
        <v>0.15502223228346462</v>
      </c>
    </row>
    <row r="1475" spans="1:14" x14ac:dyDescent="0.2">
      <c r="B1475">
        <v>100</v>
      </c>
      <c r="C1475">
        <v>7</v>
      </c>
      <c r="D1475">
        <v>3.5</v>
      </c>
      <c r="E1475">
        <v>1.9</v>
      </c>
      <c r="F1475">
        <v>3.5</v>
      </c>
      <c r="G1475">
        <v>1.9</v>
      </c>
      <c r="H1475">
        <v>9.7450000000000002E-3</v>
      </c>
      <c r="I1475">
        <v>0.27869165354330711</v>
      </c>
      <c r="J1475">
        <v>0.14161019645669298</v>
      </c>
      <c r="K1475">
        <v>0.42030185000000009</v>
      </c>
      <c r="L1475">
        <v>1.9680196801968011</v>
      </c>
    </row>
    <row r="1476" spans="1:14" x14ac:dyDescent="0.2">
      <c r="A1476">
        <v>489336</v>
      </c>
      <c r="B1476">
        <v>100</v>
      </c>
      <c r="C1476">
        <v>7</v>
      </c>
      <c r="D1476">
        <v>2.85</v>
      </c>
      <c r="E1476">
        <v>1.55</v>
      </c>
      <c r="F1476">
        <v>2.85</v>
      </c>
      <c r="G1476">
        <v>1.55</v>
      </c>
      <c r="H1476">
        <v>9.7450000000000002E-3</v>
      </c>
      <c r="I1476">
        <v>0.22643696850393705</v>
      </c>
      <c r="J1476">
        <v>0.11644085649606296</v>
      </c>
      <c r="K1476">
        <v>0.34287782500000002</v>
      </c>
      <c r="L1476">
        <v>1.944652206432312</v>
      </c>
      <c r="M1476">
        <v>0.23079152559055122</v>
      </c>
      <c r="N1476">
        <v>0.11208629940944879</v>
      </c>
    </row>
    <row r="1477" spans="1:14" x14ac:dyDescent="0.2">
      <c r="B1477">
        <v>100</v>
      </c>
      <c r="C1477">
        <v>7</v>
      </c>
      <c r="D1477">
        <v>2.9</v>
      </c>
      <c r="E1477">
        <v>1.55</v>
      </c>
      <c r="F1477">
        <v>2.9</v>
      </c>
      <c r="G1477">
        <v>1.55</v>
      </c>
      <c r="H1477">
        <v>9.7450000000000002E-3</v>
      </c>
      <c r="I1477">
        <v>0.23514608267716536</v>
      </c>
      <c r="J1477">
        <v>0.10773174232283463</v>
      </c>
      <c r="K1477">
        <v>0.34287782499999997</v>
      </c>
      <c r="L1477">
        <v>2.182700080840744</v>
      </c>
    </row>
    <row r="1478" spans="1:14" x14ac:dyDescent="0.2">
      <c r="A1478">
        <v>489337</v>
      </c>
      <c r="B1478">
        <v>100</v>
      </c>
      <c r="C1478">
        <v>7</v>
      </c>
      <c r="D1478">
        <v>3.3</v>
      </c>
      <c r="E1478">
        <v>1.7</v>
      </c>
      <c r="F1478">
        <v>3.3</v>
      </c>
      <c r="G1478">
        <v>1.7</v>
      </c>
      <c r="H1478">
        <v>9.7450000000000002E-3</v>
      </c>
      <c r="I1478">
        <v>0.27869165354330705</v>
      </c>
      <c r="J1478">
        <v>9.7367896456692971E-2</v>
      </c>
      <c r="K1478">
        <v>0.37605955000000002</v>
      </c>
      <c r="L1478">
        <v>2.8622540250447206</v>
      </c>
      <c r="M1478">
        <v>0.27869165354330705</v>
      </c>
      <c r="N1478">
        <v>9.1837608956692934E-2</v>
      </c>
    </row>
    <row r="1479" spans="1:14" x14ac:dyDescent="0.2">
      <c r="B1479">
        <v>100</v>
      </c>
      <c r="C1479">
        <v>7</v>
      </c>
      <c r="D1479">
        <v>3.25</v>
      </c>
      <c r="E1479">
        <v>1.65</v>
      </c>
      <c r="F1479">
        <v>3.25</v>
      </c>
      <c r="G1479">
        <v>1.65</v>
      </c>
      <c r="H1479">
        <v>9.7450000000000002E-3</v>
      </c>
      <c r="I1479">
        <v>0.27869165354330711</v>
      </c>
      <c r="J1479">
        <v>8.6307321456692898E-2</v>
      </c>
      <c r="K1479">
        <v>0.364998975</v>
      </c>
      <c r="L1479">
        <v>3.2290615539858738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784"/>
  <sheetViews>
    <sheetView zoomScale="75" workbookViewId="0">
      <selection sqref="A1:XFD1048576"/>
    </sheetView>
  </sheetViews>
  <sheetFormatPr defaultRowHeight="12.75" x14ac:dyDescent="0.2"/>
  <cols>
    <col min="1" max="1" width="10.85546875" customWidth="1"/>
    <col min="2" max="2" width="14.5703125" customWidth="1"/>
    <col min="8" max="8" width="14.7109375" customWidth="1"/>
    <col min="17" max="17" width="10.28515625" style="14" customWidth="1"/>
    <col min="18" max="18" width="10.85546875" style="15" customWidth="1"/>
    <col min="19" max="19" width="11.85546875" customWidth="1"/>
  </cols>
  <sheetData>
    <row r="1" spans="1:29" ht="15" x14ac:dyDescent="0.2">
      <c r="C1" s="18" t="s">
        <v>0</v>
      </c>
      <c r="M1" s="2"/>
      <c r="N1" s="3"/>
      <c r="P1" s="4"/>
      <c r="Q1" s="2"/>
      <c r="R1" s="5"/>
      <c r="S1" s="4"/>
      <c r="T1" s="4"/>
      <c r="U1" s="4"/>
    </row>
    <row r="2" spans="1:29" ht="15" x14ac:dyDescent="0.2">
      <c r="A2" s="19" t="s">
        <v>18</v>
      </c>
      <c r="C2" s="18" t="s">
        <v>16</v>
      </c>
      <c r="H2" s="16" t="s">
        <v>17</v>
      </c>
      <c r="L2" s="11"/>
      <c r="M2" s="11"/>
      <c r="N2" s="27"/>
      <c r="O2" s="11"/>
      <c r="P2" s="12"/>
      <c r="Q2" s="28"/>
      <c r="R2" s="29"/>
      <c r="S2" s="12"/>
      <c r="T2" s="12"/>
      <c r="U2" s="12"/>
      <c r="V2" s="11"/>
      <c r="W2" s="11"/>
      <c r="X2" s="11"/>
      <c r="Y2" s="11"/>
      <c r="Z2" s="11"/>
      <c r="AA2" s="11"/>
      <c r="AB2" s="11"/>
      <c r="AC2" s="11"/>
    </row>
    <row r="3" spans="1:29" x14ac:dyDescent="0.2">
      <c r="A3" s="20">
        <f>2.27/(2.27-1)</f>
        <v>1.7874015748031495</v>
      </c>
      <c r="C3" s="4"/>
      <c r="M3" s="3"/>
      <c r="N3" s="3"/>
      <c r="O3" s="20"/>
      <c r="P3" s="35" t="s">
        <v>23</v>
      </c>
      <c r="Q3" s="36"/>
      <c r="R3" s="5"/>
      <c r="S3" s="4"/>
      <c r="T3" s="4"/>
      <c r="U3" s="4"/>
    </row>
    <row r="4" spans="1:29" x14ac:dyDescent="0.2">
      <c r="A4" s="20">
        <v>1.7874015748031495</v>
      </c>
      <c r="C4" s="4" t="s">
        <v>1</v>
      </c>
      <c r="M4" s="3"/>
      <c r="N4" s="3"/>
      <c r="P4" s="4"/>
      <c r="Q4" s="2"/>
      <c r="R4" s="5"/>
      <c r="S4" s="4"/>
      <c r="T4" s="4"/>
      <c r="U4" s="4"/>
    </row>
    <row r="5" spans="1:29" x14ac:dyDescent="0.2">
      <c r="A5">
        <v>1</v>
      </c>
      <c r="B5">
        <v>0</v>
      </c>
      <c r="C5" s="4">
        <v>5</v>
      </c>
      <c r="D5">
        <v>0</v>
      </c>
      <c r="M5" s="3"/>
      <c r="N5" s="3"/>
      <c r="P5" s="4"/>
      <c r="Q5" s="2"/>
      <c r="R5" s="5"/>
      <c r="S5" s="4"/>
      <c r="T5" s="4"/>
      <c r="U5" s="4"/>
    </row>
    <row r="6" spans="1:29" x14ac:dyDescent="0.2">
      <c r="A6">
        <v>2</v>
      </c>
      <c r="B6">
        <v>0</v>
      </c>
      <c r="C6" s="4">
        <v>6</v>
      </c>
      <c r="D6">
        <v>0</v>
      </c>
      <c r="M6" s="3"/>
      <c r="N6" s="3"/>
      <c r="P6" s="4"/>
      <c r="Q6" s="2"/>
      <c r="R6" s="5"/>
      <c r="S6" s="4"/>
      <c r="T6" s="4"/>
      <c r="U6" s="4"/>
    </row>
    <row r="7" spans="1:29" x14ac:dyDescent="0.2">
      <c r="A7">
        <v>3</v>
      </c>
      <c r="B7">
        <v>0</v>
      </c>
      <c r="C7" s="4">
        <v>7</v>
      </c>
      <c r="D7">
        <v>0</v>
      </c>
      <c r="M7" s="3"/>
      <c r="N7" s="3"/>
      <c r="P7" s="4"/>
      <c r="Q7" s="2"/>
      <c r="R7" s="5"/>
      <c r="S7" s="1"/>
      <c r="T7" s="4"/>
      <c r="U7" s="4"/>
    </row>
    <row r="8" spans="1:29" x14ac:dyDescent="0.2">
      <c r="A8">
        <v>4</v>
      </c>
      <c r="B8">
        <v>0</v>
      </c>
      <c r="C8" s="4">
        <v>8</v>
      </c>
      <c r="D8">
        <v>0</v>
      </c>
      <c r="M8" s="3"/>
      <c r="N8" s="3"/>
      <c r="P8" s="4"/>
      <c r="Q8" s="2"/>
      <c r="R8" s="5"/>
      <c r="S8" s="4"/>
      <c r="T8" s="4"/>
      <c r="U8" s="4"/>
    </row>
    <row r="9" spans="1:29" x14ac:dyDescent="0.2">
      <c r="C9" s="4"/>
      <c r="F9" s="17"/>
      <c r="M9" s="3"/>
      <c r="N9" s="3"/>
      <c r="P9" s="4"/>
      <c r="Q9" s="2"/>
      <c r="R9" s="5"/>
      <c r="S9" s="4"/>
      <c r="T9" s="4"/>
      <c r="U9" s="4"/>
    </row>
    <row r="10" spans="1:29" x14ac:dyDescent="0.2">
      <c r="B10" s="10" t="s">
        <v>14</v>
      </c>
      <c r="C10" s="4"/>
      <c r="F10" s="10" t="s">
        <v>15</v>
      </c>
      <c r="H10" s="4"/>
      <c r="M10" s="3"/>
      <c r="N10" s="3"/>
      <c r="P10" s="4"/>
      <c r="Q10" s="2"/>
      <c r="R10" s="5"/>
      <c r="S10" s="4"/>
      <c r="T10" s="2"/>
      <c r="U10" s="5"/>
    </row>
    <row r="11" spans="1:29" s="10" customFormat="1" x14ac:dyDescent="0.2">
      <c r="A11" s="7" t="s">
        <v>2</v>
      </c>
      <c r="B11" s="7" t="s">
        <v>3</v>
      </c>
      <c r="C11" s="7" t="s">
        <v>4</v>
      </c>
      <c r="D11" s="7" t="s">
        <v>5</v>
      </c>
      <c r="E11" s="7" t="s">
        <v>6</v>
      </c>
      <c r="F11" s="7" t="s">
        <v>5</v>
      </c>
      <c r="G11" s="7" t="s">
        <v>6</v>
      </c>
      <c r="H11" s="7" t="s">
        <v>7</v>
      </c>
      <c r="I11" s="7" t="s">
        <v>8</v>
      </c>
      <c r="J11" s="7" t="s">
        <v>9</v>
      </c>
      <c r="K11" s="7" t="s">
        <v>10</v>
      </c>
      <c r="L11" s="7" t="s">
        <v>11</v>
      </c>
      <c r="M11" s="8" t="s">
        <v>12</v>
      </c>
      <c r="N11" s="8" t="s">
        <v>13</v>
      </c>
      <c r="O11" s="9"/>
      <c r="P11" s="7"/>
      <c r="Q11" s="2"/>
      <c r="R11" s="2"/>
      <c r="S11" s="7"/>
      <c r="T11" s="2"/>
      <c r="U11" s="2"/>
    </row>
    <row r="12" spans="1:29" x14ac:dyDescent="0.2">
      <c r="A12" s="6"/>
      <c r="B12" s="6"/>
      <c r="C12" s="7"/>
      <c r="D12" s="6"/>
      <c r="E12" s="6"/>
      <c r="F12" s="6"/>
      <c r="G12" s="6"/>
      <c r="H12" s="7"/>
      <c r="I12" s="6"/>
      <c r="J12" s="6"/>
      <c r="K12" s="6"/>
      <c r="L12" s="6"/>
      <c r="M12" s="8"/>
      <c r="N12" s="8"/>
      <c r="O12" s="11"/>
      <c r="P12" s="12"/>
      <c r="Q12" s="2"/>
      <c r="R12" s="5"/>
      <c r="S12" s="4"/>
      <c r="T12" s="4"/>
      <c r="U12" s="4"/>
    </row>
    <row r="13" spans="1:29" x14ac:dyDescent="0.2">
      <c r="A13" s="10" t="s">
        <v>22</v>
      </c>
      <c r="C13" s="4"/>
      <c r="H13" s="4"/>
      <c r="M13" s="3"/>
      <c r="N13" s="3"/>
      <c r="O13" s="11"/>
      <c r="P13" s="12"/>
      <c r="Q13" s="2"/>
      <c r="R13" s="5"/>
      <c r="S13" s="4"/>
      <c r="T13" s="4"/>
      <c r="U13" s="4"/>
    </row>
    <row r="14" spans="1:29" x14ac:dyDescent="0.2">
      <c r="A14" s="4">
        <v>488275</v>
      </c>
      <c r="B14" s="4">
        <v>100</v>
      </c>
      <c r="C14" s="4">
        <v>8</v>
      </c>
      <c r="D14" s="23">
        <v>0.65</v>
      </c>
      <c r="E14" s="23">
        <v>0.5</v>
      </c>
      <c r="F14" s="23">
        <f t="shared" ref="F14:G15" si="0">IF($C14=5,D14-$D$5,IF($C14=6,D14-$D$6,IF($C14=7,D14-$D$7,IF($C14=8,D14-$D$8,D14))))</f>
        <v>0.65</v>
      </c>
      <c r="G14" s="23">
        <f t="shared" si="0"/>
        <v>0.5</v>
      </c>
      <c r="H14" s="4">
        <f>IF(C14=1,32.7101,IF(C14=2,8.14893,IF(C14=3,1.42818,IF(C14=4,0.44041,IF(C14=5,0.123026,IF(C14=6,0.035767,IF(C14=7,0.009745,0.003863)))))))</f>
        <v>3.8630000000000001E-3</v>
      </c>
      <c r="I14" s="2">
        <f>H14*$A$3*(F14-G14)*1000/B14</f>
        <v>1.0357098425196852E-2</v>
      </c>
      <c r="J14" s="4">
        <f>2.27*($A$3*G14-($A$3-1)*F14)*H14*1000/B14</f>
        <v>3.3487951574803151E-2</v>
      </c>
      <c r="K14" s="4">
        <f>(I14+J14)</f>
        <v>4.3845050000000003E-2</v>
      </c>
      <c r="L14" s="13">
        <f>(I14/J14)</f>
        <v>0.30927835051546393</v>
      </c>
      <c r="M14" s="3">
        <f>AVERAGE(I14:I15)</f>
        <v>8.63091535433071E-3</v>
      </c>
      <c r="N14" s="3">
        <f>AVERAGE(J14:J15)</f>
        <v>3.7406387145669295E-2</v>
      </c>
      <c r="O14" s="11"/>
      <c r="P14" s="4"/>
      <c r="Q14" s="2"/>
      <c r="R14" s="3"/>
      <c r="S14" s="4"/>
      <c r="U14" s="4"/>
      <c r="V14" s="2"/>
      <c r="W14" s="5"/>
    </row>
    <row r="15" spans="1:29" x14ac:dyDescent="0.2">
      <c r="A15" s="4"/>
      <c r="B15" s="4">
        <v>100</v>
      </c>
      <c r="C15" s="4">
        <v>8</v>
      </c>
      <c r="D15" s="23">
        <v>0.65</v>
      </c>
      <c r="E15" s="23">
        <v>0.55000000000000004</v>
      </c>
      <c r="F15" s="23">
        <f t="shared" si="0"/>
        <v>0.65</v>
      </c>
      <c r="G15" s="23">
        <f t="shared" si="0"/>
        <v>0.55000000000000004</v>
      </c>
      <c r="H15" s="4">
        <f>IF(C15=1,32.7101,IF(C15=2,8.14893,IF(C15=3,1.42818,IF(C15=4,0.44041,IF(C15=5,0.123026,IF(C15=6,0.035767,IF(C15=7,0.009745,0.003863)))))))</f>
        <v>3.8630000000000001E-3</v>
      </c>
      <c r="I15" s="2">
        <f>H15*$A$3*(F15-G15)*1000/B15</f>
        <v>6.9047322834645663E-3</v>
      </c>
      <c r="J15" s="4">
        <f>2.27*($A$3*G15-($A$3-1)*F15)*H15*1000/B15</f>
        <v>4.1324822716535446E-2</v>
      </c>
      <c r="K15" s="4">
        <f>(I15+J15)</f>
        <v>4.8229555000000014E-2</v>
      </c>
      <c r="L15" s="13">
        <f>(I15/J15)</f>
        <v>0.16708437761069334</v>
      </c>
      <c r="M15" s="3"/>
      <c r="N15" s="3"/>
      <c r="O15" s="11"/>
      <c r="P15" s="4"/>
      <c r="Q15" s="2"/>
      <c r="R15" s="3"/>
      <c r="S15" s="4"/>
      <c r="U15" s="4"/>
      <c r="V15" s="2"/>
      <c r="W15" s="3"/>
    </row>
    <row r="16" spans="1:29" x14ac:dyDescent="0.2">
      <c r="A16" s="4">
        <v>488276</v>
      </c>
      <c r="B16" s="4">
        <v>100</v>
      </c>
      <c r="C16" s="4">
        <v>8</v>
      </c>
      <c r="D16" s="23">
        <v>0.95</v>
      </c>
      <c r="E16" s="23">
        <v>0.65</v>
      </c>
      <c r="F16" s="23">
        <f t="shared" ref="F16:F79" si="1">IF($C16=5,D16-$D$5,IF($C16=6,D16-$D$6,IF($C16=7,D16-$D$7,IF($C16=8,D16-$D$8,D16))))</f>
        <v>0.95</v>
      </c>
      <c r="G16" s="23">
        <f t="shared" ref="G16:G79" si="2">IF($C16=5,E16-$D$5,IF($C16=6,E16-$D$6,IF($C16=7,E16-$D$7,IF($C16=8,E16-$D$8,E16))))</f>
        <v>0.65</v>
      </c>
      <c r="H16" s="4">
        <f t="shared" ref="H16:H79" si="3">IF(C16=1,32.7101,IF(C16=2,8.14893,IF(C16=3,1.42818,IF(C16=4,0.44041,IF(C16=5,0.123026,IF(C16=6,0.035767,IF(C16=7,0.009745,0.003863)))))))</f>
        <v>3.8630000000000001E-3</v>
      </c>
      <c r="I16" s="2">
        <f t="shared" ref="I16:I79" si="4">H16*$A$3*(F16-G16)*1000/B16</f>
        <v>2.0714196850393694E-2</v>
      </c>
      <c r="J16" s="4">
        <f t="shared" ref="J16:J79" si="5">2.27*($A$3*G16-($A$3-1)*F16)*H16*1000/B16</f>
        <v>3.6284368149606297E-2</v>
      </c>
      <c r="K16" s="4">
        <f t="shared" ref="K16:K79" si="6">(I16+J16)</f>
        <v>5.6998564999999987E-2</v>
      </c>
      <c r="L16" s="13">
        <f t="shared" ref="L16:L79" si="7">(I16/J16)</f>
        <v>0.57088487155090373</v>
      </c>
      <c r="M16" s="3">
        <f t="shared" ref="M16" si="8">AVERAGE(I16:I17)</f>
        <v>2.0714196850393694E-2</v>
      </c>
      <c r="N16" s="3">
        <f t="shared" ref="N16" si="9">AVERAGE(J16:J17)</f>
        <v>3.6284368149606297E-2</v>
      </c>
      <c r="P16" s="4"/>
      <c r="Q16" s="2"/>
      <c r="R16" s="3"/>
    </row>
    <row r="17" spans="1:19" x14ac:dyDescent="0.2">
      <c r="A17" s="4"/>
      <c r="B17" s="4">
        <v>100</v>
      </c>
      <c r="C17" s="4">
        <v>8</v>
      </c>
      <c r="D17" s="23">
        <v>0.95</v>
      </c>
      <c r="E17" s="23">
        <v>0.65</v>
      </c>
      <c r="F17" s="23">
        <f t="shared" si="1"/>
        <v>0.95</v>
      </c>
      <c r="G17" s="23">
        <f t="shared" si="2"/>
        <v>0.65</v>
      </c>
      <c r="H17" s="4">
        <f t="shared" si="3"/>
        <v>3.8630000000000001E-3</v>
      </c>
      <c r="I17" s="2">
        <f t="shared" si="4"/>
        <v>2.0714196850393694E-2</v>
      </c>
      <c r="J17" s="4">
        <f t="shared" si="5"/>
        <v>3.6284368149606297E-2</v>
      </c>
      <c r="K17" s="4">
        <f t="shared" si="6"/>
        <v>5.6998564999999987E-2</v>
      </c>
      <c r="L17" s="13">
        <f t="shared" si="7"/>
        <v>0.57088487155090373</v>
      </c>
      <c r="M17" s="3"/>
      <c r="N17" s="3"/>
      <c r="P17" s="4"/>
      <c r="Q17" s="2"/>
      <c r="R17" s="3"/>
    </row>
    <row r="18" spans="1:19" x14ac:dyDescent="0.2">
      <c r="A18" s="4">
        <v>488277</v>
      </c>
      <c r="B18" s="4">
        <v>100</v>
      </c>
      <c r="C18" s="4">
        <v>8</v>
      </c>
      <c r="D18" s="23">
        <v>1.4</v>
      </c>
      <c r="E18" s="23">
        <v>1</v>
      </c>
      <c r="F18" s="23">
        <f t="shared" si="1"/>
        <v>1.4</v>
      </c>
      <c r="G18" s="23">
        <f t="shared" si="2"/>
        <v>1</v>
      </c>
      <c r="H18" s="4">
        <f t="shared" si="3"/>
        <v>3.8630000000000001E-3</v>
      </c>
      <c r="I18" s="2">
        <f t="shared" si="4"/>
        <v>2.7618929133858265E-2</v>
      </c>
      <c r="J18" s="4">
        <f t="shared" si="5"/>
        <v>6.0071170866141749E-2</v>
      </c>
      <c r="K18" s="4">
        <f t="shared" si="6"/>
        <v>8.7690100000000021E-2</v>
      </c>
      <c r="L18" s="13">
        <f t="shared" si="7"/>
        <v>0.45977011494252856</v>
      </c>
      <c r="M18" s="3">
        <f t="shared" ref="M18" si="10">AVERAGE(I18:I19)</f>
        <v>2.5892746062992127E-2</v>
      </c>
      <c r="N18" s="3">
        <f t="shared" ref="N18" si="11">AVERAGE(J18:J19)</f>
        <v>7.27586164370079E-2</v>
      </c>
      <c r="P18" s="4"/>
      <c r="Q18" s="2"/>
      <c r="R18" s="3"/>
    </row>
    <row r="19" spans="1:19" x14ac:dyDescent="0.2">
      <c r="A19" s="4"/>
      <c r="B19" s="4">
        <v>100</v>
      </c>
      <c r="C19" s="4">
        <v>8</v>
      </c>
      <c r="D19" s="23">
        <v>1.6</v>
      </c>
      <c r="E19" s="23">
        <v>1.25</v>
      </c>
      <c r="F19" s="23">
        <f t="shared" si="1"/>
        <v>1.6</v>
      </c>
      <c r="G19" s="23">
        <f t="shared" si="2"/>
        <v>1.25</v>
      </c>
      <c r="H19" s="4">
        <f t="shared" si="3"/>
        <v>3.8630000000000001E-3</v>
      </c>
      <c r="I19" s="2">
        <f t="shared" si="4"/>
        <v>2.4166562992125992E-2</v>
      </c>
      <c r="J19" s="4">
        <f t="shared" si="5"/>
        <v>8.5446062007874038E-2</v>
      </c>
      <c r="K19" s="4">
        <f t="shared" si="6"/>
        <v>0.10961262500000003</v>
      </c>
      <c r="L19" s="13">
        <f t="shared" si="7"/>
        <v>0.28282828282828282</v>
      </c>
      <c r="M19" s="3"/>
      <c r="N19" s="3"/>
      <c r="P19" s="4"/>
      <c r="Q19" s="2"/>
      <c r="R19" s="3"/>
    </row>
    <row r="20" spans="1:19" x14ac:dyDescent="0.2">
      <c r="A20" s="4">
        <v>488278</v>
      </c>
      <c r="B20" s="4">
        <v>100</v>
      </c>
      <c r="C20" s="4">
        <v>8</v>
      </c>
      <c r="D20" s="23">
        <v>3.6</v>
      </c>
      <c r="E20" s="23">
        <v>2.5499999999999998</v>
      </c>
      <c r="F20" s="23">
        <f t="shared" si="1"/>
        <v>3.6</v>
      </c>
      <c r="G20" s="23">
        <f t="shared" si="2"/>
        <v>2.5499999999999998</v>
      </c>
      <c r="H20" s="4">
        <f t="shared" si="3"/>
        <v>3.8630000000000001E-3</v>
      </c>
      <c r="I20" s="2">
        <f t="shared" si="4"/>
        <v>7.2499688976377971E-2</v>
      </c>
      <c r="J20" s="4">
        <f t="shared" si="5"/>
        <v>0.15111006602362204</v>
      </c>
      <c r="K20" s="4">
        <f t="shared" si="6"/>
        <v>0.22360975500000002</v>
      </c>
      <c r="L20" s="13">
        <f t="shared" si="7"/>
        <v>0.47978067169294053</v>
      </c>
      <c r="M20" s="3">
        <f t="shared" ref="M20" si="12">AVERAGE(I20:I21)</f>
        <v>7.7678238188976401E-2</v>
      </c>
      <c r="N20" s="3">
        <f t="shared" ref="N20" si="13">AVERAGE(J20:J21)</f>
        <v>0.14593151681102362</v>
      </c>
      <c r="P20" s="4"/>
      <c r="Q20" s="2"/>
      <c r="R20" s="3"/>
      <c r="S20" s="4"/>
    </row>
    <row r="21" spans="1:19" x14ac:dyDescent="0.2">
      <c r="A21" s="4"/>
      <c r="B21" s="4">
        <v>100</v>
      </c>
      <c r="C21" s="4">
        <v>8</v>
      </c>
      <c r="D21" s="23">
        <v>3.75</v>
      </c>
      <c r="E21" s="23">
        <v>2.5499999999999998</v>
      </c>
      <c r="F21" s="23">
        <f t="shared" si="1"/>
        <v>3.75</v>
      </c>
      <c r="G21" s="23">
        <f t="shared" si="2"/>
        <v>2.5499999999999998</v>
      </c>
      <c r="H21" s="4">
        <f t="shared" si="3"/>
        <v>3.8630000000000001E-3</v>
      </c>
      <c r="I21" s="2">
        <f t="shared" si="4"/>
        <v>8.2856787401574816E-2</v>
      </c>
      <c r="J21" s="4">
        <f t="shared" si="5"/>
        <v>0.1407529675984252</v>
      </c>
      <c r="K21" s="4">
        <f t="shared" si="6"/>
        <v>0.22360975500000002</v>
      </c>
      <c r="L21" s="13">
        <f t="shared" si="7"/>
        <v>0.58866813833701259</v>
      </c>
      <c r="M21" s="3"/>
      <c r="N21" s="3"/>
      <c r="P21" s="4"/>
      <c r="Q21" s="2"/>
      <c r="R21" s="3"/>
      <c r="S21" s="4"/>
    </row>
    <row r="22" spans="1:19" x14ac:dyDescent="0.2">
      <c r="A22" s="4">
        <v>488279</v>
      </c>
      <c r="B22" s="4">
        <v>100</v>
      </c>
      <c r="C22" s="4">
        <v>8</v>
      </c>
      <c r="D22" s="23">
        <v>3.6</v>
      </c>
      <c r="E22" s="23">
        <v>2.4500000000000002</v>
      </c>
      <c r="F22" s="23">
        <f t="shared" si="1"/>
        <v>3.6</v>
      </c>
      <c r="G22" s="23">
        <f t="shared" si="2"/>
        <v>2.4500000000000002</v>
      </c>
      <c r="H22" s="4">
        <f t="shared" si="3"/>
        <v>3.8630000000000001E-3</v>
      </c>
      <c r="I22" s="2">
        <f t="shared" si="4"/>
        <v>7.9404421259842511E-2</v>
      </c>
      <c r="J22" s="4">
        <f t="shared" si="5"/>
        <v>0.13543632374015752</v>
      </c>
      <c r="K22" s="4">
        <f t="shared" si="6"/>
        <v>0.21484074500000003</v>
      </c>
      <c r="L22" s="13">
        <f t="shared" si="7"/>
        <v>0.58628600560795285</v>
      </c>
      <c r="M22" s="3">
        <f t="shared" ref="M22" si="14">AVERAGE(I22:I23)</f>
        <v>7.5952055118110234E-2</v>
      </c>
      <c r="N22" s="3">
        <f t="shared" ref="N22" si="15">AVERAGE(J22:J23)</f>
        <v>0.14546544738188977</v>
      </c>
      <c r="P22" s="4"/>
      <c r="Q22" s="2"/>
      <c r="R22" s="3"/>
      <c r="S22" s="4"/>
    </row>
    <row r="23" spans="1:19" x14ac:dyDescent="0.2">
      <c r="A23" s="4"/>
      <c r="B23" s="4">
        <v>100</v>
      </c>
      <c r="C23" s="4">
        <v>8</v>
      </c>
      <c r="D23" s="23">
        <v>3.65</v>
      </c>
      <c r="E23" s="23">
        <v>2.6</v>
      </c>
      <c r="F23" s="23">
        <f t="shared" si="1"/>
        <v>3.65</v>
      </c>
      <c r="G23" s="23">
        <f t="shared" si="2"/>
        <v>2.6</v>
      </c>
      <c r="H23" s="4">
        <f t="shared" si="3"/>
        <v>3.8630000000000001E-3</v>
      </c>
      <c r="I23" s="2">
        <f t="shared" si="4"/>
        <v>7.2499688976377943E-2</v>
      </c>
      <c r="J23" s="4">
        <f t="shared" si="5"/>
        <v>0.15549457102362202</v>
      </c>
      <c r="K23" s="4">
        <f t="shared" si="6"/>
        <v>0.22799425999999995</v>
      </c>
      <c r="L23" s="13">
        <f t="shared" si="7"/>
        <v>0.46625222024866786</v>
      </c>
      <c r="M23" s="3"/>
      <c r="N23" s="3"/>
      <c r="P23" s="4"/>
      <c r="Q23" s="2"/>
      <c r="R23" s="3"/>
      <c r="S23" s="4"/>
    </row>
    <row r="24" spans="1:19" x14ac:dyDescent="0.2">
      <c r="A24" s="4">
        <v>488280</v>
      </c>
      <c r="B24" s="4">
        <v>100</v>
      </c>
      <c r="C24" s="4">
        <v>8</v>
      </c>
      <c r="D24" s="23">
        <v>6.2</v>
      </c>
      <c r="E24" s="23">
        <v>4.0999999999999996</v>
      </c>
      <c r="F24" s="23">
        <f t="shared" si="1"/>
        <v>6.2</v>
      </c>
      <c r="G24" s="23">
        <f t="shared" si="2"/>
        <v>4.0999999999999996</v>
      </c>
      <c r="H24" s="4">
        <f t="shared" si="3"/>
        <v>3.8630000000000001E-3</v>
      </c>
      <c r="I24" s="2">
        <f t="shared" si="4"/>
        <v>0.14499937795275594</v>
      </c>
      <c r="J24" s="4">
        <f t="shared" si="5"/>
        <v>0.21453003204724411</v>
      </c>
      <c r="K24" s="4">
        <f t="shared" si="6"/>
        <v>0.35952941000000005</v>
      </c>
      <c r="L24" s="13">
        <f t="shared" si="7"/>
        <v>0.67589314451239146</v>
      </c>
      <c r="M24" s="3">
        <f t="shared" ref="M24" si="16">AVERAGE(I24:I25)</f>
        <v>0.15363029330708666</v>
      </c>
      <c r="N24" s="3">
        <f t="shared" ref="N24" si="17">AVERAGE(J24:J25)</f>
        <v>0.20370686419291339</v>
      </c>
      <c r="P24" s="4"/>
      <c r="Q24" s="2"/>
      <c r="R24" s="3"/>
      <c r="S24" s="4"/>
    </row>
    <row r="25" spans="1:19" x14ac:dyDescent="0.2">
      <c r="A25" s="4"/>
      <c r="B25" s="4">
        <v>100</v>
      </c>
      <c r="C25" s="4">
        <v>8</v>
      </c>
      <c r="D25" s="23">
        <v>6.4</v>
      </c>
      <c r="E25" s="23">
        <v>4.05</v>
      </c>
      <c r="F25" s="23">
        <f t="shared" si="1"/>
        <v>6.4</v>
      </c>
      <c r="G25" s="23">
        <f t="shared" si="2"/>
        <v>4.05</v>
      </c>
      <c r="H25" s="4">
        <f t="shared" si="3"/>
        <v>3.8630000000000001E-3</v>
      </c>
      <c r="I25" s="2">
        <f t="shared" si="4"/>
        <v>0.16226120866141736</v>
      </c>
      <c r="J25" s="4">
        <f t="shared" si="5"/>
        <v>0.19288369633858266</v>
      </c>
      <c r="K25" s="4">
        <f t="shared" si="6"/>
        <v>0.35514490500000001</v>
      </c>
      <c r="L25" s="13">
        <f t="shared" si="7"/>
        <v>0.84123858958296072</v>
      </c>
      <c r="M25" s="3"/>
      <c r="N25" s="3"/>
      <c r="P25" s="4"/>
      <c r="Q25" s="2"/>
      <c r="R25" s="3"/>
      <c r="S25" s="4"/>
    </row>
    <row r="26" spans="1:19" x14ac:dyDescent="0.2">
      <c r="A26" s="4">
        <v>488281</v>
      </c>
      <c r="B26" s="4">
        <v>100</v>
      </c>
      <c r="C26" s="4">
        <v>6</v>
      </c>
      <c r="D26" s="23">
        <v>3.4</v>
      </c>
      <c r="E26" s="23">
        <v>1.9</v>
      </c>
      <c r="F26" s="23">
        <f t="shared" si="1"/>
        <v>3.4</v>
      </c>
      <c r="G26" s="23">
        <f t="shared" si="2"/>
        <v>1.9</v>
      </c>
      <c r="H26" s="4">
        <f t="shared" si="3"/>
        <v>3.5767E-2</v>
      </c>
      <c r="I26" s="2">
        <f t="shared" si="4"/>
        <v>0.95894988188976371</v>
      </c>
      <c r="J26" s="4">
        <f t="shared" si="5"/>
        <v>0.58368082811023636</v>
      </c>
      <c r="K26" s="4">
        <f t="shared" si="6"/>
        <v>1.5426307100000001</v>
      </c>
      <c r="L26" s="13">
        <f t="shared" si="7"/>
        <v>1.6429353778751363</v>
      </c>
      <c r="M26" s="3">
        <f t="shared" ref="M26" si="18">AVERAGE(I26:I27)</f>
        <v>0.95894988188976371</v>
      </c>
      <c r="N26" s="3">
        <f t="shared" ref="N26" si="19">AVERAGE(J26:J27)</f>
        <v>0.58368082811023636</v>
      </c>
      <c r="P26" s="4"/>
      <c r="Q26" s="2"/>
      <c r="R26" s="3"/>
      <c r="S26" s="4"/>
    </row>
    <row r="27" spans="1:19" x14ac:dyDescent="0.2">
      <c r="B27" s="4">
        <v>100</v>
      </c>
      <c r="C27" s="4">
        <v>6</v>
      </c>
      <c r="D27" s="23">
        <v>3.4</v>
      </c>
      <c r="E27" s="23">
        <v>1.9</v>
      </c>
      <c r="F27" s="23">
        <f t="shared" si="1"/>
        <v>3.4</v>
      </c>
      <c r="G27" s="23">
        <f t="shared" si="2"/>
        <v>1.9</v>
      </c>
      <c r="H27" s="4">
        <f t="shared" si="3"/>
        <v>3.5767E-2</v>
      </c>
      <c r="I27" s="2">
        <f t="shared" si="4"/>
        <v>0.95894988188976371</v>
      </c>
      <c r="J27" s="4">
        <f t="shared" si="5"/>
        <v>0.58368082811023636</v>
      </c>
      <c r="K27" s="4">
        <f t="shared" si="6"/>
        <v>1.5426307100000001</v>
      </c>
      <c r="L27" s="13">
        <f t="shared" si="7"/>
        <v>1.6429353778751363</v>
      </c>
      <c r="M27" s="3"/>
      <c r="N27" s="3"/>
      <c r="P27" s="4"/>
      <c r="Q27" s="2"/>
      <c r="R27" s="3"/>
      <c r="S27" s="4"/>
    </row>
    <row r="28" spans="1:19" x14ac:dyDescent="0.2">
      <c r="A28" s="4">
        <v>488282</v>
      </c>
      <c r="B28" s="4">
        <v>100</v>
      </c>
      <c r="C28" s="4">
        <v>6</v>
      </c>
      <c r="D28" s="23">
        <v>2.9</v>
      </c>
      <c r="E28" s="23">
        <v>1.6</v>
      </c>
      <c r="F28" s="23">
        <f t="shared" si="1"/>
        <v>2.9</v>
      </c>
      <c r="G28" s="23">
        <f t="shared" si="2"/>
        <v>1.6</v>
      </c>
      <c r="H28" s="4">
        <f t="shared" si="3"/>
        <v>3.5767E-2</v>
      </c>
      <c r="I28" s="2">
        <f t="shared" si="4"/>
        <v>0.83108989763779517</v>
      </c>
      <c r="J28" s="4">
        <f t="shared" si="5"/>
        <v>0.46796754236220489</v>
      </c>
      <c r="K28" s="4">
        <f t="shared" si="6"/>
        <v>1.2990574400000001</v>
      </c>
      <c r="L28" s="13">
        <f t="shared" si="7"/>
        <v>1.7759562841530045</v>
      </c>
      <c r="M28" s="3">
        <f t="shared" ref="M28" si="20">AVERAGE(I28:I29)</f>
        <v>0.83108989763779517</v>
      </c>
      <c r="N28" s="3">
        <f t="shared" ref="N28" si="21">AVERAGE(J28:J29)</f>
        <v>0.46796754236220489</v>
      </c>
      <c r="P28" s="4"/>
      <c r="Q28" s="2"/>
      <c r="R28" s="3"/>
      <c r="S28" s="4"/>
    </row>
    <row r="29" spans="1:19" x14ac:dyDescent="0.2">
      <c r="A29" s="4"/>
      <c r="B29" s="4">
        <v>100</v>
      </c>
      <c r="C29" s="4">
        <v>6</v>
      </c>
      <c r="D29" s="23">
        <v>2.9</v>
      </c>
      <c r="E29" s="23">
        <v>1.6</v>
      </c>
      <c r="F29" s="23">
        <f t="shared" si="1"/>
        <v>2.9</v>
      </c>
      <c r="G29" s="23">
        <f t="shared" si="2"/>
        <v>1.6</v>
      </c>
      <c r="H29" s="4">
        <f t="shared" si="3"/>
        <v>3.5767E-2</v>
      </c>
      <c r="I29" s="2">
        <f t="shared" si="4"/>
        <v>0.83108989763779517</v>
      </c>
      <c r="J29" s="4">
        <f t="shared" si="5"/>
        <v>0.46796754236220489</v>
      </c>
      <c r="K29" s="4">
        <f t="shared" si="6"/>
        <v>1.2990574400000001</v>
      </c>
      <c r="L29" s="13">
        <f t="shared" si="7"/>
        <v>1.7759562841530045</v>
      </c>
      <c r="M29" s="3"/>
      <c r="N29" s="3"/>
      <c r="P29" s="4"/>
      <c r="Q29" s="2"/>
      <c r="R29" s="3"/>
      <c r="S29" s="4"/>
    </row>
    <row r="30" spans="1:19" x14ac:dyDescent="0.2">
      <c r="A30" s="4">
        <v>488283</v>
      </c>
      <c r="B30" s="4">
        <v>100</v>
      </c>
      <c r="C30" s="4">
        <v>7</v>
      </c>
      <c r="D30" s="23">
        <v>5.2</v>
      </c>
      <c r="E30" s="23">
        <v>2.8</v>
      </c>
      <c r="F30" s="23">
        <f t="shared" si="1"/>
        <v>5.2</v>
      </c>
      <c r="G30" s="23">
        <f t="shared" si="2"/>
        <v>2.8</v>
      </c>
      <c r="H30" s="4">
        <f t="shared" si="3"/>
        <v>9.7450000000000002E-3</v>
      </c>
      <c r="I30" s="2">
        <f t="shared" si="4"/>
        <v>0.41803748031496069</v>
      </c>
      <c r="J30" s="4">
        <f t="shared" si="5"/>
        <v>0.20135471968503932</v>
      </c>
      <c r="K30" s="4">
        <f t="shared" si="6"/>
        <v>0.61939220000000006</v>
      </c>
      <c r="L30" s="13">
        <f t="shared" si="7"/>
        <v>2.0761245674740492</v>
      </c>
      <c r="M30" s="3">
        <f t="shared" ref="M30" si="22">AVERAGE(I30:I31)</f>
        <v>0.41368292322834654</v>
      </c>
      <c r="N30" s="3">
        <f t="shared" ref="N30" si="23">AVERAGE(J30:J31)</f>
        <v>0.20570927677165346</v>
      </c>
      <c r="P30" s="4"/>
      <c r="Q30" s="2"/>
      <c r="R30" s="3"/>
    </row>
    <row r="31" spans="1:19" x14ac:dyDescent="0.2">
      <c r="A31" s="4"/>
      <c r="B31" s="4">
        <v>100</v>
      </c>
      <c r="C31" s="4">
        <v>7</v>
      </c>
      <c r="D31" s="23">
        <v>5.15</v>
      </c>
      <c r="E31" s="23">
        <v>2.8</v>
      </c>
      <c r="F31" s="23">
        <f t="shared" si="1"/>
        <v>5.15</v>
      </c>
      <c r="G31" s="23">
        <f t="shared" si="2"/>
        <v>2.8</v>
      </c>
      <c r="H31" s="4">
        <f t="shared" si="3"/>
        <v>9.7450000000000002E-3</v>
      </c>
      <c r="I31" s="2">
        <f t="shared" si="4"/>
        <v>0.4093283661417324</v>
      </c>
      <c r="J31" s="4">
        <f t="shared" si="5"/>
        <v>0.21006383385826763</v>
      </c>
      <c r="K31" s="4">
        <f t="shared" si="6"/>
        <v>0.61939220000000006</v>
      </c>
      <c r="L31" s="13">
        <f t="shared" si="7"/>
        <v>1.9485903814262038</v>
      </c>
      <c r="M31" s="3"/>
      <c r="N31" s="3"/>
      <c r="P31" s="4"/>
      <c r="Q31" s="2"/>
      <c r="R31" s="3"/>
    </row>
    <row r="32" spans="1:19" x14ac:dyDescent="0.2">
      <c r="A32" s="4">
        <v>488284</v>
      </c>
      <c r="B32" s="4">
        <v>100</v>
      </c>
      <c r="C32" s="4">
        <v>7</v>
      </c>
      <c r="D32" s="23">
        <v>4.5999999999999996</v>
      </c>
      <c r="E32" s="23">
        <v>2.4500000000000002</v>
      </c>
      <c r="F32" s="23">
        <f t="shared" si="1"/>
        <v>4.5999999999999996</v>
      </c>
      <c r="G32" s="23">
        <f t="shared" si="2"/>
        <v>2.4500000000000002</v>
      </c>
      <c r="H32" s="4">
        <f t="shared" si="3"/>
        <v>9.7450000000000002E-3</v>
      </c>
      <c r="I32" s="2">
        <f t="shared" si="4"/>
        <v>0.37449190944881883</v>
      </c>
      <c r="J32" s="4">
        <f t="shared" si="5"/>
        <v>0.16747626555118131</v>
      </c>
      <c r="K32" s="4">
        <f t="shared" si="6"/>
        <v>0.54196817500000016</v>
      </c>
      <c r="L32" s="13">
        <f t="shared" si="7"/>
        <v>2.2360894435777401</v>
      </c>
      <c r="M32" s="3">
        <f t="shared" ref="M32" si="24">AVERAGE(I32:I33)</f>
        <v>0.37013735236220469</v>
      </c>
      <c r="N32" s="3">
        <f t="shared" ref="N32" si="25">AVERAGE(J32:J33)</f>
        <v>0.17183082263779548</v>
      </c>
      <c r="P32" s="4"/>
      <c r="Q32" s="2"/>
      <c r="R32" s="3"/>
    </row>
    <row r="33" spans="1:18" x14ac:dyDescent="0.2">
      <c r="A33" s="4"/>
      <c r="B33" s="4">
        <v>100</v>
      </c>
      <c r="C33" s="4">
        <v>7</v>
      </c>
      <c r="D33" s="23">
        <v>4.55</v>
      </c>
      <c r="E33" s="23">
        <v>2.4500000000000002</v>
      </c>
      <c r="F33" s="23">
        <f t="shared" si="1"/>
        <v>4.55</v>
      </c>
      <c r="G33" s="23">
        <f t="shared" si="2"/>
        <v>2.4500000000000002</v>
      </c>
      <c r="H33" s="4">
        <f t="shared" si="3"/>
        <v>9.7450000000000002E-3</v>
      </c>
      <c r="I33" s="2">
        <f t="shared" si="4"/>
        <v>0.36578279527559049</v>
      </c>
      <c r="J33" s="4">
        <f t="shared" si="5"/>
        <v>0.17618537972440965</v>
      </c>
      <c r="K33" s="4">
        <f t="shared" si="6"/>
        <v>0.54196817500000016</v>
      </c>
      <c r="L33" s="13">
        <f t="shared" si="7"/>
        <v>2.0761245674740456</v>
      </c>
      <c r="M33" s="3"/>
      <c r="N33" s="3"/>
      <c r="P33" s="4"/>
      <c r="Q33" s="2"/>
      <c r="R33" s="3"/>
    </row>
    <row r="34" spans="1:18" x14ac:dyDescent="0.2">
      <c r="A34" s="4">
        <v>488285</v>
      </c>
      <c r="B34" s="4">
        <v>100</v>
      </c>
      <c r="C34" s="4">
        <v>7</v>
      </c>
      <c r="D34" s="23">
        <v>2.0499999999999998</v>
      </c>
      <c r="E34" s="23">
        <v>1.45</v>
      </c>
      <c r="F34" s="23">
        <f t="shared" si="1"/>
        <v>2.0499999999999998</v>
      </c>
      <c r="G34" s="23">
        <f t="shared" si="2"/>
        <v>1.45</v>
      </c>
      <c r="H34" s="4">
        <f t="shared" si="3"/>
        <v>9.7450000000000002E-3</v>
      </c>
      <c r="I34" s="2">
        <f t="shared" si="4"/>
        <v>0.10450937007874014</v>
      </c>
      <c r="J34" s="4">
        <f t="shared" si="5"/>
        <v>0.21624730492125988</v>
      </c>
      <c r="K34" s="4">
        <f t="shared" si="6"/>
        <v>0.32075667500000005</v>
      </c>
      <c r="L34" s="13">
        <f t="shared" si="7"/>
        <v>0.48328634716069258</v>
      </c>
      <c r="M34" s="3">
        <f t="shared" ref="M34" si="26">AVERAGE(I34:I35)</f>
        <v>0.12192759842519683</v>
      </c>
      <c r="N34" s="3">
        <f t="shared" ref="N34" si="27">AVERAGE(J34:J35)</f>
        <v>0.20435936407480315</v>
      </c>
      <c r="P34" s="4"/>
      <c r="Q34" s="2"/>
      <c r="R34" s="3"/>
    </row>
    <row r="35" spans="1:18" x14ac:dyDescent="0.2">
      <c r="A35" s="4"/>
      <c r="B35" s="4">
        <v>100</v>
      </c>
      <c r="C35" s="4">
        <v>7</v>
      </c>
      <c r="D35" s="23">
        <v>2.2999999999999998</v>
      </c>
      <c r="E35" s="23">
        <v>1.5</v>
      </c>
      <c r="F35" s="23">
        <f t="shared" si="1"/>
        <v>2.2999999999999998</v>
      </c>
      <c r="G35" s="23">
        <f t="shared" si="2"/>
        <v>1.5</v>
      </c>
      <c r="H35" s="4">
        <f t="shared" si="3"/>
        <v>9.7450000000000002E-3</v>
      </c>
      <c r="I35" s="2">
        <f t="shared" si="4"/>
        <v>0.13934582677165352</v>
      </c>
      <c r="J35" s="4">
        <f t="shared" si="5"/>
        <v>0.19247142322834646</v>
      </c>
      <c r="K35" s="4">
        <f t="shared" si="6"/>
        <v>0.33181724999999995</v>
      </c>
      <c r="L35" s="13">
        <f t="shared" si="7"/>
        <v>0.72398190045248856</v>
      </c>
      <c r="M35" s="3"/>
      <c r="N35" s="3"/>
      <c r="P35" s="4"/>
      <c r="Q35" s="2"/>
      <c r="R35" s="3"/>
    </row>
    <row r="36" spans="1:18" x14ac:dyDescent="0.2">
      <c r="A36" s="4">
        <v>488286</v>
      </c>
      <c r="B36" s="4">
        <v>100</v>
      </c>
      <c r="C36" s="4">
        <v>7</v>
      </c>
      <c r="D36" s="23">
        <v>2</v>
      </c>
      <c r="E36" s="23">
        <v>1.4</v>
      </c>
      <c r="F36" s="23">
        <f t="shared" si="1"/>
        <v>2</v>
      </c>
      <c r="G36" s="23">
        <f t="shared" si="2"/>
        <v>1.4</v>
      </c>
      <c r="H36" s="4">
        <f t="shared" si="3"/>
        <v>9.7450000000000002E-3</v>
      </c>
      <c r="I36" s="2">
        <f t="shared" si="4"/>
        <v>0.10450937007874017</v>
      </c>
      <c r="J36" s="4">
        <f t="shared" si="5"/>
        <v>0.20518672992125986</v>
      </c>
      <c r="K36" s="4">
        <f t="shared" si="6"/>
        <v>0.30969610000000003</v>
      </c>
      <c r="L36" s="13">
        <f t="shared" si="7"/>
        <v>0.50933786078098475</v>
      </c>
      <c r="M36" s="3">
        <f t="shared" ref="M36" si="28">AVERAGE(I36:I37)</f>
        <v>0.10886392716535434</v>
      </c>
      <c r="N36" s="3">
        <f t="shared" ref="N36" si="29">AVERAGE(J36:J37)</f>
        <v>0.20083217283464566</v>
      </c>
      <c r="P36" s="4"/>
      <c r="Q36" s="2"/>
      <c r="R36" s="3"/>
    </row>
    <row r="37" spans="1:18" x14ac:dyDescent="0.2">
      <c r="A37" s="4"/>
      <c r="B37" s="4">
        <v>100</v>
      </c>
      <c r="C37" s="4">
        <v>7</v>
      </c>
      <c r="D37" s="23">
        <v>2.0499999999999998</v>
      </c>
      <c r="E37" s="23">
        <v>1.4</v>
      </c>
      <c r="F37" s="23">
        <f t="shared" si="1"/>
        <v>2.0499999999999998</v>
      </c>
      <c r="G37" s="23">
        <f t="shared" si="2"/>
        <v>1.4</v>
      </c>
      <c r="H37" s="4">
        <f t="shared" si="3"/>
        <v>9.7450000000000002E-3</v>
      </c>
      <c r="I37" s="2">
        <f t="shared" si="4"/>
        <v>0.1132184842519685</v>
      </c>
      <c r="J37" s="4">
        <f t="shared" si="5"/>
        <v>0.19647761574803149</v>
      </c>
      <c r="K37" s="4">
        <f t="shared" si="6"/>
        <v>0.30969609999999997</v>
      </c>
      <c r="L37" s="13">
        <f t="shared" si="7"/>
        <v>0.57624113475177297</v>
      </c>
      <c r="M37" s="3"/>
      <c r="N37" s="3"/>
      <c r="P37" s="4"/>
      <c r="Q37" s="2"/>
      <c r="R37" s="3"/>
    </row>
    <row r="38" spans="1:18" x14ac:dyDescent="0.2">
      <c r="A38" s="4">
        <v>488287</v>
      </c>
      <c r="B38" s="4">
        <v>100</v>
      </c>
      <c r="C38" s="4">
        <v>7</v>
      </c>
      <c r="D38" s="23">
        <v>2.8</v>
      </c>
      <c r="E38" s="23">
        <v>1.8</v>
      </c>
      <c r="F38" s="23">
        <f t="shared" si="1"/>
        <v>2.8</v>
      </c>
      <c r="G38" s="23">
        <f t="shared" si="2"/>
        <v>1.8</v>
      </c>
      <c r="H38" s="4">
        <f t="shared" si="3"/>
        <v>9.7450000000000002E-3</v>
      </c>
      <c r="I38" s="2">
        <f t="shared" si="4"/>
        <v>0.17418228346456691</v>
      </c>
      <c r="J38" s="4">
        <f t="shared" si="5"/>
        <v>0.22399841653543315</v>
      </c>
      <c r="K38" s="4">
        <f t="shared" si="6"/>
        <v>0.39818070000000005</v>
      </c>
      <c r="L38" s="13">
        <f t="shared" si="7"/>
        <v>0.77760497667185036</v>
      </c>
      <c r="M38" s="3">
        <f t="shared" ref="M38" si="30">AVERAGE(I38:I39)</f>
        <v>0.17418228346456693</v>
      </c>
      <c r="N38" s="3">
        <f t="shared" ref="N38" si="31">AVERAGE(J38:J39)</f>
        <v>0.22952870403543313</v>
      </c>
      <c r="P38" s="4"/>
      <c r="Q38" s="2"/>
      <c r="R38" s="3"/>
    </row>
    <row r="39" spans="1:18" x14ac:dyDescent="0.2">
      <c r="A39" s="4"/>
      <c r="B39" s="4">
        <v>100</v>
      </c>
      <c r="C39" s="4">
        <v>7</v>
      </c>
      <c r="D39" s="23">
        <v>2.85</v>
      </c>
      <c r="E39" s="23">
        <v>1.85</v>
      </c>
      <c r="F39" s="23">
        <f t="shared" si="1"/>
        <v>2.85</v>
      </c>
      <c r="G39" s="23">
        <f t="shared" si="2"/>
        <v>1.85</v>
      </c>
      <c r="H39" s="4">
        <f t="shared" si="3"/>
        <v>9.7450000000000002E-3</v>
      </c>
      <c r="I39" s="2">
        <f t="shared" si="4"/>
        <v>0.17418228346456693</v>
      </c>
      <c r="J39" s="4">
        <f t="shared" si="5"/>
        <v>0.23505899153543314</v>
      </c>
      <c r="K39" s="4">
        <f t="shared" si="6"/>
        <v>0.40924127500000007</v>
      </c>
      <c r="L39" s="13">
        <f t="shared" si="7"/>
        <v>0.74101519081141143</v>
      </c>
      <c r="M39" s="3"/>
      <c r="N39" s="3"/>
      <c r="P39" s="4"/>
      <c r="Q39" s="2"/>
      <c r="R39" s="3"/>
    </row>
    <row r="40" spans="1:18" x14ac:dyDescent="0.2">
      <c r="A40" s="4">
        <v>488288</v>
      </c>
      <c r="B40" s="4">
        <v>100</v>
      </c>
      <c r="C40" s="4">
        <v>7</v>
      </c>
      <c r="D40" s="23">
        <v>4</v>
      </c>
      <c r="E40" s="23">
        <v>2.5499999999999998</v>
      </c>
      <c r="F40" s="23">
        <f t="shared" si="1"/>
        <v>4</v>
      </c>
      <c r="G40" s="23">
        <f t="shared" si="2"/>
        <v>2.5499999999999998</v>
      </c>
      <c r="H40" s="4">
        <f t="shared" si="3"/>
        <v>9.7450000000000002E-3</v>
      </c>
      <c r="I40" s="2">
        <f t="shared" si="4"/>
        <v>0.25256431102362209</v>
      </c>
      <c r="J40" s="4">
        <f t="shared" si="5"/>
        <v>0.31152501397637794</v>
      </c>
      <c r="K40" s="4">
        <f t="shared" si="6"/>
        <v>0.56408932500000009</v>
      </c>
      <c r="L40" s="13">
        <f t="shared" si="7"/>
        <v>0.81073525300531191</v>
      </c>
      <c r="M40" s="3">
        <f t="shared" ref="M40" si="32">AVERAGE(I40:I41)</f>
        <v>0.23514608267716539</v>
      </c>
      <c r="N40" s="3">
        <f t="shared" ref="N40" si="33">AVERAGE(J40:J41)</f>
        <v>0.26257979232283463</v>
      </c>
      <c r="P40" s="4"/>
      <c r="Q40" s="2"/>
      <c r="R40" s="3"/>
    </row>
    <row r="41" spans="1:18" x14ac:dyDescent="0.2">
      <c r="A41" s="4"/>
      <c r="B41" s="4">
        <v>100</v>
      </c>
      <c r="C41" s="4">
        <v>7</v>
      </c>
      <c r="D41" s="23">
        <v>3.2</v>
      </c>
      <c r="E41" s="23">
        <v>1.95</v>
      </c>
      <c r="F41" s="23">
        <f t="shared" si="1"/>
        <v>3.2</v>
      </c>
      <c r="G41" s="23">
        <f t="shared" si="2"/>
        <v>1.95</v>
      </c>
      <c r="H41" s="4">
        <f t="shared" si="3"/>
        <v>9.7450000000000002E-3</v>
      </c>
      <c r="I41" s="2">
        <f t="shared" si="4"/>
        <v>0.21772785433070868</v>
      </c>
      <c r="J41" s="4">
        <f t="shared" si="5"/>
        <v>0.21363457066929128</v>
      </c>
      <c r="K41" s="4">
        <f t="shared" si="6"/>
        <v>0.43136242499999999</v>
      </c>
      <c r="L41" s="13">
        <f t="shared" si="7"/>
        <v>1.0191602119853245</v>
      </c>
      <c r="M41" s="3"/>
      <c r="N41" s="3"/>
      <c r="P41" s="4"/>
      <c r="Q41" s="2"/>
      <c r="R41" s="3"/>
    </row>
    <row r="42" spans="1:18" x14ac:dyDescent="0.2">
      <c r="A42" s="12">
        <v>488289</v>
      </c>
      <c r="B42" s="4">
        <v>100</v>
      </c>
      <c r="C42" s="4">
        <v>7</v>
      </c>
      <c r="D42" s="23">
        <v>4.9000000000000004</v>
      </c>
      <c r="E42" s="23">
        <v>2.75</v>
      </c>
      <c r="F42" s="23">
        <f t="shared" si="1"/>
        <v>4.9000000000000004</v>
      </c>
      <c r="G42" s="23">
        <f t="shared" si="2"/>
        <v>2.75</v>
      </c>
      <c r="H42" s="4">
        <f t="shared" si="3"/>
        <v>9.7450000000000002E-3</v>
      </c>
      <c r="I42" s="2">
        <f t="shared" si="4"/>
        <v>0.37449190944881899</v>
      </c>
      <c r="J42" s="4">
        <f t="shared" si="5"/>
        <v>0.23383971555118108</v>
      </c>
      <c r="K42" s="4">
        <f t="shared" si="6"/>
        <v>0.60833162500000004</v>
      </c>
      <c r="L42" s="13">
        <f t="shared" si="7"/>
        <v>1.6014897579143395</v>
      </c>
      <c r="M42" s="3">
        <f t="shared" ref="M42" si="34">AVERAGE(I42:I43)</f>
        <v>0.46593760826771657</v>
      </c>
      <c r="N42" s="3">
        <f t="shared" ref="N42" si="35">AVERAGE(J42:J43)</f>
        <v>0.25299976673228347</v>
      </c>
      <c r="P42" s="4"/>
      <c r="Q42" s="2"/>
      <c r="R42" s="3"/>
    </row>
    <row r="43" spans="1:18" x14ac:dyDescent="0.2">
      <c r="A43" s="4"/>
      <c r="B43" s="4">
        <v>100</v>
      </c>
      <c r="C43" s="4">
        <v>7</v>
      </c>
      <c r="D43" s="23">
        <v>6.95</v>
      </c>
      <c r="E43" s="23">
        <v>3.75</v>
      </c>
      <c r="F43" s="23">
        <f t="shared" si="1"/>
        <v>6.95</v>
      </c>
      <c r="G43" s="23">
        <f t="shared" si="2"/>
        <v>3.75</v>
      </c>
      <c r="H43" s="4">
        <f t="shared" si="3"/>
        <v>9.7450000000000002E-3</v>
      </c>
      <c r="I43" s="2">
        <f t="shared" si="4"/>
        <v>0.55738330708661421</v>
      </c>
      <c r="J43" s="4">
        <f t="shared" si="5"/>
        <v>0.27215981791338584</v>
      </c>
      <c r="K43" s="4">
        <f t="shared" si="6"/>
        <v>0.82954312500000005</v>
      </c>
      <c r="L43" s="13">
        <f t="shared" si="7"/>
        <v>2.048</v>
      </c>
      <c r="M43" s="3"/>
      <c r="N43" s="3"/>
      <c r="P43" s="4"/>
      <c r="Q43" s="2"/>
      <c r="R43" s="3"/>
    </row>
    <row r="44" spans="1:18" x14ac:dyDescent="0.2">
      <c r="A44" s="4">
        <v>488290</v>
      </c>
      <c r="B44" s="4">
        <v>100</v>
      </c>
      <c r="C44" s="4">
        <v>6</v>
      </c>
      <c r="D44" s="23">
        <v>7</v>
      </c>
      <c r="E44" s="23">
        <v>3.35</v>
      </c>
      <c r="F44" s="23">
        <f t="shared" si="1"/>
        <v>7</v>
      </c>
      <c r="G44" s="23">
        <f t="shared" si="2"/>
        <v>3.35</v>
      </c>
      <c r="H44" s="4">
        <f t="shared" si="3"/>
        <v>3.5767E-2</v>
      </c>
      <c r="I44" s="2">
        <f t="shared" si="4"/>
        <v>2.3334447125984252</v>
      </c>
      <c r="J44" s="4">
        <f t="shared" si="5"/>
        <v>0.38645680240157582</v>
      </c>
      <c r="K44" s="4">
        <f t="shared" si="6"/>
        <v>2.719901515000001</v>
      </c>
      <c r="L44" s="13">
        <f t="shared" si="7"/>
        <v>6.0380479735318291</v>
      </c>
      <c r="M44" s="3">
        <f t="shared" ref="M44" si="36">AVERAGE(I44:I45)</f>
        <v>2.4772871948818898</v>
      </c>
      <c r="N44" s="3">
        <f t="shared" ref="N44" si="37">AVERAGE(J44:J45)</f>
        <v>0.42529427261811081</v>
      </c>
      <c r="P44" s="4"/>
      <c r="Q44" s="2"/>
      <c r="R44" s="3"/>
    </row>
    <row r="45" spans="1:18" x14ac:dyDescent="0.2">
      <c r="B45" s="4">
        <v>100</v>
      </c>
      <c r="C45" s="4">
        <v>6</v>
      </c>
      <c r="D45" s="23">
        <v>7.9</v>
      </c>
      <c r="E45" s="23">
        <v>3.8</v>
      </c>
      <c r="F45" s="23">
        <f t="shared" si="1"/>
        <v>7.9</v>
      </c>
      <c r="G45" s="23">
        <f t="shared" si="2"/>
        <v>3.8</v>
      </c>
      <c r="H45" s="4">
        <f t="shared" si="3"/>
        <v>3.5767E-2</v>
      </c>
      <c r="I45" s="2">
        <f t="shared" si="4"/>
        <v>2.6211296771653547</v>
      </c>
      <c r="J45" s="4">
        <f t="shared" si="5"/>
        <v>0.46413174283464576</v>
      </c>
      <c r="K45" s="4">
        <f t="shared" si="6"/>
        <v>3.0852614200000006</v>
      </c>
      <c r="L45" s="13">
        <f t="shared" si="7"/>
        <v>5.6473829201101928</v>
      </c>
      <c r="M45" s="3"/>
      <c r="N45" s="3"/>
      <c r="P45" s="4"/>
      <c r="Q45" s="2"/>
      <c r="R45" s="3"/>
    </row>
    <row r="46" spans="1:18" x14ac:dyDescent="0.2">
      <c r="A46" s="22">
        <v>488291</v>
      </c>
      <c r="B46" s="4">
        <v>100</v>
      </c>
      <c r="C46" s="4">
        <v>5</v>
      </c>
      <c r="D46" s="23">
        <v>3.1</v>
      </c>
      <c r="E46" s="23">
        <v>1.45</v>
      </c>
      <c r="F46" s="23">
        <f t="shared" si="1"/>
        <v>3.1</v>
      </c>
      <c r="G46" s="23">
        <f t="shared" si="2"/>
        <v>1.45</v>
      </c>
      <c r="H46" s="4">
        <f t="shared" si="3"/>
        <v>0.123026</v>
      </c>
      <c r="I46" s="2">
        <f t="shared" si="4"/>
        <v>3.6282982913385826</v>
      </c>
      <c r="J46" s="4">
        <f t="shared" si="5"/>
        <v>0.42110249866141808</v>
      </c>
      <c r="K46" s="4">
        <f t="shared" si="6"/>
        <v>4.0494007900000009</v>
      </c>
      <c r="L46" s="13">
        <f t="shared" si="7"/>
        <v>8.6161879895561206</v>
      </c>
      <c r="M46" s="3">
        <f t="shared" ref="M46" si="38">AVERAGE(I46:I47)</f>
        <v>3.133530342519685</v>
      </c>
      <c r="N46" s="3">
        <f t="shared" ref="N46" si="39">AVERAGE(J46:J47)</f>
        <v>0.28751515248031523</v>
      </c>
    </row>
    <row r="47" spans="1:18" x14ac:dyDescent="0.2">
      <c r="A47" s="22"/>
      <c r="B47" s="4">
        <v>100</v>
      </c>
      <c r="C47" s="4">
        <v>5</v>
      </c>
      <c r="D47" s="23">
        <v>2.2000000000000002</v>
      </c>
      <c r="E47" s="23">
        <v>1</v>
      </c>
      <c r="F47" s="23">
        <f t="shared" si="1"/>
        <v>2.2000000000000002</v>
      </c>
      <c r="G47" s="23">
        <f t="shared" si="2"/>
        <v>1</v>
      </c>
      <c r="H47" s="4">
        <f t="shared" si="3"/>
        <v>0.123026</v>
      </c>
      <c r="I47" s="2">
        <f t="shared" si="4"/>
        <v>2.6387623937007874</v>
      </c>
      <c r="J47" s="4">
        <f t="shared" si="5"/>
        <v>0.15392780629921232</v>
      </c>
      <c r="K47" s="4">
        <f t="shared" si="6"/>
        <v>2.7926901999999996</v>
      </c>
      <c r="L47" s="13">
        <f t="shared" si="7"/>
        <v>17.142857142857174</v>
      </c>
      <c r="M47" s="3"/>
      <c r="N47" s="3"/>
    </row>
    <row r="48" spans="1:18" x14ac:dyDescent="0.2">
      <c r="A48" s="22">
        <v>488292</v>
      </c>
      <c r="B48" s="4">
        <v>100</v>
      </c>
      <c r="C48" s="4">
        <v>8</v>
      </c>
      <c r="D48" s="23">
        <v>3.15</v>
      </c>
      <c r="E48" s="23">
        <v>2.2999999999999998</v>
      </c>
      <c r="F48" s="23">
        <f t="shared" si="1"/>
        <v>3.15</v>
      </c>
      <c r="G48" s="23">
        <f t="shared" si="2"/>
        <v>2.2999999999999998</v>
      </c>
      <c r="H48" s="4">
        <f t="shared" si="3"/>
        <v>3.8630000000000001E-3</v>
      </c>
      <c r="I48" s="2">
        <f t="shared" si="4"/>
        <v>5.8690224409448828E-2</v>
      </c>
      <c r="J48" s="4">
        <f t="shared" si="5"/>
        <v>0.14299700559055117</v>
      </c>
      <c r="K48" s="4">
        <f t="shared" si="6"/>
        <v>0.20168723</v>
      </c>
      <c r="L48" s="13">
        <f t="shared" si="7"/>
        <v>0.41042974408498317</v>
      </c>
      <c r="M48" s="3">
        <f t="shared" ref="M48" si="40">AVERAGE(I48:I49)</f>
        <v>6.3868773622047251E-2</v>
      </c>
      <c r="N48" s="3">
        <f t="shared" ref="N48" si="41">AVERAGE(J48:J49)</f>
        <v>0.14001070887795275</v>
      </c>
    </row>
    <row r="49" spans="1:14" x14ac:dyDescent="0.2">
      <c r="A49" s="22"/>
      <c r="B49" s="4">
        <v>100</v>
      </c>
      <c r="C49" s="4">
        <v>8</v>
      </c>
      <c r="D49" s="23">
        <v>3.35</v>
      </c>
      <c r="E49" s="23">
        <v>2.35</v>
      </c>
      <c r="F49" s="23">
        <f t="shared" si="1"/>
        <v>3.35</v>
      </c>
      <c r="G49" s="23">
        <f t="shared" si="2"/>
        <v>2.35</v>
      </c>
      <c r="H49" s="4">
        <f t="shared" si="3"/>
        <v>3.8630000000000001E-3</v>
      </c>
      <c r="I49" s="2">
        <f t="shared" si="4"/>
        <v>6.904732283464568E-2</v>
      </c>
      <c r="J49" s="4">
        <f t="shared" si="5"/>
        <v>0.13702441216535435</v>
      </c>
      <c r="K49" s="4">
        <f t="shared" si="6"/>
        <v>0.20607173500000003</v>
      </c>
      <c r="L49" s="13">
        <f t="shared" si="7"/>
        <v>0.5039052658100277</v>
      </c>
      <c r="M49" s="3"/>
      <c r="N49" s="3"/>
    </row>
    <row r="50" spans="1:14" x14ac:dyDescent="0.2">
      <c r="A50" s="22">
        <v>488293</v>
      </c>
      <c r="B50" s="4">
        <v>100</v>
      </c>
      <c r="C50" s="4">
        <v>8</v>
      </c>
      <c r="D50" s="23">
        <v>2.75</v>
      </c>
      <c r="E50" s="23">
        <v>1.95</v>
      </c>
      <c r="F50" s="23">
        <f t="shared" si="1"/>
        <v>2.75</v>
      </c>
      <c r="G50" s="23">
        <f t="shared" si="2"/>
        <v>1.95</v>
      </c>
      <c r="H50" s="4">
        <f t="shared" si="3"/>
        <v>3.8630000000000001E-3</v>
      </c>
      <c r="I50" s="2">
        <f t="shared" si="4"/>
        <v>5.5237858267716537E-2</v>
      </c>
      <c r="J50" s="4">
        <f t="shared" si="5"/>
        <v>0.11575783673228346</v>
      </c>
      <c r="K50" s="4">
        <f t="shared" si="6"/>
        <v>0.170995695</v>
      </c>
      <c r="L50" s="13">
        <f t="shared" si="7"/>
        <v>0.47718461079630187</v>
      </c>
      <c r="M50" s="3">
        <f t="shared" ref="M50" si="42">AVERAGE(I50:I51)</f>
        <v>0.18002842716535436</v>
      </c>
      <c r="N50" s="3">
        <f t="shared" ref="N50" si="43">AVERAGE(J50:J51)</f>
        <v>0.1266809203346457</v>
      </c>
    </row>
    <row r="51" spans="1:14" x14ac:dyDescent="0.2">
      <c r="A51" s="22"/>
      <c r="B51" s="4">
        <v>100</v>
      </c>
      <c r="C51" s="4">
        <v>7</v>
      </c>
      <c r="D51" s="23">
        <v>3.75</v>
      </c>
      <c r="E51" s="23">
        <v>2</v>
      </c>
      <c r="F51" s="23">
        <f t="shared" si="1"/>
        <v>3.75</v>
      </c>
      <c r="G51" s="23">
        <f t="shared" si="2"/>
        <v>2</v>
      </c>
      <c r="H51" s="4">
        <f t="shared" si="3"/>
        <v>9.7450000000000002E-3</v>
      </c>
      <c r="I51" s="2">
        <f t="shared" si="4"/>
        <v>0.30481899606299218</v>
      </c>
      <c r="J51" s="4">
        <f t="shared" si="5"/>
        <v>0.13760400393700795</v>
      </c>
      <c r="K51" s="4">
        <f t="shared" si="6"/>
        <v>0.44242300000000012</v>
      </c>
      <c r="L51" s="13">
        <f t="shared" si="7"/>
        <v>2.2151898734177209</v>
      </c>
      <c r="M51" s="3"/>
      <c r="N51" s="3"/>
    </row>
    <row r="52" spans="1:14" x14ac:dyDescent="0.2">
      <c r="A52" s="22">
        <v>488294</v>
      </c>
      <c r="B52" s="4">
        <v>100</v>
      </c>
      <c r="C52" s="4">
        <v>7</v>
      </c>
      <c r="D52" s="23">
        <v>5</v>
      </c>
      <c r="E52" s="23">
        <v>2.8</v>
      </c>
      <c r="F52" s="23">
        <f t="shared" si="1"/>
        <v>5</v>
      </c>
      <c r="G52" s="23">
        <f t="shared" si="2"/>
        <v>2.8</v>
      </c>
      <c r="H52" s="4">
        <f t="shared" si="3"/>
        <v>9.7450000000000002E-3</v>
      </c>
      <c r="I52" s="2">
        <f t="shared" si="4"/>
        <v>0.38320102362204733</v>
      </c>
      <c r="J52" s="4">
        <f t="shared" si="5"/>
        <v>0.23619117637795273</v>
      </c>
      <c r="K52" s="4">
        <f t="shared" si="6"/>
        <v>0.61939220000000006</v>
      </c>
      <c r="L52" s="13">
        <f t="shared" si="7"/>
        <v>1.6224188790560479</v>
      </c>
      <c r="M52" s="3">
        <f t="shared" ref="M52" si="44">AVERAGE(I52:I53)</f>
        <v>0.33530089566929133</v>
      </c>
      <c r="N52" s="3">
        <f t="shared" ref="N52" si="45">AVERAGE(J52:J53)</f>
        <v>0.20666727933070866</v>
      </c>
    </row>
    <row r="53" spans="1:14" x14ac:dyDescent="0.2">
      <c r="A53" s="22"/>
      <c r="B53" s="4">
        <v>100</v>
      </c>
      <c r="C53" s="4">
        <v>7</v>
      </c>
      <c r="D53" s="23">
        <v>3.75</v>
      </c>
      <c r="E53" s="23">
        <v>2.1</v>
      </c>
      <c r="F53" s="23">
        <f t="shared" si="1"/>
        <v>3.75</v>
      </c>
      <c r="G53" s="23">
        <f t="shared" si="2"/>
        <v>2.1</v>
      </c>
      <c r="H53" s="4">
        <f t="shared" si="3"/>
        <v>9.7450000000000002E-3</v>
      </c>
      <c r="I53" s="2">
        <f t="shared" si="4"/>
        <v>0.28740076771653539</v>
      </c>
      <c r="J53" s="4">
        <f t="shared" si="5"/>
        <v>0.17714338228346463</v>
      </c>
      <c r="K53" s="4">
        <f t="shared" si="6"/>
        <v>0.46454415000000004</v>
      </c>
      <c r="L53" s="13">
        <f t="shared" si="7"/>
        <v>1.6224188790560463</v>
      </c>
      <c r="M53" s="3"/>
      <c r="N53" s="3"/>
    </row>
    <row r="54" spans="1:14" x14ac:dyDescent="0.2">
      <c r="A54" s="22">
        <v>488295</v>
      </c>
      <c r="B54" s="4">
        <v>100</v>
      </c>
      <c r="C54" s="4">
        <v>7</v>
      </c>
      <c r="D54" s="23">
        <v>4.2</v>
      </c>
      <c r="E54" s="23">
        <v>2.4</v>
      </c>
      <c r="F54" s="23">
        <f t="shared" si="1"/>
        <v>4.2</v>
      </c>
      <c r="G54" s="23">
        <f t="shared" si="2"/>
        <v>2.4</v>
      </c>
      <c r="H54" s="4">
        <f t="shared" si="3"/>
        <v>9.7450000000000002E-3</v>
      </c>
      <c r="I54" s="2">
        <f t="shared" si="4"/>
        <v>0.31352811023622057</v>
      </c>
      <c r="J54" s="4">
        <f t="shared" si="5"/>
        <v>0.21737948976377947</v>
      </c>
      <c r="K54" s="4">
        <f t="shared" si="6"/>
        <v>0.53090760000000004</v>
      </c>
      <c r="L54" s="13">
        <f t="shared" si="7"/>
        <v>1.4423076923076932</v>
      </c>
      <c r="M54" s="3">
        <f t="shared" ref="M54" si="46">AVERAGE(I54:I55)</f>
        <v>0.37449190944881894</v>
      </c>
      <c r="N54" s="3">
        <f t="shared" ref="N54" si="47">AVERAGE(J54:J55)</f>
        <v>0.20618827805118115</v>
      </c>
    </row>
    <row r="55" spans="1:14" x14ac:dyDescent="0.2">
      <c r="A55" s="22"/>
      <c r="B55" s="4">
        <v>100</v>
      </c>
      <c r="C55" s="4">
        <v>7</v>
      </c>
      <c r="D55" s="23">
        <v>5.35</v>
      </c>
      <c r="E55" s="23">
        <v>2.85</v>
      </c>
      <c r="F55" s="23">
        <f t="shared" si="1"/>
        <v>5.35</v>
      </c>
      <c r="G55" s="23">
        <f t="shared" si="2"/>
        <v>2.85</v>
      </c>
      <c r="H55" s="4">
        <f t="shared" si="3"/>
        <v>9.7450000000000002E-3</v>
      </c>
      <c r="I55" s="2">
        <f t="shared" si="4"/>
        <v>0.43545570866141725</v>
      </c>
      <c r="J55" s="4">
        <f t="shared" si="5"/>
        <v>0.19499706633858283</v>
      </c>
      <c r="K55" s="4">
        <f t="shared" si="6"/>
        <v>0.63045277500000008</v>
      </c>
      <c r="L55" s="13">
        <f t="shared" si="7"/>
        <v>2.2331397945511369</v>
      </c>
      <c r="M55" s="3"/>
      <c r="N55" s="3"/>
    </row>
    <row r="56" spans="1:14" x14ac:dyDescent="0.2">
      <c r="A56" s="22">
        <v>488296</v>
      </c>
      <c r="B56" s="4">
        <v>100</v>
      </c>
      <c r="C56" s="4">
        <v>7</v>
      </c>
      <c r="D56" s="23">
        <v>6.85</v>
      </c>
      <c r="E56" s="23">
        <v>3.6</v>
      </c>
      <c r="F56" s="23">
        <f t="shared" si="1"/>
        <v>6.85</v>
      </c>
      <c r="G56" s="23">
        <f t="shared" si="2"/>
        <v>3.6</v>
      </c>
      <c r="H56" s="4">
        <f t="shared" si="3"/>
        <v>9.7450000000000002E-3</v>
      </c>
      <c r="I56" s="2">
        <f t="shared" si="4"/>
        <v>0.56609242125984249</v>
      </c>
      <c r="J56" s="4">
        <f t="shared" si="5"/>
        <v>0.23026897874015761</v>
      </c>
      <c r="K56" s="4">
        <f t="shared" si="6"/>
        <v>0.79636140000000011</v>
      </c>
      <c r="L56" s="13">
        <f t="shared" si="7"/>
        <v>2.4583963691376685</v>
      </c>
      <c r="M56" s="3">
        <f t="shared" ref="M56" si="48">AVERAGE(I56:I57)</f>
        <v>0.50077406496062993</v>
      </c>
      <c r="N56" s="3">
        <f t="shared" ref="N56" si="49">AVERAGE(J56:J57)</f>
        <v>0.24581474753937008</v>
      </c>
    </row>
    <row r="57" spans="1:14" x14ac:dyDescent="0.2">
      <c r="A57" s="22"/>
      <c r="B57" s="4">
        <v>100</v>
      </c>
      <c r="C57" s="4">
        <v>7</v>
      </c>
      <c r="D57" s="23">
        <v>5.65</v>
      </c>
      <c r="E57" s="23">
        <v>3.15</v>
      </c>
      <c r="F57" s="23">
        <f t="shared" si="1"/>
        <v>5.65</v>
      </c>
      <c r="G57" s="23">
        <f t="shared" si="2"/>
        <v>3.15</v>
      </c>
      <c r="H57" s="4">
        <f t="shared" si="3"/>
        <v>9.7450000000000002E-3</v>
      </c>
      <c r="I57" s="2">
        <f t="shared" si="4"/>
        <v>0.43545570866141736</v>
      </c>
      <c r="J57" s="4">
        <f t="shared" si="5"/>
        <v>0.26136051633858254</v>
      </c>
      <c r="K57" s="4">
        <f t="shared" si="6"/>
        <v>0.69681622499999984</v>
      </c>
      <c r="L57" s="13">
        <f t="shared" si="7"/>
        <v>1.6661112962345894</v>
      </c>
      <c r="M57" s="3"/>
      <c r="N57" s="3"/>
    </row>
    <row r="58" spans="1:14" x14ac:dyDescent="0.2">
      <c r="A58" s="22">
        <v>488297</v>
      </c>
      <c r="B58" s="4">
        <v>100</v>
      </c>
      <c r="C58" s="4">
        <v>6</v>
      </c>
      <c r="D58" s="23">
        <v>3.25</v>
      </c>
      <c r="E58" s="23">
        <v>1.65</v>
      </c>
      <c r="F58" s="23">
        <f t="shared" si="1"/>
        <v>3.25</v>
      </c>
      <c r="G58" s="23">
        <f t="shared" si="2"/>
        <v>1.65</v>
      </c>
      <c r="H58" s="4">
        <f t="shared" si="3"/>
        <v>3.5767E-2</v>
      </c>
      <c r="I58" s="2">
        <f t="shared" si="4"/>
        <v>1.0228798740157481</v>
      </c>
      <c r="J58" s="4">
        <f t="shared" si="5"/>
        <v>0.31677311098425193</v>
      </c>
      <c r="K58" s="4">
        <f t="shared" si="6"/>
        <v>1.3396529850000001</v>
      </c>
      <c r="L58" s="13">
        <f t="shared" si="7"/>
        <v>3.2290615539858734</v>
      </c>
      <c r="M58" s="3">
        <f t="shared" ref="M58" si="50">AVERAGE(I58:I59)</f>
        <v>0.97493237992125981</v>
      </c>
      <c r="N58" s="3">
        <f t="shared" ref="N58" si="51">AVERAGE(J58:J59)</f>
        <v>0.34442283257874029</v>
      </c>
    </row>
    <row r="59" spans="1:14" x14ac:dyDescent="0.2">
      <c r="A59" s="22"/>
      <c r="B59" s="4">
        <v>100</v>
      </c>
      <c r="C59" s="4">
        <v>6</v>
      </c>
      <c r="D59" s="23">
        <v>3.05</v>
      </c>
      <c r="E59" s="23">
        <v>1.6</v>
      </c>
      <c r="F59" s="23">
        <f t="shared" si="1"/>
        <v>3.05</v>
      </c>
      <c r="G59" s="23">
        <f t="shared" si="2"/>
        <v>1.6</v>
      </c>
      <c r="H59" s="4">
        <f t="shared" si="3"/>
        <v>3.5767E-2</v>
      </c>
      <c r="I59" s="2">
        <f t="shared" si="4"/>
        <v>0.92698488582677152</v>
      </c>
      <c r="J59" s="4">
        <f t="shared" si="5"/>
        <v>0.3720725541732286</v>
      </c>
      <c r="K59" s="4">
        <f t="shared" si="6"/>
        <v>1.2990574400000001</v>
      </c>
      <c r="L59" s="13">
        <f t="shared" si="7"/>
        <v>2.4914089347079016</v>
      </c>
      <c r="M59" s="3"/>
      <c r="N59" s="3"/>
    </row>
    <row r="60" spans="1:14" x14ac:dyDescent="0.2">
      <c r="A60" s="22">
        <v>488298</v>
      </c>
      <c r="B60" s="4">
        <v>100</v>
      </c>
      <c r="C60" s="4">
        <v>6</v>
      </c>
      <c r="D60" s="23">
        <v>5.85</v>
      </c>
      <c r="E60" s="23">
        <v>2.9</v>
      </c>
      <c r="F60" s="23">
        <f t="shared" si="1"/>
        <v>5.85</v>
      </c>
      <c r="G60" s="23">
        <f t="shared" si="2"/>
        <v>2.9</v>
      </c>
      <c r="H60" s="4">
        <f t="shared" si="3"/>
        <v>3.5767E-2</v>
      </c>
      <c r="I60" s="2">
        <f t="shared" si="4"/>
        <v>1.8859347677165355</v>
      </c>
      <c r="J60" s="4">
        <f t="shared" si="5"/>
        <v>0.46860684228346533</v>
      </c>
      <c r="K60" s="4">
        <f t="shared" si="6"/>
        <v>2.354541610000001</v>
      </c>
      <c r="L60" s="13">
        <f t="shared" si="7"/>
        <v>4.0245566166439222</v>
      </c>
      <c r="M60" s="3">
        <f t="shared" ref="M60" si="52">AVERAGE(I60:I61)</f>
        <v>1.8379872736220473</v>
      </c>
      <c r="N60" s="3">
        <f t="shared" ref="N60" si="53">AVERAGE(J60:J61)</f>
        <v>0.47595879137795322</v>
      </c>
    </row>
    <row r="61" spans="1:14" x14ac:dyDescent="0.2">
      <c r="A61" s="22"/>
      <c r="B61" s="4">
        <v>100</v>
      </c>
      <c r="C61" s="4">
        <v>6</v>
      </c>
      <c r="D61" s="23">
        <v>5.6</v>
      </c>
      <c r="E61" s="23">
        <v>2.8</v>
      </c>
      <c r="F61" s="23">
        <f t="shared" si="1"/>
        <v>5.6</v>
      </c>
      <c r="G61" s="23">
        <f t="shared" si="2"/>
        <v>2.8</v>
      </c>
      <c r="H61" s="4">
        <f t="shared" si="3"/>
        <v>3.5767E-2</v>
      </c>
      <c r="I61" s="2">
        <f t="shared" si="4"/>
        <v>1.7900397795275591</v>
      </c>
      <c r="J61" s="4">
        <f t="shared" si="5"/>
        <v>0.4833107404724411</v>
      </c>
      <c r="K61" s="4">
        <f t="shared" si="6"/>
        <v>2.2733505200000002</v>
      </c>
      <c r="L61" s="13">
        <f t="shared" si="7"/>
        <v>3.7037037037037024</v>
      </c>
      <c r="M61" s="3"/>
      <c r="N61" s="3"/>
    </row>
    <row r="62" spans="1:14" x14ac:dyDescent="0.2">
      <c r="A62" s="22">
        <v>488299</v>
      </c>
      <c r="B62" s="4">
        <v>100</v>
      </c>
      <c r="C62" s="4">
        <v>5</v>
      </c>
      <c r="D62" s="23">
        <v>4</v>
      </c>
      <c r="E62" s="23">
        <v>1.9</v>
      </c>
      <c r="F62" s="23">
        <f t="shared" si="1"/>
        <v>4</v>
      </c>
      <c r="G62" s="23">
        <f t="shared" si="2"/>
        <v>1.9</v>
      </c>
      <c r="H62" s="4">
        <f t="shared" si="3"/>
        <v>0.123026</v>
      </c>
      <c r="I62" s="2">
        <f t="shared" si="4"/>
        <v>4.617834188976377</v>
      </c>
      <c r="J62" s="4">
        <f t="shared" si="5"/>
        <v>0.6882771910236225</v>
      </c>
      <c r="K62" s="4">
        <f t="shared" si="6"/>
        <v>5.306111379999999</v>
      </c>
      <c r="L62" s="13">
        <f t="shared" si="7"/>
        <v>6.7092651757188442</v>
      </c>
      <c r="M62" s="3">
        <f t="shared" ref="M62" si="54">AVERAGE(I62:I63)</f>
        <v>4.4529115393700778</v>
      </c>
      <c r="N62" s="3">
        <f t="shared" ref="N62" si="55">AVERAGE(J62:J63)</f>
        <v>0.71356533062992189</v>
      </c>
    </row>
    <row r="63" spans="1:14" x14ac:dyDescent="0.2">
      <c r="A63" s="22"/>
      <c r="B63" s="4">
        <v>100</v>
      </c>
      <c r="C63" s="4">
        <v>5</v>
      </c>
      <c r="D63" s="23">
        <v>3.75</v>
      </c>
      <c r="E63" s="23">
        <v>1.8</v>
      </c>
      <c r="F63" s="23">
        <f t="shared" si="1"/>
        <v>3.75</v>
      </c>
      <c r="G63" s="23">
        <f t="shared" si="2"/>
        <v>1.8</v>
      </c>
      <c r="H63" s="4">
        <f t="shared" si="3"/>
        <v>0.123026</v>
      </c>
      <c r="I63" s="2">
        <f t="shared" si="4"/>
        <v>4.2879888897637786</v>
      </c>
      <c r="J63" s="4">
        <f t="shared" si="5"/>
        <v>0.73885347023622128</v>
      </c>
      <c r="K63" s="4">
        <f t="shared" si="6"/>
        <v>5.0268423599999998</v>
      </c>
      <c r="L63" s="13">
        <f t="shared" si="7"/>
        <v>5.8035714285714208</v>
      </c>
      <c r="M63" s="3"/>
      <c r="N63" s="3"/>
    </row>
    <row r="64" spans="1:14" x14ac:dyDescent="0.2">
      <c r="A64" s="22">
        <v>488300</v>
      </c>
      <c r="B64" s="4">
        <v>100</v>
      </c>
      <c r="C64" s="4">
        <v>5</v>
      </c>
      <c r="D64" s="23">
        <v>3.25</v>
      </c>
      <c r="E64" s="23">
        <v>1.5</v>
      </c>
      <c r="F64" s="23">
        <f t="shared" si="1"/>
        <v>3.25</v>
      </c>
      <c r="G64" s="23">
        <f t="shared" si="2"/>
        <v>1.5</v>
      </c>
      <c r="H64" s="4">
        <f t="shared" si="3"/>
        <v>0.123026</v>
      </c>
      <c r="I64" s="2">
        <f t="shared" si="4"/>
        <v>3.8481951574803146</v>
      </c>
      <c r="J64" s="4">
        <f t="shared" si="5"/>
        <v>0.34084014251968447</v>
      </c>
      <c r="K64" s="4">
        <f t="shared" si="6"/>
        <v>4.1890352999999987</v>
      </c>
      <c r="L64" s="13">
        <f t="shared" si="7"/>
        <v>11.29032258064518</v>
      </c>
      <c r="M64" s="3">
        <f t="shared" ref="M64" si="56">AVERAGE(I64:I65)</f>
        <v>3.7932209409448814</v>
      </c>
      <c r="N64" s="3">
        <f t="shared" ref="N64" si="57">AVERAGE(J64:J65)</f>
        <v>0.53544886905511813</v>
      </c>
    </row>
    <row r="65" spans="1:14" x14ac:dyDescent="0.2">
      <c r="A65" s="22"/>
      <c r="B65" s="4">
        <v>100</v>
      </c>
      <c r="C65" s="4">
        <v>5</v>
      </c>
      <c r="D65" s="23">
        <v>3.3</v>
      </c>
      <c r="E65" s="23">
        <v>1.6</v>
      </c>
      <c r="F65" s="23">
        <f t="shared" si="1"/>
        <v>3.3</v>
      </c>
      <c r="G65" s="23">
        <f t="shared" si="2"/>
        <v>1.6</v>
      </c>
      <c r="H65" s="4">
        <f t="shared" si="3"/>
        <v>0.123026</v>
      </c>
      <c r="I65" s="2">
        <f t="shared" si="4"/>
        <v>3.7382467244094482</v>
      </c>
      <c r="J65" s="4">
        <f t="shared" si="5"/>
        <v>0.73005759559055183</v>
      </c>
      <c r="K65" s="4">
        <f t="shared" si="6"/>
        <v>4.4683043199999997</v>
      </c>
      <c r="L65" s="13">
        <f t="shared" si="7"/>
        <v>5.1204819277108378</v>
      </c>
      <c r="M65" s="3"/>
      <c r="N65" s="3"/>
    </row>
    <row r="66" spans="1:14" x14ac:dyDescent="0.2">
      <c r="A66" s="22">
        <v>488301</v>
      </c>
      <c r="B66" s="4">
        <v>100</v>
      </c>
      <c r="C66" s="4">
        <v>8</v>
      </c>
      <c r="D66" s="23">
        <v>4.45</v>
      </c>
      <c r="E66" s="23">
        <v>3.05</v>
      </c>
      <c r="F66" s="23">
        <f t="shared" si="1"/>
        <v>4.45</v>
      </c>
      <c r="G66" s="23">
        <f t="shared" si="2"/>
        <v>3.05</v>
      </c>
      <c r="H66" s="4">
        <f t="shared" si="3"/>
        <v>3.8630000000000001E-3</v>
      </c>
      <c r="I66" s="2">
        <f t="shared" si="4"/>
        <v>9.6666251968503966E-2</v>
      </c>
      <c r="J66" s="4">
        <f t="shared" si="5"/>
        <v>0.17078855303149598</v>
      </c>
      <c r="K66" s="4">
        <f t="shared" si="6"/>
        <v>0.26745480499999996</v>
      </c>
      <c r="L66" s="13">
        <f t="shared" si="7"/>
        <v>0.56599959571457492</v>
      </c>
      <c r="M66" s="3">
        <f t="shared" ref="M66" si="58">AVERAGE(I66:I67)</f>
        <v>0.15363029330708664</v>
      </c>
      <c r="N66" s="3">
        <f t="shared" ref="N66" si="59">AVERAGE(J66:J67)</f>
        <v>0.18616884419291335</v>
      </c>
    </row>
    <row r="67" spans="1:14" x14ac:dyDescent="0.2">
      <c r="A67" s="22"/>
      <c r="B67" s="4">
        <v>100</v>
      </c>
      <c r="C67" s="4">
        <v>8</v>
      </c>
      <c r="D67" s="23">
        <v>7.75</v>
      </c>
      <c r="E67" s="23">
        <v>4.7</v>
      </c>
      <c r="F67" s="23">
        <f t="shared" si="1"/>
        <v>7.75</v>
      </c>
      <c r="G67" s="23">
        <f t="shared" si="2"/>
        <v>4.7</v>
      </c>
      <c r="H67" s="4">
        <f t="shared" si="3"/>
        <v>3.8630000000000001E-3</v>
      </c>
      <c r="I67" s="2">
        <f t="shared" si="4"/>
        <v>0.21059433464566929</v>
      </c>
      <c r="J67" s="4">
        <f t="shared" si="5"/>
        <v>0.20154913535433075</v>
      </c>
      <c r="K67" s="4">
        <f t="shared" si="6"/>
        <v>0.41214347000000007</v>
      </c>
      <c r="L67" s="13">
        <f t="shared" si="7"/>
        <v>1.0448783830078792</v>
      </c>
      <c r="M67" s="3"/>
      <c r="N67" s="3"/>
    </row>
    <row r="68" spans="1:14" x14ac:dyDescent="0.2">
      <c r="A68" s="22">
        <v>488302</v>
      </c>
      <c r="B68" s="4">
        <v>100</v>
      </c>
      <c r="C68" s="4">
        <v>8</v>
      </c>
      <c r="D68" s="23">
        <v>5.4</v>
      </c>
      <c r="E68" s="23">
        <v>3.55</v>
      </c>
      <c r="F68" s="23">
        <f t="shared" si="1"/>
        <v>5.4</v>
      </c>
      <c r="G68" s="23">
        <f t="shared" si="2"/>
        <v>3.55</v>
      </c>
      <c r="H68" s="4">
        <f t="shared" si="3"/>
        <v>3.8630000000000001E-3</v>
      </c>
      <c r="I68" s="2">
        <f t="shared" si="4"/>
        <v>0.12773754724409453</v>
      </c>
      <c r="J68" s="4">
        <f t="shared" si="5"/>
        <v>0.18356230775590551</v>
      </c>
      <c r="K68" s="4">
        <f t="shared" si="6"/>
        <v>0.31129985500000001</v>
      </c>
      <c r="L68" s="13">
        <f t="shared" si="7"/>
        <v>0.69588113597893575</v>
      </c>
      <c r="M68" s="3">
        <f t="shared" ref="M68" si="60">AVERAGE(I68:I69)</f>
        <v>0.11565426574803152</v>
      </c>
      <c r="N68" s="3">
        <f t="shared" ref="N68" si="61">AVERAGE(J68:J69)</f>
        <v>0.19345333675196852</v>
      </c>
    </row>
    <row r="69" spans="1:14" x14ac:dyDescent="0.2">
      <c r="A69" s="22"/>
      <c r="B69" s="4">
        <v>100</v>
      </c>
      <c r="C69" s="4">
        <v>8</v>
      </c>
      <c r="D69" s="23">
        <v>5</v>
      </c>
      <c r="E69" s="23">
        <v>3.5</v>
      </c>
      <c r="F69" s="23">
        <f t="shared" si="1"/>
        <v>5</v>
      </c>
      <c r="G69" s="23">
        <f t="shared" si="2"/>
        <v>3.5</v>
      </c>
      <c r="H69" s="4">
        <f t="shared" si="3"/>
        <v>3.8630000000000001E-3</v>
      </c>
      <c r="I69" s="2">
        <f t="shared" si="4"/>
        <v>0.10357098425196851</v>
      </c>
      <c r="J69" s="4">
        <f t="shared" si="5"/>
        <v>0.2033443657480315</v>
      </c>
      <c r="K69" s="4">
        <f t="shared" si="6"/>
        <v>0.30691535000000003</v>
      </c>
      <c r="L69" s="13">
        <f t="shared" si="7"/>
        <v>0.50933786078098475</v>
      </c>
      <c r="M69" s="3"/>
      <c r="N69" s="3"/>
    </row>
    <row r="70" spans="1:14" x14ac:dyDescent="0.2">
      <c r="A70" s="22">
        <v>488303</v>
      </c>
      <c r="B70" s="4">
        <v>100</v>
      </c>
      <c r="C70" s="4">
        <v>7</v>
      </c>
      <c r="D70" s="23">
        <v>3.6</v>
      </c>
      <c r="E70" s="23">
        <v>2.15</v>
      </c>
      <c r="F70" s="23">
        <f t="shared" si="1"/>
        <v>3.6</v>
      </c>
      <c r="G70" s="23">
        <f t="shared" si="2"/>
        <v>2.15</v>
      </c>
      <c r="H70" s="4">
        <f t="shared" si="3"/>
        <v>9.7450000000000002E-3</v>
      </c>
      <c r="I70" s="2">
        <f t="shared" si="4"/>
        <v>0.25256431102362209</v>
      </c>
      <c r="J70" s="4">
        <f t="shared" si="5"/>
        <v>0.22304041397637789</v>
      </c>
      <c r="K70" s="4">
        <f t="shared" si="6"/>
        <v>0.47560472499999995</v>
      </c>
      <c r="L70" s="13">
        <f t="shared" si="7"/>
        <v>1.1323701679031632</v>
      </c>
      <c r="M70" s="3">
        <f t="shared" ref="M70" si="62">AVERAGE(I70:I71)</f>
        <v>0.26998253937007877</v>
      </c>
      <c r="N70" s="3">
        <f t="shared" ref="N70" si="63">AVERAGE(J70:J71)</f>
        <v>0.22774333562992125</v>
      </c>
    </row>
    <row r="71" spans="1:14" x14ac:dyDescent="0.2">
      <c r="A71" s="22"/>
      <c r="B71" s="4">
        <v>100</v>
      </c>
      <c r="C71" s="4">
        <v>7</v>
      </c>
      <c r="D71" s="23">
        <v>4</v>
      </c>
      <c r="E71" s="23">
        <v>2.35</v>
      </c>
      <c r="F71" s="23">
        <f t="shared" si="1"/>
        <v>4</v>
      </c>
      <c r="G71" s="23">
        <f t="shared" si="2"/>
        <v>2.35</v>
      </c>
      <c r="H71" s="4">
        <f t="shared" si="3"/>
        <v>9.7450000000000002E-3</v>
      </c>
      <c r="I71" s="2">
        <f t="shared" si="4"/>
        <v>0.28740076771653539</v>
      </c>
      <c r="J71" s="4">
        <f t="shared" si="5"/>
        <v>0.2324462572834646</v>
      </c>
      <c r="K71" s="4">
        <f t="shared" si="6"/>
        <v>0.51984702500000002</v>
      </c>
      <c r="L71" s="13">
        <f t="shared" si="7"/>
        <v>1.2364181341326335</v>
      </c>
      <c r="M71" s="3"/>
      <c r="N71" s="3"/>
    </row>
    <row r="72" spans="1:14" x14ac:dyDescent="0.2">
      <c r="A72" s="22">
        <v>488304</v>
      </c>
      <c r="B72" s="4">
        <v>100</v>
      </c>
      <c r="C72" s="4">
        <v>7</v>
      </c>
      <c r="D72" s="23">
        <v>4.4000000000000004</v>
      </c>
      <c r="E72" s="23">
        <v>2.5499999999999998</v>
      </c>
      <c r="F72" s="23">
        <f t="shared" si="1"/>
        <v>4.4000000000000004</v>
      </c>
      <c r="G72" s="23">
        <f t="shared" si="2"/>
        <v>2.5499999999999998</v>
      </c>
      <c r="H72" s="4">
        <f t="shared" si="3"/>
        <v>9.7450000000000002E-3</v>
      </c>
      <c r="I72" s="2">
        <f t="shared" si="4"/>
        <v>0.32223722440944896</v>
      </c>
      <c r="J72" s="4">
        <f t="shared" si="5"/>
        <v>0.24185210059055112</v>
      </c>
      <c r="K72" s="4">
        <f t="shared" si="6"/>
        <v>0.56408932500000009</v>
      </c>
      <c r="L72" s="13">
        <f t="shared" si="7"/>
        <v>1.3323730644580492</v>
      </c>
      <c r="M72" s="3">
        <f t="shared" ref="M72" si="64">AVERAGE(I72:I73)</f>
        <v>0.44416482283464576</v>
      </c>
      <c r="N72" s="3">
        <f t="shared" ref="N72" si="65">AVERAGE(J72:J73)</f>
        <v>0.25265140216535442</v>
      </c>
    </row>
    <row r="73" spans="1:14" x14ac:dyDescent="0.2">
      <c r="A73" s="22"/>
      <c r="B73" s="4">
        <v>100</v>
      </c>
      <c r="C73" s="4">
        <v>7</v>
      </c>
      <c r="D73" s="23">
        <v>7</v>
      </c>
      <c r="E73" s="23">
        <v>3.75</v>
      </c>
      <c r="F73" s="23">
        <f t="shared" si="1"/>
        <v>7</v>
      </c>
      <c r="G73" s="23">
        <f t="shared" si="2"/>
        <v>3.75</v>
      </c>
      <c r="H73" s="4">
        <f t="shared" si="3"/>
        <v>9.7450000000000002E-3</v>
      </c>
      <c r="I73" s="2">
        <f t="shared" si="4"/>
        <v>0.56609242125984249</v>
      </c>
      <c r="J73" s="4">
        <f t="shared" si="5"/>
        <v>0.26345070374015767</v>
      </c>
      <c r="K73" s="4">
        <f t="shared" si="6"/>
        <v>0.82954312500000016</v>
      </c>
      <c r="L73" s="13">
        <f t="shared" si="7"/>
        <v>2.1487603305785106</v>
      </c>
      <c r="M73" s="3"/>
      <c r="N73" s="3"/>
    </row>
    <row r="74" spans="1:14" x14ac:dyDescent="0.2">
      <c r="A74" s="22">
        <v>488305</v>
      </c>
      <c r="B74" s="4">
        <v>100</v>
      </c>
      <c r="C74" s="4">
        <v>6</v>
      </c>
      <c r="D74" s="23">
        <v>2.65</v>
      </c>
      <c r="E74" s="23">
        <v>1.35</v>
      </c>
      <c r="F74" s="23">
        <f t="shared" si="1"/>
        <v>2.65</v>
      </c>
      <c r="G74" s="23">
        <f t="shared" si="2"/>
        <v>1.35</v>
      </c>
      <c r="H74" s="4">
        <f t="shared" si="3"/>
        <v>3.5767E-2</v>
      </c>
      <c r="I74" s="2">
        <f t="shared" si="4"/>
        <v>0.83108989763779517</v>
      </c>
      <c r="J74" s="4">
        <f t="shared" si="5"/>
        <v>0.26498981736220484</v>
      </c>
      <c r="K74" s="4">
        <f t="shared" si="6"/>
        <v>1.0960797150000001</v>
      </c>
      <c r="L74" s="13">
        <f t="shared" si="7"/>
        <v>3.1363088057901067</v>
      </c>
      <c r="M74" s="3">
        <f t="shared" ref="M74" si="66">AVERAGE(I74:I75)</f>
        <v>0.81510739960629919</v>
      </c>
      <c r="N74" s="3">
        <f t="shared" ref="N74" si="67">AVERAGE(J74:J75)</f>
        <v>0.26067454289370096</v>
      </c>
    </row>
    <row r="75" spans="1:14" x14ac:dyDescent="0.2">
      <c r="A75" s="22"/>
      <c r="B75" s="4">
        <v>100</v>
      </c>
      <c r="C75" s="4">
        <v>6</v>
      </c>
      <c r="D75" s="23">
        <v>2.5499999999999998</v>
      </c>
      <c r="E75" s="23">
        <v>1.3</v>
      </c>
      <c r="F75" s="23">
        <f t="shared" si="1"/>
        <v>2.5499999999999998</v>
      </c>
      <c r="G75" s="23">
        <f t="shared" si="2"/>
        <v>1.3</v>
      </c>
      <c r="H75" s="4">
        <f t="shared" si="3"/>
        <v>3.5767E-2</v>
      </c>
      <c r="I75" s="2">
        <f t="shared" si="4"/>
        <v>0.79912490157480309</v>
      </c>
      <c r="J75" s="4">
        <f t="shared" si="5"/>
        <v>0.25635926842519707</v>
      </c>
      <c r="K75" s="4">
        <f t="shared" si="6"/>
        <v>1.0554841700000002</v>
      </c>
      <c r="L75" s="13">
        <f t="shared" si="7"/>
        <v>3.1172069825436379</v>
      </c>
      <c r="M75" s="3"/>
      <c r="N75" s="3"/>
    </row>
    <row r="76" spans="1:14" x14ac:dyDescent="0.2">
      <c r="A76" s="22">
        <v>488306</v>
      </c>
      <c r="B76" s="4">
        <v>100</v>
      </c>
      <c r="C76" s="4">
        <v>6</v>
      </c>
      <c r="D76" s="23">
        <v>4.3</v>
      </c>
      <c r="E76" s="23">
        <v>2.15</v>
      </c>
      <c r="F76" s="23">
        <f t="shared" si="1"/>
        <v>4.3</v>
      </c>
      <c r="G76" s="23">
        <f t="shared" si="2"/>
        <v>2.15</v>
      </c>
      <c r="H76" s="4">
        <f t="shared" si="3"/>
        <v>3.5767E-2</v>
      </c>
      <c r="I76" s="2">
        <f t="shared" si="4"/>
        <v>1.3744948307086617</v>
      </c>
      <c r="J76" s="4">
        <f t="shared" si="5"/>
        <v>0.37111360429133838</v>
      </c>
      <c r="K76" s="4">
        <f t="shared" si="6"/>
        <v>1.7456084350000001</v>
      </c>
      <c r="L76" s="13">
        <f t="shared" si="7"/>
        <v>3.7037037037037064</v>
      </c>
      <c r="M76" s="3">
        <f t="shared" ref="M76" si="68">AVERAGE(I76:I77)</f>
        <v>1.3425298346456693</v>
      </c>
      <c r="N76" s="3">
        <f t="shared" ref="N76" si="69">AVERAGE(J76:J77)</f>
        <v>0.42337637285433072</v>
      </c>
    </row>
    <row r="77" spans="1:14" x14ac:dyDescent="0.2">
      <c r="A77" s="22"/>
      <c r="B77" s="4">
        <v>100</v>
      </c>
      <c r="C77" s="4">
        <v>6</v>
      </c>
      <c r="D77" s="23">
        <v>4.25</v>
      </c>
      <c r="E77" s="23">
        <v>2.2000000000000002</v>
      </c>
      <c r="F77" s="23">
        <f t="shared" si="1"/>
        <v>4.25</v>
      </c>
      <c r="G77" s="23">
        <f t="shared" si="2"/>
        <v>2.2000000000000002</v>
      </c>
      <c r="H77" s="4">
        <f t="shared" si="3"/>
        <v>3.5767E-2</v>
      </c>
      <c r="I77" s="2">
        <f t="shared" si="4"/>
        <v>1.3105648385826771</v>
      </c>
      <c r="J77" s="4">
        <f t="shared" si="5"/>
        <v>0.47563914141732311</v>
      </c>
      <c r="K77" s="4">
        <f t="shared" si="6"/>
        <v>1.7862039800000002</v>
      </c>
      <c r="L77" s="13">
        <f t="shared" si="7"/>
        <v>2.7553763440860197</v>
      </c>
      <c r="M77" s="3"/>
      <c r="N77" s="3"/>
    </row>
    <row r="78" spans="1:14" x14ac:dyDescent="0.2">
      <c r="A78" s="22">
        <v>488307</v>
      </c>
      <c r="B78" s="4">
        <v>100</v>
      </c>
      <c r="C78" s="4">
        <v>5</v>
      </c>
      <c r="D78" s="23">
        <v>2.65</v>
      </c>
      <c r="E78" s="23">
        <v>1.3</v>
      </c>
      <c r="F78" s="23">
        <f t="shared" si="1"/>
        <v>2.65</v>
      </c>
      <c r="G78" s="23">
        <f t="shared" si="2"/>
        <v>1.3</v>
      </c>
      <c r="H78" s="4">
        <f t="shared" si="3"/>
        <v>0.123026</v>
      </c>
      <c r="I78" s="2">
        <f t="shared" si="4"/>
        <v>2.9686076929133858</v>
      </c>
      <c r="J78" s="4">
        <f t="shared" si="5"/>
        <v>0.66188956708661395</v>
      </c>
      <c r="K78" s="4">
        <f t="shared" si="6"/>
        <v>3.6304972599999998</v>
      </c>
      <c r="L78" s="13">
        <f t="shared" si="7"/>
        <v>4.4850498338870448</v>
      </c>
      <c r="M78" s="3">
        <f t="shared" ref="M78" si="70">AVERAGE(I78:I79)</f>
        <v>2.5837881771653541</v>
      </c>
      <c r="N78" s="3">
        <f t="shared" ref="N78" si="71">AVERAGE(J78:J79)</f>
        <v>0.62780555283464556</v>
      </c>
    </row>
    <row r="79" spans="1:14" x14ac:dyDescent="0.2">
      <c r="A79" s="22"/>
      <c r="B79" s="4">
        <v>100</v>
      </c>
      <c r="C79" s="4">
        <v>5</v>
      </c>
      <c r="D79" s="23">
        <v>2</v>
      </c>
      <c r="E79" s="23">
        <v>1</v>
      </c>
      <c r="F79" s="23">
        <f t="shared" si="1"/>
        <v>2</v>
      </c>
      <c r="G79" s="23">
        <f t="shared" si="2"/>
        <v>1</v>
      </c>
      <c r="H79" s="4">
        <f t="shared" si="3"/>
        <v>0.123026</v>
      </c>
      <c r="I79" s="2">
        <f t="shared" si="4"/>
        <v>2.1989686614173225</v>
      </c>
      <c r="J79" s="4">
        <f t="shared" si="5"/>
        <v>0.59372153858267729</v>
      </c>
      <c r="K79" s="4">
        <f t="shared" si="6"/>
        <v>2.7926902</v>
      </c>
      <c r="L79" s="13">
        <f t="shared" si="7"/>
        <v>3.7037037037037024</v>
      </c>
      <c r="M79" s="3"/>
      <c r="N79" s="3"/>
    </row>
    <row r="80" spans="1:14" x14ac:dyDescent="0.2">
      <c r="A80" s="22">
        <v>488308</v>
      </c>
      <c r="B80" s="4">
        <v>100</v>
      </c>
      <c r="C80" s="4">
        <v>5</v>
      </c>
      <c r="D80" s="23">
        <v>2.8</v>
      </c>
      <c r="E80" s="23">
        <v>1.4</v>
      </c>
      <c r="F80" s="23">
        <f t="shared" ref="F80:F143" si="72">IF($C80=5,D80-$D$5,IF($C80=6,D80-$D$6,IF($C80=7,D80-$D$7,IF($C80=8,D80-$D$8,D80))))</f>
        <v>2.8</v>
      </c>
      <c r="G80" s="23">
        <f t="shared" ref="G80:G143" si="73">IF($C80=5,E80-$D$5,IF($C80=6,E80-$D$6,IF($C80=7,E80-$D$7,IF($C80=8,E80-$D$8,E80))))</f>
        <v>1.4</v>
      </c>
      <c r="H80" s="4">
        <f t="shared" ref="H80:H143" si="74">IF(C80=1,32.7101,IF(C80=2,8.14893,IF(C80=3,1.42818,IF(C80=4,0.44041,IF(C80=5,0.123026,IF(C80=6,0.035767,IF(C80=7,0.009745,0.003863)))))))</f>
        <v>0.123026</v>
      </c>
      <c r="I80" s="2">
        <f t="shared" ref="I80:I143" si="75">H80*$A$3*(F80-G80)*1000/B80</f>
        <v>3.0785561259842513</v>
      </c>
      <c r="J80" s="4">
        <f t="shared" ref="J80:J143" si="76">2.27*($A$3*G80-($A$3-1)*F80)*H80*1000/B80</f>
        <v>0.83121015401574827</v>
      </c>
      <c r="K80" s="4">
        <f t="shared" ref="K80:K143" si="77">(I80+J80)</f>
        <v>3.9097662799999995</v>
      </c>
      <c r="L80" s="13">
        <f t="shared" ref="L80:L143" si="78">(I80/J80)</f>
        <v>3.7037037037037019</v>
      </c>
      <c r="M80" s="3">
        <f t="shared" ref="M80" si="79">AVERAGE(I80:I81)</f>
        <v>3.2434787755905505</v>
      </c>
      <c r="N80" s="3">
        <f t="shared" ref="N80" si="80">AVERAGE(J80:J81)</f>
        <v>0.80592201440944899</v>
      </c>
    </row>
    <row r="81" spans="1:14" x14ac:dyDescent="0.2">
      <c r="A81" s="22"/>
      <c r="B81" s="4">
        <v>100</v>
      </c>
      <c r="C81" s="4">
        <v>5</v>
      </c>
      <c r="D81" s="23">
        <v>3.05</v>
      </c>
      <c r="E81" s="23">
        <v>1.5</v>
      </c>
      <c r="F81" s="23">
        <f t="shared" si="72"/>
        <v>3.05</v>
      </c>
      <c r="G81" s="23">
        <f t="shared" si="73"/>
        <v>1.5</v>
      </c>
      <c r="H81" s="4">
        <f t="shared" si="74"/>
        <v>0.123026</v>
      </c>
      <c r="I81" s="2">
        <f t="shared" si="75"/>
        <v>3.4084014251968493</v>
      </c>
      <c r="J81" s="4">
        <f t="shared" si="76"/>
        <v>0.78063387480314961</v>
      </c>
      <c r="K81" s="4">
        <f t="shared" si="77"/>
        <v>4.1890352999999987</v>
      </c>
      <c r="L81" s="13">
        <f t="shared" si="78"/>
        <v>4.3661971830985902</v>
      </c>
      <c r="M81" s="3"/>
      <c r="N81" s="3"/>
    </row>
    <row r="82" spans="1:14" x14ac:dyDescent="0.2">
      <c r="A82" s="22">
        <v>488309</v>
      </c>
      <c r="B82" s="4">
        <v>100</v>
      </c>
      <c r="C82" s="4">
        <v>5</v>
      </c>
      <c r="D82" s="23">
        <v>4.3499999999999996</v>
      </c>
      <c r="E82" s="23">
        <v>2.1</v>
      </c>
      <c r="F82" s="23">
        <f t="shared" si="72"/>
        <v>4.3499999999999996</v>
      </c>
      <c r="G82" s="23">
        <f t="shared" si="73"/>
        <v>2.1</v>
      </c>
      <c r="H82" s="4">
        <f t="shared" si="74"/>
        <v>0.123026</v>
      </c>
      <c r="I82" s="2">
        <f t="shared" si="75"/>
        <v>4.9476794881889745</v>
      </c>
      <c r="J82" s="4">
        <f t="shared" si="76"/>
        <v>0.91696993181102515</v>
      </c>
      <c r="K82" s="4">
        <f t="shared" si="77"/>
        <v>5.8646494199999992</v>
      </c>
      <c r="L82" s="13">
        <f t="shared" si="78"/>
        <v>5.3956834532373987</v>
      </c>
      <c r="M82" s="3">
        <f t="shared" ref="M82" si="81">AVERAGE(I82:I83)</f>
        <v>5.1675763543307074</v>
      </c>
      <c r="N82" s="3">
        <f t="shared" ref="N82" si="82">AVERAGE(J82:J83)</f>
        <v>0.97634208566929159</v>
      </c>
    </row>
    <row r="83" spans="1:14" x14ac:dyDescent="0.2">
      <c r="A83" s="22"/>
      <c r="B83" s="4">
        <v>100</v>
      </c>
      <c r="C83" s="4">
        <v>5</v>
      </c>
      <c r="D83" s="23">
        <v>4.75</v>
      </c>
      <c r="E83" s="23">
        <v>2.2999999999999998</v>
      </c>
      <c r="F83" s="23">
        <f t="shared" si="72"/>
        <v>4.75</v>
      </c>
      <c r="G83" s="23">
        <f t="shared" si="73"/>
        <v>2.2999999999999998</v>
      </c>
      <c r="H83" s="4">
        <f t="shared" si="74"/>
        <v>0.123026</v>
      </c>
      <c r="I83" s="2">
        <f t="shared" si="75"/>
        <v>5.3874732204724411</v>
      </c>
      <c r="J83" s="4">
        <f t="shared" si="76"/>
        <v>1.035714239527558</v>
      </c>
      <c r="K83" s="4">
        <f t="shared" si="77"/>
        <v>6.4231874599999994</v>
      </c>
      <c r="L83" s="13">
        <f t="shared" si="78"/>
        <v>5.2016985138004301</v>
      </c>
      <c r="M83" s="3"/>
      <c r="N83" s="3"/>
    </row>
    <row r="84" spans="1:14" x14ac:dyDescent="0.2">
      <c r="A84" s="22">
        <v>488310</v>
      </c>
      <c r="B84" s="4">
        <v>100</v>
      </c>
      <c r="C84" s="4">
        <v>8</v>
      </c>
      <c r="D84" s="23">
        <v>6.3</v>
      </c>
      <c r="E84" s="23">
        <v>4</v>
      </c>
      <c r="F84" s="23">
        <f t="shared" si="72"/>
        <v>6.3</v>
      </c>
      <c r="G84" s="23">
        <f t="shared" si="73"/>
        <v>4</v>
      </c>
      <c r="H84" s="4">
        <f t="shared" si="74"/>
        <v>3.8630000000000001E-3</v>
      </c>
      <c r="I84" s="2">
        <f t="shared" si="75"/>
        <v>0.15880884251968502</v>
      </c>
      <c r="J84" s="4">
        <f t="shared" si="76"/>
        <v>0.19195155748031503</v>
      </c>
      <c r="K84" s="4">
        <f t="shared" si="77"/>
        <v>0.35076040000000008</v>
      </c>
      <c r="L84" s="13">
        <f t="shared" si="78"/>
        <v>0.82733812949640251</v>
      </c>
      <c r="M84" s="3">
        <f t="shared" ref="M84" si="83">AVERAGE(I84:I85)</f>
        <v>0.25794126181102361</v>
      </c>
      <c r="N84" s="3">
        <f t="shared" ref="N84" si="84">AVERAGE(J84:J85)</f>
        <v>0.19395331318897652</v>
      </c>
    </row>
    <row r="85" spans="1:14" x14ac:dyDescent="0.2">
      <c r="A85" s="22"/>
      <c r="B85" s="4">
        <v>100</v>
      </c>
      <c r="C85" s="4">
        <v>7</v>
      </c>
      <c r="D85" s="23">
        <v>4.55</v>
      </c>
      <c r="E85" s="23">
        <v>2.5</v>
      </c>
      <c r="F85" s="23">
        <f t="shared" si="72"/>
        <v>4.55</v>
      </c>
      <c r="G85" s="23">
        <f t="shared" si="73"/>
        <v>2.5</v>
      </c>
      <c r="H85" s="4">
        <f t="shared" si="74"/>
        <v>9.7450000000000002E-3</v>
      </c>
      <c r="I85" s="2">
        <f t="shared" si="75"/>
        <v>0.35707368110236215</v>
      </c>
      <c r="J85" s="4">
        <f t="shared" si="76"/>
        <v>0.19595506889763797</v>
      </c>
      <c r="K85" s="4">
        <f t="shared" si="77"/>
        <v>0.55302875000000018</v>
      </c>
      <c r="L85" s="13">
        <f t="shared" si="78"/>
        <v>1.8222222222222202</v>
      </c>
      <c r="M85" s="3"/>
      <c r="N85" s="3"/>
    </row>
    <row r="86" spans="1:14" x14ac:dyDescent="0.2">
      <c r="A86" s="22">
        <v>488311</v>
      </c>
      <c r="B86" s="4">
        <v>100</v>
      </c>
      <c r="C86" s="4">
        <v>8</v>
      </c>
      <c r="D86" s="23">
        <v>4.3</v>
      </c>
      <c r="E86" s="23">
        <v>2.95</v>
      </c>
      <c r="F86" s="23">
        <f t="shared" si="72"/>
        <v>4.3</v>
      </c>
      <c r="G86" s="23">
        <f t="shared" si="73"/>
        <v>2.95</v>
      </c>
      <c r="H86" s="4">
        <f t="shared" si="74"/>
        <v>3.8630000000000001E-3</v>
      </c>
      <c r="I86" s="2">
        <f t="shared" si="75"/>
        <v>9.3213885826771647E-2</v>
      </c>
      <c r="J86" s="4">
        <f t="shared" si="76"/>
        <v>0.16547190917322843</v>
      </c>
      <c r="K86" s="4">
        <f t="shared" si="77"/>
        <v>0.25868579500000011</v>
      </c>
      <c r="L86" s="13">
        <f t="shared" si="78"/>
        <v>0.56332151053619828</v>
      </c>
      <c r="M86" s="3">
        <f t="shared" ref="M86" si="85">AVERAGE(I86:I87)</f>
        <v>0.12946373031496064</v>
      </c>
      <c r="N86" s="3">
        <f t="shared" ref="N86" si="86">AVERAGE(J86:J87)</f>
        <v>0.17745161968503939</v>
      </c>
    </row>
    <row r="87" spans="1:14" x14ac:dyDescent="0.2">
      <c r="A87" s="22"/>
      <c r="B87" s="4">
        <v>100</v>
      </c>
      <c r="C87" s="4">
        <v>8</v>
      </c>
      <c r="D87" s="23">
        <v>6.45</v>
      </c>
      <c r="E87" s="23">
        <v>4.05</v>
      </c>
      <c r="F87" s="23">
        <f t="shared" si="72"/>
        <v>6.45</v>
      </c>
      <c r="G87" s="23">
        <f t="shared" si="73"/>
        <v>4.05</v>
      </c>
      <c r="H87" s="4">
        <f t="shared" si="74"/>
        <v>3.8630000000000001E-3</v>
      </c>
      <c r="I87" s="2">
        <f t="shared" si="75"/>
        <v>0.16571357480314963</v>
      </c>
      <c r="J87" s="4">
        <f t="shared" si="76"/>
        <v>0.18943133019685035</v>
      </c>
      <c r="K87" s="4">
        <f t="shared" si="77"/>
        <v>0.35514490499999996</v>
      </c>
      <c r="L87" s="13">
        <f t="shared" si="78"/>
        <v>0.87479496992892325</v>
      </c>
      <c r="M87" s="3"/>
      <c r="N87" s="3"/>
    </row>
    <row r="88" spans="1:14" x14ac:dyDescent="0.2">
      <c r="A88" s="22">
        <v>488312</v>
      </c>
      <c r="B88" s="4">
        <v>100</v>
      </c>
      <c r="C88" s="4">
        <v>8</v>
      </c>
      <c r="D88" s="23">
        <v>7.6</v>
      </c>
      <c r="E88" s="23">
        <v>4.5999999999999996</v>
      </c>
      <c r="F88" s="23">
        <f t="shared" si="72"/>
        <v>7.6</v>
      </c>
      <c r="G88" s="23">
        <f t="shared" si="73"/>
        <v>4.5999999999999996</v>
      </c>
      <c r="H88" s="4">
        <f t="shared" si="74"/>
        <v>3.8630000000000001E-3</v>
      </c>
      <c r="I88" s="2">
        <f t="shared" si="75"/>
        <v>0.20714196850393701</v>
      </c>
      <c r="J88" s="4">
        <f t="shared" si="76"/>
        <v>0.19623249149606295</v>
      </c>
      <c r="K88" s="4">
        <f t="shared" si="77"/>
        <v>0.40337445999999999</v>
      </c>
      <c r="L88" s="13">
        <f t="shared" si="78"/>
        <v>1.0555946516537653</v>
      </c>
      <c r="M88" s="3">
        <f t="shared" ref="M88" si="87">AVERAGE(I88:I89)</f>
        <v>0.21577288385826771</v>
      </c>
      <c r="N88" s="3">
        <f t="shared" ref="N88" si="88">AVERAGE(J88:J89)</f>
        <v>0.19417833364173231</v>
      </c>
    </row>
    <row r="89" spans="1:14" x14ac:dyDescent="0.2">
      <c r="A89" s="22"/>
      <c r="B89" s="4">
        <v>100</v>
      </c>
      <c r="C89" s="4">
        <v>8</v>
      </c>
      <c r="D89" s="23">
        <v>8</v>
      </c>
      <c r="E89" s="23">
        <v>4.75</v>
      </c>
      <c r="F89" s="23">
        <f t="shared" si="72"/>
        <v>8</v>
      </c>
      <c r="G89" s="23">
        <f t="shared" si="73"/>
        <v>4.75</v>
      </c>
      <c r="H89" s="4">
        <f t="shared" si="74"/>
        <v>3.8630000000000001E-3</v>
      </c>
      <c r="I89" s="2">
        <f t="shared" si="75"/>
        <v>0.22440379921259843</v>
      </c>
      <c r="J89" s="4">
        <f t="shared" si="76"/>
        <v>0.19212417578740168</v>
      </c>
      <c r="K89" s="4">
        <f t="shared" si="77"/>
        <v>0.41652797500000011</v>
      </c>
      <c r="L89" s="13">
        <f t="shared" si="78"/>
        <v>1.1680143755615446</v>
      </c>
      <c r="M89" s="3"/>
      <c r="N89" s="3"/>
    </row>
    <row r="90" spans="1:14" x14ac:dyDescent="0.2">
      <c r="A90" s="22">
        <v>488313</v>
      </c>
      <c r="B90" s="4">
        <v>100</v>
      </c>
      <c r="C90" s="4">
        <v>7</v>
      </c>
      <c r="D90" s="23">
        <v>3.4</v>
      </c>
      <c r="E90" s="23">
        <v>2</v>
      </c>
      <c r="F90" s="23">
        <f t="shared" si="72"/>
        <v>3.4</v>
      </c>
      <c r="G90" s="23">
        <f t="shared" si="73"/>
        <v>2</v>
      </c>
      <c r="H90" s="4">
        <f t="shared" si="74"/>
        <v>9.7450000000000002E-3</v>
      </c>
      <c r="I90" s="2">
        <f t="shared" si="75"/>
        <v>0.2438551968503937</v>
      </c>
      <c r="J90" s="4">
        <f t="shared" si="76"/>
        <v>0.19856780314960634</v>
      </c>
      <c r="K90" s="4">
        <f t="shared" si="77"/>
        <v>0.44242300000000001</v>
      </c>
      <c r="L90" s="13">
        <f t="shared" si="78"/>
        <v>1.2280701754385963</v>
      </c>
      <c r="M90" s="3">
        <f t="shared" ref="M90" si="89">AVERAGE(I90:I91)</f>
        <v>0.1785368405511811</v>
      </c>
      <c r="N90" s="3">
        <f t="shared" ref="N90" si="90">AVERAGE(J90:J91)</f>
        <v>0.18093184694881895</v>
      </c>
    </row>
    <row r="91" spans="1:14" x14ac:dyDescent="0.2">
      <c r="A91" s="22"/>
      <c r="B91" s="4">
        <v>100</v>
      </c>
      <c r="C91" s="4">
        <v>7</v>
      </c>
      <c r="D91" s="23">
        <v>1.9</v>
      </c>
      <c r="E91" s="23">
        <v>1.25</v>
      </c>
      <c r="F91" s="23">
        <f t="shared" si="72"/>
        <v>1.9</v>
      </c>
      <c r="G91" s="23">
        <f t="shared" si="73"/>
        <v>1.25</v>
      </c>
      <c r="H91" s="4">
        <f t="shared" si="74"/>
        <v>9.7450000000000002E-3</v>
      </c>
      <c r="I91" s="2">
        <f t="shared" si="75"/>
        <v>0.1132184842519685</v>
      </c>
      <c r="J91" s="4">
        <f t="shared" si="76"/>
        <v>0.16329589074803155</v>
      </c>
      <c r="K91" s="4">
        <f t="shared" si="77"/>
        <v>0.27651437500000003</v>
      </c>
      <c r="L91" s="13">
        <f t="shared" si="78"/>
        <v>0.69333333333333302</v>
      </c>
      <c r="M91" s="3"/>
      <c r="N91" s="3"/>
    </row>
    <row r="92" spans="1:14" x14ac:dyDescent="0.2">
      <c r="A92" s="22">
        <v>488314</v>
      </c>
      <c r="B92" s="4">
        <v>100</v>
      </c>
      <c r="C92" s="4">
        <v>8</v>
      </c>
      <c r="D92" s="23">
        <v>5.0999999999999996</v>
      </c>
      <c r="E92" s="23">
        <v>3.6</v>
      </c>
      <c r="F92" s="23">
        <f t="shared" si="72"/>
        <v>5.0999999999999996</v>
      </c>
      <c r="G92" s="23">
        <f t="shared" si="73"/>
        <v>3.6</v>
      </c>
      <c r="H92" s="4">
        <f t="shared" si="74"/>
        <v>3.8630000000000001E-3</v>
      </c>
      <c r="I92" s="2">
        <f t="shared" si="75"/>
        <v>0.10357098425196848</v>
      </c>
      <c r="J92" s="4">
        <f t="shared" si="76"/>
        <v>0.21211337574803157</v>
      </c>
      <c r="K92" s="4">
        <f t="shared" si="77"/>
        <v>0.31568436000000005</v>
      </c>
      <c r="L92" s="13">
        <f t="shared" si="78"/>
        <v>0.48828124999999972</v>
      </c>
      <c r="M92" s="3">
        <f t="shared" ref="M92" si="91">AVERAGE(I92:I93)</f>
        <v>0.11738044881889764</v>
      </c>
      <c r="N92" s="3">
        <f t="shared" ref="N92" si="92">AVERAGE(J92:J93)</f>
        <v>0.2158419311811024</v>
      </c>
    </row>
    <row r="93" spans="1:14" x14ac:dyDescent="0.2">
      <c r="A93" s="22"/>
      <c r="B93" s="4">
        <v>100</v>
      </c>
      <c r="C93" s="4">
        <v>8</v>
      </c>
      <c r="D93" s="23">
        <v>5.9</v>
      </c>
      <c r="E93" s="23">
        <v>4</v>
      </c>
      <c r="F93" s="23">
        <f t="shared" si="72"/>
        <v>5.9</v>
      </c>
      <c r="G93" s="23">
        <f t="shared" si="73"/>
        <v>4</v>
      </c>
      <c r="H93" s="4">
        <f t="shared" si="74"/>
        <v>3.8630000000000001E-3</v>
      </c>
      <c r="I93" s="2">
        <f t="shared" si="75"/>
        <v>0.13118991338582681</v>
      </c>
      <c r="J93" s="4">
        <f t="shared" si="76"/>
        <v>0.21957048661417325</v>
      </c>
      <c r="K93" s="4">
        <f t="shared" si="77"/>
        <v>0.35076040000000008</v>
      </c>
      <c r="L93" s="13">
        <f t="shared" si="78"/>
        <v>0.59748427672955984</v>
      </c>
      <c r="M93" s="3"/>
      <c r="N93" s="3"/>
    </row>
    <row r="94" spans="1:14" x14ac:dyDescent="0.2">
      <c r="A94" s="22">
        <v>488315</v>
      </c>
      <c r="B94" s="4">
        <v>100</v>
      </c>
      <c r="C94" s="4">
        <v>7</v>
      </c>
      <c r="D94" s="23">
        <v>5</v>
      </c>
      <c r="E94" s="23">
        <v>3</v>
      </c>
      <c r="F94" s="23">
        <f t="shared" si="72"/>
        <v>5</v>
      </c>
      <c r="G94" s="23">
        <f t="shared" si="73"/>
        <v>3</v>
      </c>
      <c r="H94" s="4">
        <f t="shared" si="74"/>
        <v>9.7450000000000002E-3</v>
      </c>
      <c r="I94" s="2">
        <f t="shared" si="75"/>
        <v>0.34836456692913387</v>
      </c>
      <c r="J94" s="4">
        <f t="shared" si="76"/>
        <v>0.31526993307086609</v>
      </c>
      <c r="K94" s="4">
        <f t="shared" si="77"/>
        <v>0.66363449999999991</v>
      </c>
      <c r="L94" s="13">
        <f t="shared" si="78"/>
        <v>1.104972375690608</v>
      </c>
      <c r="M94" s="3">
        <f t="shared" ref="M94" si="93">AVERAGE(I94:I95)</f>
        <v>0.35271912401574801</v>
      </c>
      <c r="N94" s="3">
        <f t="shared" ref="N94" si="94">AVERAGE(J94:J95)</f>
        <v>0.3109153759842519</v>
      </c>
    </row>
    <row r="95" spans="1:14" x14ac:dyDescent="0.2">
      <c r="A95" s="22"/>
      <c r="B95" s="4">
        <v>100</v>
      </c>
      <c r="C95" s="4">
        <v>7</v>
      </c>
      <c r="D95" s="23">
        <v>5.05</v>
      </c>
      <c r="E95" s="23">
        <v>3</v>
      </c>
      <c r="F95" s="23">
        <f t="shared" si="72"/>
        <v>5.05</v>
      </c>
      <c r="G95" s="23">
        <f t="shared" si="73"/>
        <v>3</v>
      </c>
      <c r="H95" s="4">
        <f t="shared" si="74"/>
        <v>9.7450000000000002E-3</v>
      </c>
      <c r="I95" s="2">
        <f t="shared" si="75"/>
        <v>0.35707368110236215</v>
      </c>
      <c r="J95" s="4">
        <f t="shared" si="76"/>
        <v>0.30656081889763775</v>
      </c>
      <c r="K95" s="4">
        <f t="shared" si="77"/>
        <v>0.66363449999999991</v>
      </c>
      <c r="L95" s="13">
        <f t="shared" si="78"/>
        <v>1.1647727272727273</v>
      </c>
      <c r="M95" s="3"/>
      <c r="N95" s="3"/>
    </row>
    <row r="96" spans="1:14" x14ac:dyDescent="0.2">
      <c r="A96" s="4">
        <v>488316</v>
      </c>
      <c r="B96" s="4">
        <v>100</v>
      </c>
      <c r="C96" s="4">
        <v>7</v>
      </c>
      <c r="D96" s="23">
        <v>7.3</v>
      </c>
      <c r="E96" s="23">
        <v>4.2</v>
      </c>
      <c r="F96" s="23">
        <f t="shared" si="72"/>
        <v>7.3</v>
      </c>
      <c r="G96" s="23">
        <f t="shared" si="73"/>
        <v>4.2</v>
      </c>
      <c r="H96" s="4">
        <f t="shared" si="74"/>
        <v>9.7450000000000002E-3</v>
      </c>
      <c r="I96" s="2">
        <f t="shared" si="75"/>
        <v>0.53996507874015753</v>
      </c>
      <c r="J96" s="4">
        <f t="shared" si="76"/>
        <v>0.38912322125984244</v>
      </c>
      <c r="K96" s="4">
        <f t="shared" si="77"/>
        <v>0.92908829999999998</v>
      </c>
      <c r="L96" s="13">
        <f t="shared" si="78"/>
        <v>1.3876454789615045</v>
      </c>
      <c r="M96" s="3">
        <f t="shared" ref="M96" si="95">AVERAGE(I96:I97)</f>
        <v>0.53125596456692925</v>
      </c>
      <c r="N96" s="3">
        <f t="shared" ref="N96" si="96">AVERAGE(J96:J97)</f>
        <v>0.38124147293307087</v>
      </c>
    </row>
    <row r="97" spans="1:14" x14ac:dyDescent="0.2">
      <c r="A97" s="4"/>
      <c r="B97" s="4">
        <v>100</v>
      </c>
      <c r="C97" s="4">
        <v>7</v>
      </c>
      <c r="D97" s="23">
        <v>7.05</v>
      </c>
      <c r="E97" s="23">
        <v>4.05</v>
      </c>
      <c r="F97" s="23">
        <f t="shared" si="72"/>
        <v>7.05</v>
      </c>
      <c r="G97" s="23">
        <f t="shared" si="73"/>
        <v>4.05</v>
      </c>
      <c r="H97" s="4">
        <f t="shared" si="74"/>
        <v>9.7450000000000002E-3</v>
      </c>
      <c r="I97" s="2">
        <f t="shared" si="75"/>
        <v>0.52254685039370086</v>
      </c>
      <c r="J97" s="4">
        <f t="shared" si="76"/>
        <v>0.37335972460629935</v>
      </c>
      <c r="K97" s="4">
        <f t="shared" si="77"/>
        <v>0.89590657500000015</v>
      </c>
      <c r="L97" s="13">
        <f t="shared" si="78"/>
        <v>1.3995801259622109</v>
      </c>
      <c r="M97" s="3"/>
      <c r="N97" s="3"/>
    </row>
    <row r="98" spans="1:14" x14ac:dyDescent="0.2">
      <c r="A98" s="4">
        <v>488317</v>
      </c>
      <c r="B98" s="4">
        <v>100</v>
      </c>
      <c r="C98" s="4">
        <v>7</v>
      </c>
      <c r="D98" s="23">
        <v>6.05</v>
      </c>
      <c r="E98" s="23">
        <v>3.2</v>
      </c>
      <c r="F98" s="23">
        <f t="shared" si="72"/>
        <v>6.05</v>
      </c>
      <c r="G98" s="23">
        <f t="shared" si="73"/>
        <v>3.2</v>
      </c>
      <c r="H98" s="4">
        <f t="shared" si="74"/>
        <v>9.7450000000000002E-3</v>
      </c>
      <c r="I98" s="2">
        <f t="shared" si="75"/>
        <v>0.49641950787401568</v>
      </c>
      <c r="J98" s="4">
        <f t="shared" si="76"/>
        <v>0.21145729212598441</v>
      </c>
      <c r="K98" s="4">
        <f t="shared" si="77"/>
        <v>0.70787680000000008</v>
      </c>
      <c r="L98" s="13">
        <f t="shared" si="78"/>
        <v>2.3476112026359122</v>
      </c>
      <c r="M98" s="3">
        <f t="shared" ref="M98" si="97">AVERAGE(I98:I99)</f>
        <v>0.46158305118110232</v>
      </c>
      <c r="N98" s="3">
        <f t="shared" ref="N98" si="98">AVERAGE(J98:J99)</f>
        <v>0.20205144881889769</v>
      </c>
    </row>
    <row r="99" spans="1:14" x14ac:dyDescent="0.2">
      <c r="A99" s="4"/>
      <c r="B99" s="4">
        <v>100</v>
      </c>
      <c r="C99" s="4">
        <v>7</v>
      </c>
      <c r="D99" s="23">
        <v>5.25</v>
      </c>
      <c r="E99" s="23">
        <v>2.8</v>
      </c>
      <c r="F99" s="23">
        <f t="shared" si="72"/>
        <v>5.25</v>
      </c>
      <c r="G99" s="23">
        <f t="shared" si="73"/>
        <v>2.8</v>
      </c>
      <c r="H99" s="4">
        <f t="shared" si="74"/>
        <v>9.7450000000000002E-3</v>
      </c>
      <c r="I99" s="2">
        <f t="shared" si="75"/>
        <v>0.42674659448818902</v>
      </c>
      <c r="J99" s="4">
        <f t="shared" si="76"/>
        <v>0.19264560551181098</v>
      </c>
      <c r="K99" s="4">
        <f t="shared" si="77"/>
        <v>0.61939220000000006</v>
      </c>
      <c r="L99" s="13">
        <f t="shared" si="78"/>
        <v>2.2151898734177222</v>
      </c>
      <c r="M99" s="3"/>
      <c r="N99" s="3"/>
    </row>
    <row r="100" spans="1:14" x14ac:dyDescent="0.2">
      <c r="A100" s="4">
        <v>488318</v>
      </c>
      <c r="B100" s="4">
        <v>100</v>
      </c>
      <c r="C100" s="4">
        <v>7</v>
      </c>
      <c r="D100" s="23">
        <v>4.75</v>
      </c>
      <c r="E100" s="23">
        <v>2.5499999999999998</v>
      </c>
      <c r="F100" s="23">
        <f t="shared" si="72"/>
        <v>4.75</v>
      </c>
      <c r="G100" s="23">
        <f t="shared" si="73"/>
        <v>2.5499999999999998</v>
      </c>
      <c r="H100" s="4">
        <f t="shared" si="74"/>
        <v>9.7450000000000002E-3</v>
      </c>
      <c r="I100" s="2">
        <f t="shared" si="75"/>
        <v>0.38320102362204733</v>
      </c>
      <c r="J100" s="4">
        <f t="shared" si="76"/>
        <v>0.18088830137795281</v>
      </c>
      <c r="K100" s="4">
        <f t="shared" si="77"/>
        <v>0.56408932500000009</v>
      </c>
      <c r="L100" s="13">
        <f t="shared" si="78"/>
        <v>2.1184400577756377</v>
      </c>
      <c r="M100" s="3">
        <f t="shared" ref="M100" si="99">AVERAGE(I100:I101)</f>
        <v>0.37884646653543319</v>
      </c>
      <c r="N100" s="3">
        <f t="shared" ref="N100" si="100">AVERAGE(J100:J101)</f>
        <v>0.15759142096456688</v>
      </c>
    </row>
    <row r="101" spans="1:14" x14ac:dyDescent="0.2">
      <c r="A101" s="4"/>
      <c r="B101" s="4">
        <v>100</v>
      </c>
      <c r="C101" s="4">
        <v>7</v>
      </c>
      <c r="D101" s="23">
        <v>4.45</v>
      </c>
      <c r="E101" s="23">
        <v>2.2999999999999998</v>
      </c>
      <c r="F101" s="23">
        <f t="shared" si="72"/>
        <v>4.45</v>
      </c>
      <c r="G101" s="23">
        <f t="shared" si="73"/>
        <v>2.2999999999999998</v>
      </c>
      <c r="H101" s="4">
        <f t="shared" si="74"/>
        <v>9.7450000000000002E-3</v>
      </c>
      <c r="I101" s="2">
        <f t="shared" si="75"/>
        <v>0.37449190944881899</v>
      </c>
      <c r="J101" s="4">
        <f t="shared" si="76"/>
        <v>0.13429454055118095</v>
      </c>
      <c r="K101" s="4">
        <f t="shared" si="77"/>
        <v>0.50878644999999989</v>
      </c>
      <c r="L101" s="13">
        <f t="shared" si="78"/>
        <v>2.7885862516212749</v>
      </c>
      <c r="M101" s="3"/>
      <c r="N101" s="3"/>
    </row>
    <row r="102" spans="1:14" x14ac:dyDescent="0.2">
      <c r="A102" s="4">
        <v>488321</v>
      </c>
      <c r="B102" s="4">
        <v>100</v>
      </c>
      <c r="C102" s="4">
        <v>8</v>
      </c>
      <c r="D102" s="23">
        <v>3.6</v>
      </c>
      <c r="E102" s="23">
        <v>2.4500000000000002</v>
      </c>
      <c r="F102" s="23">
        <f t="shared" si="72"/>
        <v>3.6</v>
      </c>
      <c r="G102" s="23">
        <f t="shared" si="73"/>
        <v>2.4500000000000002</v>
      </c>
      <c r="H102" s="4">
        <f t="shared" si="74"/>
        <v>3.8630000000000001E-3</v>
      </c>
      <c r="I102" s="2">
        <f t="shared" si="75"/>
        <v>7.9404421259842511E-2</v>
      </c>
      <c r="J102" s="4">
        <f t="shared" si="76"/>
        <v>0.13543632374015752</v>
      </c>
      <c r="K102" s="4">
        <f t="shared" si="77"/>
        <v>0.21484074500000003</v>
      </c>
      <c r="L102" s="13">
        <f t="shared" si="78"/>
        <v>0.58628600560795285</v>
      </c>
      <c r="M102" s="3">
        <f t="shared" ref="M102" si="101">AVERAGE(I102:I103)</f>
        <v>8.9761519685039357E-2</v>
      </c>
      <c r="N102" s="3">
        <f t="shared" ref="N102" si="102">AVERAGE(J102:J103)</f>
        <v>0.14261724531496067</v>
      </c>
    </row>
    <row r="103" spans="1:14" x14ac:dyDescent="0.2">
      <c r="A103" s="4"/>
      <c r="B103" s="4">
        <v>100</v>
      </c>
      <c r="C103" s="4">
        <v>8</v>
      </c>
      <c r="D103" s="23">
        <v>4.3</v>
      </c>
      <c r="E103" s="23">
        <v>2.85</v>
      </c>
      <c r="F103" s="23">
        <f t="shared" si="72"/>
        <v>4.3</v>
      </c>
      <c r="G103" s="23">
        <f t="shared" si="73"/>
        <v>2.85</v>
      </c>
      <c r="H103" s="4">
        <f t="shared" si="74"/>
        <v>3.8630000000000001E-3</v>
      </c>
      <c r="I103" s="2">
        <f t="shared" si="75"/>
        <v>0.1001186181102362</v>
      </c>
      <c r="J103" s="4">
        <f t="shared" si="76"/>
        <v>0.14979816688976383</v>
      </c>
      <c r="K103" s="4">
        <f t="shared" si="77"/>
        <v>0.24991678500000003</v>
      </c>
      <c r="L103" s="13">
        <f t="shared" si="78"/>
        <v>0.66835676423138934</v>
      </c>
      <c r="M103" s="3"/>
      <c r="N103" s="3"/>
    </row>
    <row r="104" spans="1:14" x14ac:dyDescent="0.2">
      <c r="A104" s="4">
        <v>488322</v>
      </c>
      <c r="B104" s="4">
        <v>100</v>
      </c>
      <c r="C104" s="4">
        <v>8</v>
      </c>
      <c r="D104" s="23">
        <v>4.6500000000000004</v>
      </c>
      <c r="E104" s="23">
        <v>3</v>
      </c>
      <c r="F104" s="23">
        <f t="shared" si="72"/>
        <v>4.6500000000000004</v>
      </c>
      <c r="G104" s="23">
        <f t="shared" si="73"/>
        <v>3</v>
      </c>
      <c r="H104" s="4">
        <f t="shared" si="74"/>
        <v>3.8630000000000001E-3</v>
      </c>
      <c r="I104" s="2">
        <f t="shared" si="75"/>
        <v>0.11392808267716539</v>
      </c>
      <c r="J104" s="4">
        <f t="shared" si="76"/>
        <v>0.14914221732283459</v>
      </c>
      <c r="K104" s="4">
        <f t="shared" si="77"/>
        <v>0.26307029999999998</v>
      </c>
      <c r="L104" s="13">
        <f t="shared" si="78"/>
        <v>0.76388888888888951</v>
      </c>
      <c r="M104" s="3">
        <f t="shared" ref="M104" si="103">AVERAGE(I104:I105)</f>
        <v>0.11220189960629923</v>
      </c>
      <c r="N104" s="3">
        <f t="shared" ref="N104" si="104">AVERAGE(J104:J105)</f>
        <v>0.13990713789370079</v>
      </c>
    </row>
    <row r="105" spans="1:14" x14ac:dyDescent="0.2">
      <c r="A105" s="4"/>
      <c r="B105" s="4">
        <v>100</v>
      </c>
      <c r="C105" s="4">
        <v>8</v>
      </c>
      <c r="D105" s="23">
        <v>4.3499999999999996</v>
      </c>
      <c r="E105" s="23">
        <v>2.75</v>
      </c>
      <c r="F105" s="23">
        <f t="shared" si="72"/>
        <v>4.3499999999999996</v>
      </c>
      <c r="G105" s="23">
        <f t="shared" si="73"/>
        <v>2.75</v>
      </c>
      <c r="H105" s="4">
        <f t="shared" si="74"/>
        <v>3.8630000000000001E-3</v>
      </c>
      <c r="I105" s="2">
        <f t="shared" si="75"/>
        <v>0.11047571653543306</v>
      </c>
      <c r="J105" s="4">
        <f t="shared" si="76"/>
        <v>0.13067205846456698</v>
      </c>
      <c r="K105" s="4">
        <f t="shared" si="77"/>
        <v>0.24114777500000004</v>
      </c>
      <c r="L105" s="13">
        <f t="shared" si="78"/>
        <v>0.84544253632760857</v>
      </c>
      <c r="M105" s="3"/>
      <c r="N105" s="3"/>
    </row>
    <row r="106" spans="1:14" x14ac:dyDescent="0.2">
      <c r="A106" s="4">
        <v>488323</v>
      </c>
      <c r="B106" s="4">
        <v>100</v>
      </c>
      <c r="C106" s="4">
        <v>8</v>
      </c>
      <c r="D106" s="23">
        <v>5.85</v>
      </c>
      <c r="E106" s="23">
        <v>3.65</v>
      </c>
      <c r="F106" s="23">
        <f t="shared" si="72"/>
        <v>5.85</v>
      </c>
      <c r="G106" s="23">
        <f t="shared" si="73"/>
        <v>3.65</v>
      </c>
      <c r="H106" s="4">
        <f t="shared" si="74"/>
        <v>3.8630000000000001E-3</v>
      </c>
      <c r="I106" s="2">
        <f t="shared" si="75"/>
        <v>0.15190411023622047</v>
      </c>
      <c r="J106" s="4">
        <f t="shared" si="76"/>
        <v>0.16816475476377959</v>
      </c>
      <c r="K106" s="4">
        <f t="shared" si="77"/>
        <v>0.32006886500000009</v>
      </c>
      <c r="L106" s="13">
        <f t="shared" si="78"/>
        <v>0.9033052761239988</v>
      </c>
      <c r="M106" s="3">
        <f t="shared" ref="M106" si="105">AVERAGE(I106:I107)</f>
        <v>0.16743975787401577</v>
      </c>
      <c r="N106" s="3">
        <f t="shared" ref="N106" si="106">AVERAGE(J106:J107)</f>
        <v>0.17235937962598427</v>
      </c>
    </row>
    <row r="107" spans="1:14" x14ac:dyDescent="0.2">
      <c r="A107" s="4"/>
      <c r="B107" s="4">
        <v>100</v>
      </c>
      <c r="C107" s="4">
        <v>8</v>
      </c>
      <c r="D107" s="23">
        <v>6.75</v>
      </c>
      <c r="E107" s="23">
        <v>4.0999999999999996</v>
      </c>
      <c r="F107" s="23">
        <f t="shared" si="72"/>
        <v>6.75</v>
      </c>
      <c r="G107" s="23">
        <f t="shared" si="73"/>
        <v>4.0999999999999996</v>
      </c>
      <c r="H107" s="4">
        <f t="shared" si="74"/>
        <v>3.8630000000000001E-3</v>
      </c>
      <c r="I107" s="2">
        <f t="shared" si="75"/>
        <v>0.18297540551181105</v>
      </c>
      <c r="J107" s="4">
        <f t="shared" si="76"/>
        <v>0.17655400448818895</v>
      </c>
      <c r="K107" s="4">
        <f t="shared" si="77"/>
        <v>0.35952940999999999</v>
      </c>
      <c r="L107" s="13">
        <f t="shared" si="78"/>
        <v>1.0363707469691048</v>
      </c>
      <c r="M107" s="3"/>
      <c r="N107" s="3"/>
    </row>
    <row r="108" spans="1:14" x14ac:dyDescent="0.2">
      <c r="A108" s="4">
        <v>488324</v>
      </c>
      <c r="B108" s="4">
        <v>100</v>
      </c>
      <c r="C108" s="4">
        <v>8</v>
      </c>
      <c r="D108" s="23">
        <v>5.2</v>
      </c>
      <c r="E108" s="23">
        <v>3.35</v>
      </c>
      <c r="F108" s="23">
        <f t="shared" si="72"/>
        <v>5.2</v>
      </c>
      <c r="G108" s="23">
        <f t="shared" si="73"/>
        <v>3.35</v>
      </c>
      <c r="H108" s="4">
        <f t="shared" si="74"/>
        <v>3.8630000000000001E-3</v>
      </c>
      <c r="I108" s="2">
        <f t="shared" si="75"/>
        <v>0.12773754724409447</v>
      </c>
      <c r="J108" s="4">
        <f t="shared" si="76"/>
        <v>0.16602428775590558</v>
      </c>
      <c r="K108" s="4">
        <f t="shared" si="77"/>
        <v>0.29376183500000008</v>
      </c>
      <c r="L108" s="13">
        <f t="shared" si="78"/>
        <v>0.76939072572260303</v>
      </c>
      <c r="M108" s="3">
        <f t="shared" ref="M108" si="107">AVERAGE(I108:I109)</f>
        <v>0.12083281496062993</v>
      </c>
      <c r="N108" s="3">
        <f t="shared" ref="N108" si="108">AVERAGE(J108:J109)</f>
        <v>0.15758325253937008</v>
      </c>
    </row>
    <row r="109" spans="1:14" x14ac:dyDescent="0.2">
      <c r="A109" s="4"/>
      <c r="B109" s="4">
        <v>100</v>
      </c>
      <c r="C109" s="4">
        <v>8</v>
      </c>
      <c r="D109" s="23">
        <v>4.6500000000000004</v>
      </c>
      <c r="E109" s="23">
        <v>3</v>
      </c>
      <c r="F109" s="23">
        <f t="shared" si="72"/>
        <v>4.6500000000000004</v>
      </c>
      <c r="G109" s="23">
        <f t="shared" si="73"/>
        <v>3</v>
      </c>
      <c r="H109" s="4">
        <f t="shared" si="74"/>
        <v>3.8630000000000001E-3</v>
      </c>
      <c r="I109" s="2">
        <f t="shared" si="75"/>
        <v>0.11392808267716539</v>
      </c>
      <c r="J109" s="4">
        <f t="shared" si="76"/>
        <v>0.14914221732283459</v>
      </c>
      <c r="K109" s="4">
        <f t="shared" si="77"/>
        <v>0.26307029999999998</v>
      </c>
      <c r="L109" s="13">
        <f t="shared" si="78"/>
        <v>0.76388888888888951</v>
      </c>
      <c r="M109" s="3"/>
      <c r="N109" s="3"/>
    </row>
    <row r="110" spans="1:14" x14ac:dyDescent="0.2">
      <c r="A110" s="4">
        <v>488325</v>
      </c>
      <c r="B110" s="4">
        <v>100</v>
      </c>
      <c r="C110" s="4">
        <v>8</v>
      </c>
      <c r="D110" s="23">
        <v>7.15</v>
      </c>
      <c r="E110" s="23">
        <v>4.55</v>
      </c>
      <c r="F110" s="23">
        <f t="shared" si="72"/>
        <v>7.15</v>
      </c>
      <c r="G110" s="23">
        <f t="shared" si="73"/>
        <v>4.55</v>
      </c>
      <c r="H110" s="4">
        <f t="shared" si="74"/>
        <v>3.8630000000000001E-3</v>
      </c>
      <c r="I110" s="2">
        <f t="shared" si="75"/>
        <v>0.17952303937007877</v>
      </c>
      <c r="J110" s="4">
        <f t="shared" si="76"/>
        <v>0.21946691562992127</v>
      </c>
      <c r="K110" s="4">
        <f t="shared" si="77"/>
        <v>0.39898995500000001</v>
      </c>
      <c r="L110" s="13">
        <f t="shared" si="78"/>
        <v>0.81799591002045002</v>
      </c>
      <c r="M110" s="3">
        <f t="shared" ref="M110" si="109">AVERAGE(I110:I111)</f>
        <v>0.15880884251968508</v>
      </c>
      <c r="N110" s="3">
        <f t="shared" ref="N110" si="110">AVERAGE(J110:J111)</f>
        <v>0.17879804248031494</v>
      </c>
    </row>
    <row r="111" spans="1:14" x14ac:dyDescent="0.2">
      <c r="A111" s="4"/>
      <c r="B111" s="4">
        <v>100</v>
      </c>
      <c r="C111" s="4">
        <v>8</v>
      </c>
      <c r="D111" s="23">
        <v>5.15</v>
      </c>
      <c r="E111" s="23">
        <v>3.15</v>
      </c>
      <c r="F111" s="23">
        <f t="shared" si="72"/>
        <v>5.15</v>
      </c>
      <c r="G111" s="23">
        <f t="shared" si="73"/>
        <v>3.15</v>
      </c>
      <c r="H111" s="4">
        <f t="shared" si="74"/>
        <v>3.8630000000000001E-3</v>
      </c>
      <c r="I111" s="2">
        <f t="shared" si="75"/>
        <v>0.13809464566929139</v>
      </c>
      <c r="J111" s="4">
        <f t="shared" si="76"/>
        <v>0.13812916933070862</v>
      </c>
      <c r="K111" s="4">
        <f t="shared" si="77"/>
        <v>0.27622381500000004</v>
      </c>
      <c r="L111" s="13">
        <f t="shared" si="78"/>
        <v>0.99975006248437959</v>
      </c>
      <c r="M111" s="3"/>
      <c r="N111" s="3"/>
    </row>
    <row r="112" spans="1:14" x14ac:dyDescent="0.2">
      <c r="A112" s="4">
        <v>488326</v>
      </c>
      <c r="B112" s="4">
        <v>100</v>
      </c>
      <c r="C112" s="4">
        <v>8</v>
      </c>
      <c r="D112" s="23">
        <v>7.35</v>
      </c>
      <c r="E112" s="23">
        <v>4.25</v>
      </c>
      <c r="F112" s="23">
        <f t="shared" si="72"/>
        <v>7.35</v>
      </c>
      <c r="G112" s="23">
        <f t="shared" si="73"/>
        <v>4.25</v>
      </c>
      <c r="H112" s="4">
        <f t="shared" si="74"/>
        <v>3.8630000000000001E-3</v>
      </c>
      <c r="I112" s="2">
        <f t="shared" si="75"/>
        <v>0.21404670078740157</v>
      </c>
      <c r="J112" s="4">
        <f t="shared" si="76"/>
        <v>0.15863622421259843</v>
      </c>
      <c r="K112" s="4">
        <f t="shared" si="77"/>
        <v>0.372682925</v>
      </c>
      <c r="L112" s="13">
        <f t="shared" si="78"/>
        <v>1.3492927094668117</v>
      </c>
      <c r="M112" s="3">
        <f t="shared" ref="M112" si="111">AVERAGE(I112:I113)</f>
        <v>0.19851105314960632</v>
      </c>
      <c r="N112" s="3">
        <f t="shared" ref="N112" si="112">AVERAGE(J112:J113)</f>
        <v>0.16321060935039372</v>
      </c>
    </row>
    <row r="113" spans="1:14" x14ac:dyDescent="0.2">
      <c r="A113" s="4"/>
      <c r="B113" s="4">
        <v>100</v>
      </c>
      <c r="C113" s="4">
        <v>8</v>
      </c>
      <c r="D113" s="23">
        <v>6.65</v>
      </c>
      <c r="E113" s="23">
        <v>4</v>
      </c>
      <c r="F113" s="23">
        <f t="shared" si="72"/>
        <v>6.65</v>
      </c>
      <c r="G113" s="23">
        <f t="shared" si="73"/>
        <v>4</v>
      </c>
      <c r="H113" s="4">
        <f t="shared" si="74"/>
        <v>3.8630000000000001E-3</v>
      </c>
      <c r="I113" s="2">
        <f t="shared" si="75"/>
        <v>0.18297540551181105</v>
      </c>
      <c r="J113" s="4">
        <f t="shared" si="76"/>
        <v>0.16778499448818901</v>
      </c>
      <c r="K113" s="4">
        <f t="shared" si="77"/>
        <v>0.35076040000000008</v>
      </c>
      <c r="L113" s="13">
        <f t="shared" si="78"/>
        <v>1.0905349794238681</v>
      </c>
      <c r="M113" s="3"/>
      <c r="N113" s="3"/>
    </row>
    <row r="114" spans="1:14" x14ac:dyDescent="0.2">
      <c r="A114" s="12">
        <v>488327</v>
      </c>
      <c r="B114" s="4">
        <v>100</v>
      </c>
      <c r="C114" s="4">
        <v>7</v>
      </c>
      <c r="D114" s="23">
        <v>5.75</v>
      </c>
      <c r="E114" s="23">
        <v>3.05</v>
      </c>
      <c r="F114" s="23">
        <f t="shared" si="72"/>
        <v>5.75</v>
      </c>
      <c r="G114" s="23">
        <f t="shared" si="73"/>
        <v>3.05</v>
      </c>
      <c r="H114" s="4">
        <f t="shared" si="74"/>
        <v>9.7450000000000002E-3</v>
      </c>
      <c r="I114" s="2">
        <f t="shared" si="75"/>
        <v>0.47029216535433077</v>
      </c>
      <c r="J114" s="4">
        <f t="shared" si="76"/>
        <v>0.2044029096456691</v>
      </c>
      <c r="K114" s="4">
        <f t="shared" si="77"/>
        <v>0.67469507499999981</v>
      </c>
      <c r="L114" s="13">
        <f t="shared" si="78"/>
        <v>2.3008095440988523</v>
      </c>
      <c r="M114" s="3">
        <f t="shared" ref="M114" si="113">AVERAGE(I114:I115)</f>
        <v>0.46593760826771657</v>
      </c>
      <c r="N114" s="3">
        <f t="shared" ref="N114" si="114">AVERAGE(J114:J115)</f>
        <v>0.21428775423228336</v>
      </c>
    </row>
    <row r="115" spans="1:14" x14ac:dyDescent="0.2">
      <c r="A115" s="4"/>
      <c r="B115" s="4">
        <v>100</v>
      </c>
      <c r="C115" s="4">
        <v>7</v>
      </c>
      <c r="D115" s="23">
        <v>5.75</v>
      </c>
      <c r="E115" s="23">
        <v>3.1</v>
      </c>
      <c r="F115" s="23">
        <f t="shared" si="72"/>
        <v>5.75</v>
      </c>
      <c r="G115" s="23">
        <f t="shared" si="73"/>
        <v>3.1</v>
      </c>
      <c r="H115" s="4">
        <f t="shared" si="74"/>
        <v>9.7450000000000002E-3</v>
      </c>
      <c r="I115" s="2">
        <f t="shared" si="75"/>
        <v>0.46158305118110243</v>
      </c>
      <c r="J115" s="4">
        <f t="shared" si="76"/>
        <v>0.22417259881889762</v>
      </c>
      <c r="K115" s="4">
        <f t="shared" si="77"/>
        <v>0.68575565000000005</v>
      </c>
      <c r="L115" s="13">
        <f t="shared" si="78"/>
        <v>2.0590520590520596</v>
      </c>
      <c r="M115" s="3"/>
      <c r="N115" s="3"/>
    </row>
    <row r="116" spans="1:14" x14ac:dyDescent="0.2">
      <c r="A116" s="12">
        <v>488328</v>
      </c>
      <c r="B116" s="4">
        <v>100</v>
      </c>
      <c r="C116" s="4">
        <v>6</v>
      </c>
      <c r="D116" s="23">
        <v>2.35</v>
      </c>
      <c r="E116" s="23">
        <v>1.2</v>
      </c>
      <c r="F116" s="23">
        <f t="shared" si="72"/>
        <v>2.35</v>
      </c>
      <c r="G116" s="23">
        <f t="shared" si="73"/>
        <v>1.2</v>
      </c>
      <c r="H116" s="4">
        <f t="shared" si="74"/>
        <v>3.5767E-2</v>
      </c>
      <c r="I116" s="2">
        <f t="shared" si="75"/>
        <v>0.73519490944881893</v>
      </c>
      <c r="J116" s="4">
        <f t="shared" si="76"/>
        <v>0.2390981705511811</v>
      </c>
      <c r="K116" s="4">
        <f t="shared" si="77"/>
        <v>0.97429308000000003</v>
      </c>
      <c r="L116" s="13">
        <f t="shared" si="78"/>
        <v>3.0748663101604281</v>
      </c>
      <c r="M116" s="3">
        <f t="shared" ref="M116" si="115">AVERAGE(I116:I117)</f>
        <v>0.73519490944881893</v>
      </c>
      <c r="N116" s="3">
        <f t="shared" ref="N116" si="116">AVERAGE(J116:J117)</f>
        <v>0.21880039805118107</v>
      </c>
    </row>
    <row r="117" spans="1:14" x14ac:dyDescent="0.2">
      <c r="A117" s="4"/>
      <c r="B117" s="4">
        <v>100</v>
      </c>
      <c r="C117" s="4">
        <v>6</v>
      </c>
      <c r="D117" s="23">
        <v>2.2999999999999998</v>
      </c>
      <c r="E117" s="23">
        <v>1.1499999999999999</v>
      </c>
      <c r="F117" s="23">
        <f t="shared" si="72"/>
        <v>2.2999999999999998</v>
      </c>
      <c r="G117" s="23">
        <f t="shared" si="73"/>
        <v>1.1499999999999999</v>
      </c>
      <c r="H117" s="4">
        <f t="shared" si="74"/>
        <v>3.5767E-2</v>
      </c>
      <c r="I117" s="2">
        <f t="shared" si="75"/>
        <v>0.73519490944881893</v>
      </c>
      <c r="J117" s="4">
        <f t="shared" si="76"/>
        <v>0.19850262555118106</v>
      </c>
      <c r="K117" s="4">
        <f t="shared" si="77"/>
        <v>0.93369753499999997</v>
      </c>
      <c r="L117" s="13">
        <f t="shared" si="78"/>
        <v>3.7037037037037046</v>
      </c>
      <c r="M117" s="3"/>
      <c r="N117" s="3"/>
    </row>
    <row r="118" spans="1:14" x14ac:dyDescent="0.2">
      <c r="A118" s="12">
        <v>488329</v>
      </c>
      <c r="B118" s="4">
        <v>100</v>
      </c>
      <c r="C118" s="4">
        <v>7</v>
      </c>
      <c r="D118" s="23">
        <v>5.4</v>
      </c>
      <c r="E118" s="23">
        <v>2.85</v>
      </c>
      <c r="F118" s="23">
        <f t="shared" si="72"/>
        <v>5.4</v>
      </c>
      <c r="G118" s="23">
        <f t="shared" si="73"/>
        <v>2.85</v>
      </c>
      <c r="H118" s="4">
        <f t="shared" si="74"/>
        <v>9.7450000000000002E-3</v>
      </c>
      <c r="I118" s="2">
        <f t="shared" si="75"/>
        <v>0.44416482283464576</v>
      </c>
      <c r="J118" s="4">
        <f t="shared" si="76"/>
        <v>0.18628795216535449</v>
      </c>
      <c r="K118" s="4">
        <f t="shared" si="77"/>
        <v>0.63045277500000019</v>
      </c>
      <c r="L118" s="13">
        <f t="shared" si="78"/>
        <v>2.3842917251051876</v>
      </c>
      <c r="M118" s="3">
        <f t="shared" ref="M118" si="117">AVERAGE(I118:I119)</f>
        <v>0.44416482283464576</v>
      </c>
      <c r="N118" s="3">
        <f t="shared" ref="N118" si="118">AVERAGE(J118:J119)</f>
        <v>0.19181823966535444</v>
      </c>
    </row>
    <row r="119" spans="1:14" x14ac:dyDescent="0.2">
      <c r="A119" s="4"/>
      <c r="B119" s="4">
        <v>100</v>
      </c>
      <c r="C119" s="4">
        <v>7</v>
      </c>
      <c r="D119" s="23">
        <v>5.45</v>
      </c>
      <c r="E119" s="23">
        <v>2.9</v>
      </c>
      <c r="F119" s="23">
        <f t="shared" si="72"/>
        <v>5.45</v>
      </c>
      <c r="G119" s="23">
        <f t="shared" si="73"/>
        <v>2.9</v>
      </c>
      <c r="H119" s="4">
        <f t="shared" si="74"/>
        <v>9.7450000000000002E-3</v>
      </c>
      <c r="I119" s="2">
        <f t="shared" si="75"/>
        <v>0.44416482283464576</v>
      </c>
      <c r="J119" s="4">
        <f t="shared" si="76"/>
        <v>0.19734852716535442</v>
      </c>
      <c r="K119" s="4">
        <f t="shared" si="77"/>
        <v>0.6415133500000002</v>
      </c>
      <c r="L119" s="13">
        <f t="shared" si="78"/>
        <v>2.2506619593998227</v>
      </c>
      <c r="M119" s="3"/>
      <c r="N119" s="3"/>
    </row>
    <row r="120" spans="1:14" x14ac:dyDescent="0.2">
      <c r="A120" s="4">
        <v>488336</v>
      </c>
      <c r="B120" s="4">
        <v>100</v>
      </c>
      <c r="C120" s="4">
        <v>8</v>
      </c>
      <c r="D120" s="23">
        <v>2.6</v>
      </c>
      <c r="E120" s="23">
        <v>1.75</v>
      </c>
      <c r="F120" s="23">
        <f t="shared" si="72"/>
        <v>2.6</v>
      </c>
      <c r="G120" s="23">
        <f t="shared" si="73"/>
        <v>1.75</v>
      </c>
      <c r="H120" s="4">
        <f t="shared" si="74"/>
        <v>3.8630000000000001E-3</v>
      </c>
      <c r="I120" s="2">
        <f t="shared" si="75"/>
        <v>5.8690224409448828E-2</v>
      </c>
      <c r="J120" s="4">
        <f t="shared" si="76"/>
        <v>9.4767450590551194E-2</v>
      </c>
      <c r="K120" s="4">
        <f t="shared" si="77"/>
        <v>0.15345767500000002</v>
      </c>
      <c r="L120" s="13">
        <f t="shared" si="78"/>
        <v>0.61930783242258658</v>
      </c>
      <c r="M120" s="3">
        <f t="shared" ref="M120" si="119">AVERAGE(I120:I121)</f>
        <v>6.2142590551181112E-2</v>
      </c>
      <c r="N120" s="3">
        <f t="shared" ref="N120" si="120">AVERAGE(J120:J121)</f>
        <v>8.9122831948818898E-2</v>
      </c>
    </row>
    <row r="121" spans="1:14" x14ac:dyDescent="0.2">
      <c r="A121" s="4"/>
      <c r="B121" s="4">
        <v>100</v>
      </c>
      <c r="C121" s="4">
        <v>8</v>
      </c>
      <c r="D121" s="23">
        <v>2.65</v>
      </c>
      <c r="E121" s="23">
        <v>1.7</v>
      </c>
      <c r="F121" s="23">
        <f t="shared" si="72"/>
        <v>2.65</v>
      </c>
      <c r="G121" s="23">
        <f t="shared" si="73"/>
        <v>1.7</v>
      </c>
      <c r="H121" s="4">
        <f t="shared" si="74"/>
        <v>3.8630000000000001E-3</v>
      </c>
      <c r="I121" s="2">
        <f t="shared" si="75"/>
        <v>6.5594956692913389E-2</v>
      </c>
      <c r="J121" s="4">
        <f t="shared" si="76"/>
        <v>8.3478213307086616E-2</v>
      </c>
      <c r="K121" s="4">
        <f t="shared" si="77"/>
        <v>0.14907317</v>
      </c>
      <c r="L121" s="13">
        <f t="shared" si="78"/>
        <v>0.78577336641852769</v>
      </c>
      <c r="M121" s="3"/>
      <c r="N121" s="3"/>
    </row>
    <row r="122" spans="1:14" x14ac:dyDescent="0.2">
      <c r="A122" s="4">
        <v>488337</v>
      </c>
      <c r="B122" s="4">
        <v>100</v>
      </c>
      <c r="C122" s="4">
        <v>8</v>
      </c>
      <c r="D122" s="23">
        <v>5.45</v>
      </c>
      <c r="E122" s="23">
        <v>3.5</v>
      </c>
      <c r="F122" s="23">
        <f t="shared" si="72"/>
        <v>5.45</v>
      </c>
      <c r="G122" s="23">
        <f t="shared" si="73"/>
        <v>3.5</v>
      </c>
      <c r="H122" s="4">
        <f t="shared" si="74"/>
        <v>3.8630000000000001E-3</v>
      </c>
      <c r="I122" s="2">
        <f t="shared" si="75"/>
        <v>0.13464227952755908</v>
      </c>
      <c r="J122" s="4">
        <f t="shared" si="76"/>
        <v>0.17227307047244098</v>
      </c>
      <c r="K122" s="4">
        <f t="shared" si="77"/>
        <v>0.30691535000000003</v>
      </c>
      <c r="L122" s="13">
        <f t="shared" si="78"/>
        <v>0.78156312625250501</v>
      </c>
      <c r="M122" s="3">
        <f t="shared" ref="M122" si="121">AVERAGE(I122:I123)</f>
        <v>0.15017792716535436</v>
      </c>
      <c r="N122" s="3">
        <f t="shared" ref="N122" si="122">AVERAGE(J122:J123)</f>
        <v>0.19400571533464567</v>
      </c>
    </row>
    <row r="123" spans="1:14" x14ac:dyDescent="0.2">
      <c r="A123" s="4"/>
      <c r="B123" s="4">
        <v>100</v>
      </c>
      <c r="C123" s="4">
        <v>8</v>
      </c>
      <c r="D123" s="23">
        <v>6.75</v>
      </c>
      <c r="E123" s="23">
        <v>4.3499999999999996</v>
      </c>
      <c r="F123" s="23">
        <f t="shared" si="72"/>
        <v>6.75</v>
      </c>
      <c r="G123" s="23">
        <f t="shared" si="73"/>
        <v>4.3499999999999996</v>
      </c>
      <c r="H123" s="4">
        <f t="shared" si="74"/>
        <v>3.8630000000000001E-3</v>
      </c>
      <c r="I123" s="2">
        <f t="shared" si="75"/>
        <v>0.16571357480314963</v>
      </c>
      <c r="J123" s="4">
        <f t="shared" si="76"/>
        <v>0.21573836019685033</v>
      </c>
      <c r="K123" s="4">
        <f t="shared" si="77"/>
        <v>0.38145193499999996</v>
      </c>
      <c r="L123" s="13">
        <f t="shared" si="78"/>
        <v>0.76812289966394653</v>
      </c>
      <c r="M123" s="3"/>
      <c r="N123" s="3"/>
    </row>
    <row r="124" spans="1:14" x14ac:dyDescent="0.2">
      <c r="A124" s="4">
        <v>488338</v>
      </c>
      <c r="B124" s="4">
        <v>100</v>
      </c>
      <c r="C124" s="4">
        <v>7</v>
      </c>
      <c r="D124" s="23">
        <v>2.9</v>
      </c>
      <c r="E124" s="23">
        <v>1.75</v>
      </c>
      <c r="F124" s="23">
        <f t="shared" si="72"/>
        <v>2.9</v>
      </c>
      <c r="G124" s="23">
        <f t="shared" si="73"/>
        <v>1.75</v>
      </c>
      <c r="H124" s="4">
        <f t="shared" si="74"/>
        <v>9.7450000000000002E-3</v>
      </c>
      <c r="I124" s="2">
        <f t="shared" si="75"/>
        <v>0.20030962598425198</v>
      </c>
      <c r="J124" s="4">
        <f t="shared" si="76"/>
        <v>0.18681049901574798</v>
      </c>
      <c r="K124" s="4">
        <f t="shared" si="77"/>
        <v>0.38712012499999993</v>
      </c>
      <c r="L124" s="13">
        <f t="shared" si="78"/>
        <v>1.0722610722610726</v>
      </c>
      <c r="M124" s="3">
        <f t="shared" ref="M124" si="123">AVERAGE(I124:I125)</f>
        <v>0.19160051181102361</v>
      </c>
      <c r="N124" s="3">
        <f t="shared" ref="N124" si="124">AVERAGE(J124:J125)</f>
        <v>0.19551961318897637</v>
      </c>
    </row>
    <row r="125" spans="1:14" x14ac:dyDescent="0.2">
      <c r="A125" s="4"/>
      <c r="B125" s="4">
        <v>100</v>
      </c>
      <c r="C125" s="4">
        <v>7</v>
      </c>
      <c r="D125" s="23">
        <v>2.8</v>
      </c>
      <c r="E125" s="23">
        <v>1.75</v>
      </c>
      <c r="F125" s="23">
        <f t="shared" si="72"/>
        <v>2.8</v>
      </c>
      <c r="G125" s="23">
        <f t="shared" si="73"/>
        <v>1.75</v>
      </c>
      <c r="H125" s="4">
        <f t="shared" si="74"/>
        <v>9.7450000000000002E-3</v>
      </c>
      <c r="I125" s="2">
        <f t="shared" si="75"/>
        <v>0.18289139763779524</v>
      </c>
      <c r="J125" s="4">
        <f t="shared" si="76"/>
        <v>0.20422872736220479</v>
      </c>
      <c r="K125" s="4">
        <f t="shared" si="77"/>
        <v>0.38712012500000004</v>
      </c>
      <c r="L125" s="13">
        <f t="shared" si="78"/>
        <v>0.89552238805970108</v>
      </c>
      <c r="M125" s="3"/>
      <c r="N125" s="3"/>
    </row>
    <row r="126" spans="1:14" x14ac:dyDescent="0.2">
      <c r="A126" s="4">
        <v>488339</v>
      </c>
      <c r="B126" s="4">
        <v>100</v>
      </c>
      <c r="C126" s="4">
        <v>7</v>
      </c>
      <c r="D126" s="23">
        <v>2.25</v>
      </c>
      <c r="E126" s="23">
        <v>1.35</v>
      </c>
      <c r="F126" s="23">
        <f t="shared" si="72"/>
        <v>2.25</v>
      </c>
      <c r="G126" s="23">
        <f t="shared" si="73"/>
        <v>1.35</v>
      </c>
      <c r="H126" s="4">
        <f t="shared" si="74"/>
        <v>9.7450000000000002E-3</v>
      </c>
      <c r="I126" s="2">
        <f t="shared" si="75"/>
        <v>0.1567640551181102</v>
      </c>
      <c r="J126" s="4">
        <f t="shared" si="76"/>
        <v>0.14187146988188976</v>
      </c>
      <c r="K126" s="4">
        <f t="shared" si="77"/>
        <v>0.29863552499999996</v>
      </c>
      <c r="L126" s="13">
        <f t="shared" si="78"/>
        <v>1.1049723756906076</v>
      </c>
      <c r="M126" s="3">
        <f t="shared" ref="M126" si="125">AVERAGE(I126:I127)</f>
        <v>0.1611186122047244</v>
      </c>
      <c r="N126" s="3">
        <f t="shared" ref="N126" si="126">AVERAGE(J126:J127)</f>
        <v>0.14304720029527557</v>
      </c>
    </row>
    <row r="127" spans="1:14" x14ac:dyDescent="0.2">
      <c r="A127" s="4"/>
      <c r="B127" s="4">
        <v>100</v>
      </c>
      <c r="C127" s="4">
        <v>7</v>
      </c>
      <c r="D127" s="23">
        <v>2.35</v>
      </c>
      <c r="E127" s="23">
        <v>1.4</v>
      </c>
      <c r="F127" s="23">
        <f t="shared" si="72"/>
        <v>2.35</v>
      </c>
      <c r="G127" s="23">
        <f t="shared" si="73"/>
        <v>1.4</v>
      </c>
      <c r="H127" s="4">
        <f t="shared" si="74"/>
        <v>9.7450000000000002E-3</v>
      </c>
      <c r="I127" s="2">
        <f t="shared" si="75"/>
        <v>0.16547316929133862</v>
      </c>
      <c r="J127" s="4">
        <f t="shared" si="76"/>
        <v>0.14422293070866141</v>
      </c>
      <c r="K127" s="4">
        <f t="shared" si="77"/>
        <v>0.30969610000000003</v>
      </c>
      <c r="L127" s="13">
        <f t="shared" si="78"/>
        <v>1.1473429951690826</v>
      </c>
      <c r="M127" s="3"/>
      <c r="N127" s="3"/>
    </row>
    <row r="128" spans="1:14" x14ac:dyDescent="0.2">
      <c r="A128" s="4">
        <v>488340</v>
      </c>
      <c r="B128" s="4">
        <v>100</v>
      </c>
      <c r="C128" s="4">
        <v>8</v>
      </c>
      <c r="D128" s="23">
        <v>7.2</v>
      </c>
      <c r="E128" s="23">
        <v>4.1500000000000004</v>
      </c>
      <c r="F128" s="23">
        <f t="shared" si="72"/>
        <v>7.2</v>
      </c>
      <c r="G128" s="23">
        <f t="shared" si="73"/>
        <v>4.1500000000000004</v>
      </c>
      <c r="H128" s="4">
        <f t="shared" si="74"/>
        <v>3.8630000000000001E-3</v>
      </c>
      <c r="I128" s="2">
        <f t="shared" si="75"/>
        <v>0.21059433464566929</v>
      </c>
      <c r="J128" s="4">
        <f t="shared" si="76"/>
        <v>0.1533195803543308</v>
      </c>
      <c r="K128" s="4">
        <f t="shared" si="77"/>
        <v>0.36391391500000009</v>
      </c>
      <c r="L128" s="13">
        <f t="shared" si="78"/>
        <v>1.3735645124971845</v>
      </c>
      <c r="M128" s="3">
        <f t="shared" ref="M128" si="127">AVERAGE(I128:I129)</f>
        <v>0.23593387992125989</v>
      </c>
      <c r="N128" s="3">
        <f t="shared" ref="N128" si="128">AVERAGE(J128:J129)</f>
        <v>0.16170429007874015</v>
      </c>
    </row>
    <row r="129" spans="1:14" x14ac:dyDescent="0.2">
      <c r="A129" s="4"/>
      <c r="B129" s="4">
        <v>100</v>
      </c>
      <c r="C129" s="4">
        <v>7</v>
      </c>
      <c r="D129" s="23">
        <v>3.45</v>
      </c>
      <c r="E129" s="23">
        <v>1.95</v>
      </c>
      <c r="F129" s="23">
        <f t="shared" si="72"/>
        <v>3.45</v>
      </c>
      <c r="G129" s="23">
        <f t="shared" si="73"/>
        <v>1.95</v>
      </c>
      <c r="H129" s="4">
        <f t="shared" si="74"/>
        <v>9.7450000000000002E-3</v>
      </c>
      <c r="I129" s="2">
        <f t="shared" si="75"/>
        <v>0.26127342519685048</v>
      </c>
      <c r="J129" s="4">
        <f t="shared" si="76"/>
        <v>0.17008899980314951</v>
      </c>
      <c r="K129" s="4">
        <f t="shared" si="77"/>
        <v>0.43136242499999999</v>
      </c>
      <c r="L129" s="13">
        <f t="shared" si="78"/>
        <v>1.5360983102918602</v>
      </c>
      <c r="M129" s="3"/>
      <c r="N129" s="3"/>
    </row>
    <row r="130" spans="1:14" x14ac:dyDescent="0.2">
      <c r="A130" s="4">
        <v>488341</v>
      </c>
      <c r="B130" s="4">
        <v>100</v>
      </c>
      <c r="C130" s="4">
        <v>7</v>
      </c>
      <c r="D130" s="23">
        <v>7.35</v>
      </c>
      <c r="E130" s="23">
        <v>3.8</v>
      </c>
      <c r="F130" s="23">
        <f t="shared" si="72"/>
        <v>7.35</v>
      </c>
      <c r="G130" s="23">
        <f t="shared" si="73"/>
        <v>3.8</v>
      </c>
      <c r="H130" s="4">
        <f t="shared" si="74"/>
        <v>9.7450000000000002E-3</v>
      </c>
      <c r="I130" s="2">
        <f t="shared" si="75"/>
        <v>0.61834710629921263</v>
      </c>
      <c r="J130" s="4">
        <f t="shared" si="76"/>
        <v>0.22225659370078749</v>
      </c>
      <c r="K130" s="4">
        <f t="shared" si="77"/>
        <v>0.84060370000000018</v>
      </c>
      <c r="L130" s="13">
        <f t="shared" si="78"/>
        <v>2.7821316614420053</v>
      </c>
      <c r="M130" s="3">
        <f t="shared" ref="M130" si="129">AVERAGE(I130:I131)</f>
        <v>0.59221976377952756</v>
      </c>
      <c r="N130" s="3">
        <f t="shared" ref="N130" si="130">AVERAGE(J130:J131)</f>
        <v>0.21520221122047251</v>
      </c>
    </row>
    <row r="131" spans="1:14" x14ac:dyDescent="0.2">
      <c r="A131" s="4"/>
      <c r="B131" s="4">
        <v>100</v>
      </c>
      <c r="C131" s="4">
        <v>7</v>
      </c>
      <c r="D131" s="23">
        <v>6.75</v>
      </c>
      <c r="E131" s="23">
        <v>3.5</v>
      </c>
      <c r="F131" s="23">
        <f t="shared" si="72"/>
        <v>6.75</v>
      </c>
      <c r="G131" s="23">
        <f t="shared" si="73"/>
        <v>3.5</v>
      </c>
      <c r="H131" s="4">
        <f t="shared" si="74"/>
        <v>9.7450000000000002E-3</v>
      </c>
      <c r="I131" s="2">
        <f t="shared" si="75"/>
        <v>0.56609242125984249</v>
      </c>
      <c r="J131" s="4">
        <f t="shared" si="76"/>
        <v>0.20814782874015753</v>
      </c>
      <c r="K131" s="4">
        <f t="shared" si="77"/>
        <v>0.77424025000000007</v>
      </c>
      <c r="L131" s="13">
        <f t="shared" si="78"/>
        <v>2.7196652719665266</v>
      </c>
      <c r="M131" s="3"/>
      <c r="N131" s="3"/>
    </row>
    <row r="132" spans="1:14" x14ac:dyDescent="0.2">
      <c r="A132" s="4">
        <v>488342</v>
      </c>
      <c r="B132" s="4">
        <v>100</v>
      </c>
      <c r="C132" s="4">
        <v>6</v>
      </c>
      <c r="D132" s="23">
        <v>3.35</v>
      </c>
      <c r="E132" s="23">
        <v>1.5</v>
      </c>
      <c r="F132" s="23">
        <f t="shared" si="72"/>
        <v>3.35</v>
      </c>
      <c r="G132" s="23">
        <f t="shared" si="73"/>
        <v>1.5</v>
      </c>
      <c r="H132" s="4">
        <f t="shared" si="74"/>
        <v>3.5767E-2</v>
      </c>
      <c r="I132" s="2">
        <f t="shared" si="75"/>
        <v>1.1827048543307088</v>
      </c>
      <c r="J132" s="4">
        <f t="shared" si="76"/>
        <v>3.5161495669291276E-2</v>
      </c>
      <c r="K132" s="4">
        <f t="shared" si="77"/>
        <v>1.21786635</v>
      </c>
      <c r="L132" s="13">
        <f t="shared" si="78"/>
        <v>33.636363636363704</v>
      </c>
      <c r="M132" s="3">
        <f t="shared" ref="M132" si="131">AVERAGE(I132:I133)</f>
        <v>1.230652348425197</v>
      </c>
      <c r="N132" s="3">
        <f t="shared" ref="N132" si="132">AVERAGE(J132:J133)</f>
        <v>6.8405091574803262E-2</v>
      </c>
    </row>
    <row r="133" spans="1:14" x14ac:dyDescent="0.2">
      <c r="A133" s="4"/>
      <c r="B133" s="4">
        <v>100</v>
      </c>
      <c r="C133" s="4">
        <v>6</v>
      </c>
      <c r="D133" s="23">
        <v>3.7</v>
      </c>
      <c r="E133" s="23">
        <v>1.7</v>
      </c>
      <c r="F133" s="23">
        <f t="shared" si="72"/>
        <v>3.7</v>
      </c>
      <c r="G133" s="23">
        <f t="shared" si="73"/>
        <v>1.7</v>
      </c>
      <c r="H133" s="4">
        <f t="shared" si="74"/>
        <v>3.5767E-2</v>
      </c>
      <c r="I133" s="2">
        <f t="shared" si="75"/>
        <v>1.2785998425196852</v>
      </c>
      <c r="J133" s="4">
        <f t="shared" si="76"/>
        <v>0.10164868748031523</v>
      </c>
      <c r="K133" s="4">
        <f t="shared" si="77"/>
        <v>1.3802485300000005</v>
      </c>
      <c r="L133" s="13">
        <f t="shared" si="78"/>
        <v>12.578616352201225</v>
      </c>
      <c r="M133" s="3"/>
      <c r="N133" s="3"/>
    </row>
    <row r="134" spans="1:14" x14ac:dyDescent="0.2">
      <c r="A134" s="4">
        <v>488343</v>
      </c>
      <c r="B134" s="4">
        <v>100</v>
      </c>
      <c r="C134" s="4">
        <v>6</v>
      </c>
      <c r="D134" s="23">
        <v>4.4000000000000004</v>
      </c>
      <c r="E134" s="23">
        <v>2.0499999999999998</v>
      </c>
      <c r="F134" s="23">
        <f t="shared" si="72"/>
        <v>4.4000000000000004</v>
      </c>
      <c r="G134" s="23">
        <f t="shared" si="73"/>
        <v>2.0499999999999998</v>
      </c>
      <c r="H134" s="4">
        <f t="shared" si="74"/>
        <v>3.5767E-2</v>
      </c>
      <c r="I134" s="2">
        <f t="shared" si="75"/>
        <v>1.5023548149606301</v>
      </c>
      <c r="J134" s="4">
        <f t="shared" si="76"/>
        <v>0.16206253003936971</v>
      </c>
      <c r="K134" s="4">
        <f t="shared" si="77"/>
        <v>1.6644173449999997</v>
      </c>
      <c r="L134" s="13">
        <f t="shared" si="78"/>
        <v>9.2702169625246764</v>
      </c>
      <c r="M134" s="3">
        <f t="shared" ref="M134" si="133">AVERAGE(I134:I135)</f>
        <v>1.5023548149606301</v>
      </c>
      <c r="N134" s="3">
        <f t="shared" ref="N134" si="134">AVERAGE(J134:J135)</f>
        <v>0.16206253003936971</v>
      </c>
    </row>
    <row r="135" spans="1:14" x14ac:dyDescent="0.2">
      <c r="A135" s="4"/>
      <c r="B135" s="4">
        <v>100</v>
      </c>
      <c r="C135" s="4">
        <v>6</v>
      </c>
      <c r="D135" s="23">
        <v>4.4000000000000004</v>
      </c>
      <c r="E135" s="23">
        <v>2.0499999999999998</v>
      </c>
      <c r="F135" s="23">
        <f t="shared" si="72"/>
        <v>4.4000000000000004</v>
      </c>
      <c r="G135" s="23">
        <f t="shared" si="73"/>
        <v>2.0499999999999998</v>
      </c>
      <c r="H135" s="4">
        <f t="shared" si="74"/>
        <v>3.5767E-2</v>
      </c>
      <c r="I135" s="2">
        <f t="shared" si="75"/>
        <v>1.5023548149606301</v>
      </c>
      <c r="J135" s="4">
        <f t="shared" si="76"/>
        <v>0.16206253003936971</v>
      </c>
      <c r="K135" s="4">
        <f t="shared" si="77"/>
        <v>1.6644173449999997</v>
      </c>
      <c r="L135" s="13">
        <f t="shared" si="78"/>
        <v>9.2702169625246764</v>
      </c>
      <c r="M135" s="3"/>
      <c r="N135" s="3"/>
    </row>
    <row r="136" spans="1:14" x14ac:dyDescent="0.2">
      <c r="A136" s="4">
        <v>488344</v>
      </c>
      <c r="B136" s="4">
        <v>100</v>
      </c>
      <c r="C136" s="4">
        <v>6</v>
      </c>
      <c r="D136" s="23">
        <v>3.35</v>
      </c>
      <c r="E136" s="23">
        <v>1.6</v>
      </c>
      <c r="F136" s="23">
        <f t="shared" si="72"/>
        <v>3.35</v>
      </c>
      <c r="G136" s="23">
        <f t="shared" si="73"/>
        <v>1.6</v>
      </c>
      <c r="H136" s="4">
        <f t="shared" si="74"/>
        <v>3.5767E-2</v>
      </c>
      <c r="I136" s="2">
        <f t="shared" si="75"/>
        <v>1.1187748622047244</v>
      </c>
      <c r="J136" s="4">
        <f t="shared" si="76"/>
        <v>0.18028257779527582</v>
      </c>
      <c r="K136" s="4">
        <f t="shared" si="77"/>
        <v>1.2990574400000003</v>
      </c>
      <c r="L136" s="13">
        <f t="shared" si="78"/>
        <v>6.2056737588652409</v>
      </c>
      <c r="M136" s="3">
        <f t="shared" ref="M136" si="135">AVERAGE(I136:I137)</f>
        <v>1.0868098661417323</v>
      </c>
      <c r="N136" s="3">
        <f t="shared" ref="N136" si="136">AVERAGE(J136:J137)</f>
        <v>0.13105648385826785</v>
      </c>
    </row>
    <row r="137" spans="1:14" x14ac:dyDescent="0.2">
      <c r="A137" s="4"/>
      <c r="B137" s="4">
        <v>100</v>
      </c>
      <c r="C137" s="4">
        <v>6</v>
      </c>
      <c r="D137" s="23">
        <v>3.05</v>
      </c>
      <c r="E137" s="23">
        <v>1.4</v>
      </c>
      <c r="F137" s="23">
        <f t="shared" si="72"/>
        <v>3.05</v>
      </c>
      <c r="G137" s="23">
        <f t="shared" si="73"/>
        <v>1.4</v>
      </c>
      <c r="H137" s="4">
        <f t="shared" si="74"/>
        <v>3.5767E-2</v>
      </c>
      <c r="I137" s="2">
        <f t="shared" si="75"/>
        <v>1.0548448700787403</v>
      </c>
      <c r="J137" s="4">
        <f t="shared" si="76"/>
        <v>8.183038992125985E-2</v>
      </c>
      <c r="K137" s="4">
        <f t="shared" si="77"/>
        <v>1.1366752600000001</v>
      </c>
      <c r="L137" s="13">
        <f t="shared" si="78"/>
        <v>12.890625</v>
      </c>
      <c r="M137" s="3"/>
      <c r="N137" s="3"/>
    </row>
    <row r="138" spans="1:14" x14ac:dyDescent="0.2">
      <c r="A138" s="12">
        <v>488352</v>
      </c>
      <c r="B138" s="4">
        <v>100</v>
      </c>
      <c r="C138" s="4">
        <v>8</v>
      </c>
      <c r="D138" s="23">
        <v>0.85</v>
      </c>
      <c r="E138" s="23">
        <v>0.7</v>
      </c>
      <c r="F138" s="23">
        <f t="shared" si="72"/>
        <v>0.85</v>
      </c>
      <c r="G138" s="23">
        <f t="shared" si="73"/>
        <v>0.7</v>
      </c>
      <c r="H138" s="4">
        <f t="shared" si="74"/>
        <v>3.8630000000000001E-3</v>
      </c>
      <c r="I138" s="2">
        <f t="shared" si="75"/>
        <v>1.0357098425196852E-2</v>
      </c>
      <c r="J138" s="4">
        <f t="shared" si="76"/>
        <v>5.1025971574803146E-2</v>
      </c>
      <c r="K138" s="4">
        <f t="shared" si="77"/>
        <v>6.1383069999999998E-2</v>
      </c>
      <c r="L138" s="13">
        <f t="shared" si="78"/>
        <v>0.20297699594046012</v>
      </c>
      <c r="M138" s="3">
        <f t="shared" ref="M138" si="137">AVERAGE(I138:I139)</f>
        <v>1.5535647637795278E-2</v>
      </c>
      <c r="N138" s="3">
        <f t="shared" ref="N138" si="138">AVERAGE(J138:J139)</f>
        <v>4.8039674862204715E-2</v>
      </c>
    </row>
    <row r="139" spans="1:14" x14ac:dyDescent="0.2">
      <c r="B139" s="4">
        <v>100</v>
      </c>
      <c r="C139" s="4">
        <v>8</v>
      </c>
      <c r="D139" s="23">
        <v>1.05</v>
      </c>
      <c r="E139" s="23">
        <v>0.75</v>
      </c>
      <c r="F139" s="23">
        <f t="shared" si="72"/>
        <v>1.05</v>
      </c>
      <c r="G139" s="23">
        <f t="shared" si="73"/>
        <v>0.75</v>
      </c>
      <c r="H139" s="4">
        <f t="shared" si="74"/>
        <v>3.8630000000000001E-3</v>
      </c>
      <c r="I139" s="2">
        <f t="shared" si="75"/>
        <v>2.0714196850393704E-2</v>
      </c>
      <c r="J139" s="4">
        <f t="shared" si="76"/>
        <v>4.5053378149606284E-2</v>
      </c>
      <c r="K139" s="4">
        <f t="shared" si="77"/>
        <v>6.5767574999999995E-2</v>
      </c>
      <c r="L139" s="13">
        <f t="shared" si="78"/>
        <v>0.45977011494252895</v>
      </c>
      <c r="M139" s="3"/>
      <c r="N139" s="3"/>
    </row>
    <row r="140" spans="1:14" x14ac:dyDescent="0.2">
      <c r="A140" s="4">
        <v>488353</v>
      </c>
      <c r="B140" s="4">
        <v>100</v>
      </c>
      <c r="C140" s="4">
        <v>8</v>
      </c>
      <c r="D140" s="23">
        <v>2.0499999999999998</v>
      </c>
      <c r="E140" s="23">
        <v>1.4</v>
      </c>
      <c r="F140" s="23">
        <f t="shared" si="72"/>
        <v>2.0499999999999998</v>
      </c>
      <c r="G140" s="23">
        <f t="shared" si="73"/>
        <v>1.4</v>
      </c>
      <c r="H140" s="4">
        <f t="shared" si="74"/>
        <v>3.8630000000000001E-3</v>
      </c>
      <c r="I140" s="2">
        <f t="shared" si="75"/>
        <v>4.4880759842519685E-2</v>
      </c>
      <c r="J140" s="4">
        <f t="shared" si="76"/>
        <v>7.7885380157480311E-2</v>
      </c>
      <c r="K140" s="4">
        <f t="shared" si="77"/>
        <v>0.12276614</v>
      </c>
      <c r="L140" s="13">
        <f t="shared" si="78"/>
        <v>0.57624113475177308</v>
      </c>
      <c r="M140" s="3">
        <f t="shared" ref="M140" si="139">AVERAGE(I140:I141)</f>
        <v>4.8333125984251962E-2</v>
      </c>
      <c r="N140" s="3">
        <f t="shared" ref="N140" si="140">AVERAGE(J140:J141)</f>
        <v>8.1009771515748036E-2</v>
      </c>
    </row>
    <row r="141" spans="1:14" x14ac:dyDescent="0.2">
      <c r="A141" s="4"/>
      <c r="B141" s="4">
        <v>100</v>
      </c>
      <c r="C141" s="4">
        <v>8</v>
      </c>
      <c r="D141" s="23">
        <v>2.2999999999999998</v>
      </c>
      <c r="E141" s="23">
        <v>1.55</v>
      </c>
      <c r="F141" s="23">
        <f t="shared" si="72"/>
        <v>2.2999999999999998</v>
      </c>
      <c r="G141" s="23">
        <f t="shared" si="73"/>
        <v>1.55</v>
      </c>
      <c r="H141" s="4">
        <f t="shared" si="74"/>
        <v>3.8630000000000001E-3</v>
      </c>
      <c r="I141" s="2">
        <f t="shared" si="75"/>
        <v>5.1785492125984239E-2</v>
      </c>
      <c r="J141" s="4">
        <f t="shared" si="76"/>
        <v>8.4134162874015761E-2</v>
      </c>
      <c r="K141" s="4">
        <f t="shared" si="77"/>
        <v>0.135919655</v>
      </c>
      <c r="L141" s="13">
        <f t="shared" si="78"/>
        <v>0.61551087402544091</v>
      </c>
      <c r="M141" s="3"/>
      <c r="N141" s="3"/>
    </row>
    <row r="142" spans="1:14" x14ac:dyDescent="0.2">
      <c r="A142" s="4">
        <v>488354</v>
      </c>
      <c r="B142" s="4">
        <v>100</v>
      </c>
      <c r="C142" s="4">
        <v>8</v>
      </c>
      <c r="D142" s="23">
        <v>4.75</v>
      </c>
      <c r="E142" s="23">
        <v>3.15</v>
      </c>
      <c r="F142" s="23">
        <f t="shared" si="72"/>
        <v>4.75</v>
      </c>
      <c r="G142" s="23">
        <f t="shared" si="73"/>
        <v>3.15</v>
      </c>
      <c r="H142" s="4">
        <f t="shared" si="74"/>
        <v>3.8630000000000001E-3</v>
      </c>
      <c r="I142" s="2">
        <f t="shared" si="75"/>
        <v>0.11047571653543307</v>
      </c>
      <c r="J142" s="4">
        <f t="shared" si="76"/>
        <v>0.16574809846456692</v>
      </c>
      <c r="K142" s="4">
        <f t="shared" si="77"/>
        <v>0.27622381499999998</v>
      </c>
      <c r="L142" s="13">
        <f t="shared" si="78"/>
        <v>0.66652780670693612</v>
      </c>
      <c r="M142" s="3">
        <f t="shared" ref="M142" si="141">AVERAGE(I142:I143)</f>
        <v>0.10184480118110237</v>
      </c>
      <c r="N142" s="3">
        <f t="shared" ref="N142" si="142">AVERAGE(J142:J143)</f>
        <v>0.18753252881889765</v>
      </c>
    </row>
    <row r="143" spans="1:14" x14ac:dyDescent="0.2">
      <c r="A143" s="4"/>
      <c r="B143" s="4">
        <v>100</v>
      </c>
      <c r="C143" s="4">
        <v>8</v>
      </c>
      <c r="D143" s="23">
        <v>4.8</v>
      </c>
      <c r="E143" s="23">
        <v>3.45</v>
      </c>
      <c r="F143" s="23">
        <f t="shared" si="72"/>
        <v>4.8</v>
      </c>
      <c r="G143" s="23">
        <f t="shared" si="73"/>
        <v>3.45</v>
      </c>
      <c r="H143" s="4">
        <f t="shared" si="74"/>
        <v>3.8630000000000001E-3</v>
      </c>
      <c r="I143" s="2">
        <f t="shared" si="75"/>
        <v>9.3213885826771647E-2</v>
      </c>
      <c r="J143" s="4">
        <f t="shared" si="76"/>
        <v>0.20931695917322837</v>
      </c>
      <c r="K143" s="4">
        <f t="shared" si="77"/>
        <v>0.30253084500000005</v>
      </c>
      <c r="L143" s="13">
        <f t="shared" si="78"/>
        <v>0.44532409698169212</v>
      </c>
      <c r="M143" s="3"/>
      <c r="N143" s="3"/>
    </row>
    <row r="144" spans="1:14" x14ac:dyDescent="0.2">
      <c r="A144" s="4">
        <v>488355</v>
      </c>
      <c r="B144" s="4">
        <v>100</v>
      </c>
      <c r="C144" s="4">
        <v>8</v>
      </c>
      <c r="D144" s="23">
        <v>7</v>
      </c>
      <c r="E144" s="23">
        <v>4.6500000000000004</v>
      </c>
      <c r="F144" s="23">
        <f t="shared" ref="F144:F193" si="143">IF($C144=5,D144-$D$5,IF($C144=6,D144-$D$6,IF($C144=7,D144-$D$7,IF($C144=8,D144-$D$8,D144))))</f>
        <v>7</v>
      </c>
      <c r="G144" s="23">
        <f t="shared" ref="G144:G193" si="144">IF($C144=5,E144-$D$5,IF($C144=6,E144-$D$6,IF($C144=7,E144-$D$7,IF($C144=8,E144-$D$8,E144))))</f>
        <v>4.6500000000000004</v>
      </c>
      <c r="H144" s="4">
        <f t="shared" ref="H144:H193" si="145">IF(C144=1,32.7101,IF(C144=2,8.14893,IF(C144=3,1.42818,IF(C144=4,0.44041,IF(C144=5,0.123026,IF(C144=6,0.035767,IF(C144=7,0.009745,0.003863)))))))</f>
        <v>3.8630000000000001E-3</v>
      </c>
      <c r="I144" s="2">
        <f t="shared" ref="I144:I193" si="146">H144*$A$3*(F144-G144)*1000/B144</f>
        <v>0.1622612086614173</v>
      </c>
      <c r="J144" s="4">
        <f t="shared" ref="J144:J193" si="147">2.27*($A$3*G144-($A$3-1)*F144)*H144*1000/B144</f>
        <v>0.24549775633858284</v>
      </c>
      <c r="K144" s="4">
        <f t="shared" ref="K144:K193" si="148">(I144+J144)</f>
        <v>0.40775896500000014</v>
      </c>
      <c r="L144" s="13">
        <f t="shared" ref="L144:L193" si="149">(I144/J144)</f>
        <v>0.66094782730980117</v>
      </c>
      <c r="M144" s="3">
        <f t="shared" ref="M144" si="150">AVERAGE(I144:I145)</f>
        <v>0.16571357480314963</v>
      </c>
      <c r="N144" s="3">
        <f t="shared" ref="N144" si="151">AVERAGE(J144:J145)</f>
        <v>0.23985313769685046</v>
      </c>
    </row>
    <row r="145" spans="1:14" x14ac:dyDescent="0.2">
      <c r="A145" s="4"/>
      <c r="B145" s="4">
        <v>100</v>
      </c>
      <c r="C145" s="4">
        <v>8</v>
      </c>
      <c r="D145" s="23">
        <v>7.05</v>
      </c>
      <c r="E145" s="23">
        <v>4.5999999999999996</v>
      </c>
      <c r="F145" s="23">
        <f t="shared" si="143"/>
        <v>7.05</v>
      </c>
      <c r="G145" s="23">
        <f t="shared" si="144"/>
        <v>4.5999999999999996</v>
      </c>
      <c r="H145" s="4">
        <f t="shared" si="145"/>
        <v>3.8630000000000001E-3</v>
      </c>
      <c r="I145" s="2">
        <f t="shared" si="146"/>
        <v>0.16916594094488194</v>
      </c>
      <c r="J145" s="4">
        <f t="shared" si="147"/>
        <v>0.23420851905511808</v>
      </c>
      <c r="K145" s="4">
        <f t="shared" si="148"/>
        <v>0.40337445999999999</v>
      </c>
      <c r="L145" s="13">
        <f t="shared" si="149"/>
        <v>0.72228773584905692</v>
      </c>
      <c r="M145" s="3"/>
      <c r="N145" s="3"/>
    </row>
    <row r="146" spans="1:14" x14ac:dyDescent="0.2">
      <c r="A146" s="4">
        <v>488356</v>
      </c>
      <c r="B146" s="4">
        <v>100</v>
      </c>
      <c r="C146" s="4">
        <v>7</v>
      </c>
      <c r="D146" s="23">
        <v>4.75</v>
      </c>
      <c r="E146" s="23">
        <v>3.05</v>
      </c>
      <c r="F146" s="23">
        <f t="shared" si="143"/>
        <v>4.75</v>
      </c>
      <c r="G146" s="23">
        <f t="shared" si="144"/>
        <v>3.05</v>
      </c>
      <c r="H146" s="4">
        <f t="shared" si="145"/>
        <v>9.7450000000000002E-3</v>
      </c>
      <c r="I146" s="2">
        <f t="shared" si="146"/>
        <v>0.29610988188976384</v>
      </c>
      <c r="J146" s="4">
        <f t="shared" si="147"/>
        <v>0.37858519311023614</v>
      </c>
      <c r="K146" s="4">
        <f t="shared" si="148"/>
        <v>0.67469507500000003</v>
      </c>
      <c r="L146" s="13">
        <f t="shared" si="149"/>
        <v>0.78214860823556509</v>
      </c>
      <c r="M146" s="3">
        <f t="shared" ref="M146" si="152">AVERAGE(I146:I147)</f>
        <v>0.29610988188976378</v>
      </c>
      <c r="N146" s="3">
        <f t="shared" ref="N146" si="153">AVERAGE(J146:J147)</f>
        <v>0.38411548061023626</v>
      </c>
    </row>
    <row r="147" spans="1:14" x14ac:dyDescent="0.2">
      <c r="A147" s="4"/>
      <c r="B147" s="4">
        <v>100</v>
      </c>
      <c r="C147" s="4">
        <v>7</v>
      </c>
      <c r="D147" s="23">
        <v>4.8</v>
      </c>
      <c r="E147" s="23">
        <v>3.1</v>
      </c>
      <c r="F147" s="23">
        <f t="shared" si="143"/>
        <v>4.8</v>
      </c>
      <c r="G147" s="23">
        <f t="shared" si="144"/>
        <v>3.1</v>
      </c>
      <c r="H147" s="4">
        <f t="shared" si="145"/>
        <v>9.7450000000000002E-3</v>
      </c>
      <c r="I147" s="2">
        <f t="shared" si="146"/>
        <v>0.29610988188976373</v>
      </c>
      <c r="J147" s="4">
        <f t="shared" si="147"/>
        <v>0.38964576811023632</v>
      </c>
      <c r="K147" s="4">
        <f t="shared" si="148"/>
        <v>0.68575565000000005</v>
      </c>
      <c r="L147" s="13">
        <f t="shared" si="149"/>
        <v>0.75994635672776001</v>
      </c>
      <c r="M147" s="3"/>
      <c r="N147" s="3"/>
    </row>
    <row r="148" spans="1:14" x14ac:dyDescent="0.2">
      <c r="A148" s="4">
        <v>488357</v>
      </c>
      <c r="B148" s="4">
        <v>100</v>
      </c>
      <c r="C148" s="4">
        <v>7</v>
      </c>
      <c r="D148" s="23">
        <v>6.8</v>
      </c>
      <c r="E148" s="23">
        <v>3.8</v>
      </c>
      <c r="F148" s="23">
        <f t="shared" si="143"/>
        <v>6.8</v>
      </c>
      <c r="G148" s="23">
        <f t="shared" si="144"/>
        <v>3.8</v>
      </c>
      <c r="H148" s="4">
        <f t="shared" si="145"/>
        <v>9.7450000000000002E-3</v>
      </c>
      <c r="I148" s="2">
        <f t="shared" si="146"/>
        <v>0.52254685039370086</v>
      </c>
      <c r="J148" s="4">
        <f t="shared" si="147"/>
        <v>0.31805684960629926</v>
      </c>
      <c r="K148" s="4">
        <f t="shared" si="148"/>
        <v>0.84060370000000018</v>
      </c>
      <c r="L148" s="13">
        <f t="shared" si="149"/>
        <v>1.6429353778751368</v>
      </c>
      <c r="M148" s="3">
        <f t="shared" ref="M148" si="154">AVERAGE(I148:I149)</f>
        <v>0.52254685039370086</v>
      </c>
      <c r="N148" s="3">
        <f t="shared" ref="N148" si="155">AVERAGE(J148:J149)</f>
        <v>0.3069962746062993</v>
      </c>
    </row>
    <row r="149" spans="1:14" x14ac:dyDescent="0.2">
      <c r="A149" s="4"/>
      <c r="B149" s="4">
        <v>100</v>
      </c>
      <c r="C149" s="4">
        <v>7</v>
      </c>
      <c r="D149" s="23">
        <v>6.7</v>
      </c>
      <c r="E149" s="23">
        <v>3.7</v>
      </c>
      <c r="F149" s="23">
        <f t="shared" si="143"/>
        <v>6.7</v>
      </c>
      <c r="G149" s="23">
        <f t="shared" si="144"/>
        <v>3.7</v>
      </c>
      <c r="H149" s="4">
        <f t="shared" si="145"/>
        <v>9.7450000000000002E-3</v>
      </c>
      <c r="I149" s="2">
        <f t="shared" si="146"/>
        <v>0.52254685039370086</v>
      </c>
      <c r="J149" s="4">
        <f t="shared" si="147"/>
        <v>0.2959356996062994</v>
      </c>
      <c r="K149" s="4">
        <f t="shared" si="148"/>
        <v>0.81848255000000025</v>
      </c>
      <c r="L149" s="13">
        <f t="shared" si="149"/>
        <v>1.7657445556209526</v>
      </c>
      <c r="M149" s="3"/>
      <c r="N149" s="3"/>
    </row>
    <row r="150" spans="1:14" x14ac:dyDescent="0.2">
      <c r="A150" s="12">
        <v>488358</v>
      </c>
      <c r="B150" s="4">
        <v>100</v>
      </c>
      <c r="C150" s="4">
        <v>7</v>
      </c>
      <c r="D150" s="23">
        <v>5.9</v>
      </c>
      <c r="E150" s="23">
        <v>3.2</v>
      </c>
      <c r="F150" s="23">
        <f t="shared" si="143"/>
        <v>5.9</v>
      </c>
      <c r="G150" s="23">
        <f t="shared" si="144"/>
        <v>3.2</v>
      </c>
      <c r="H150" s="4">
        <f t="shared" si="145"/>
        <v>9.7450000000000002E-3</v>
      </c>
      <c r="I150" s="2">
        <f t="shared" si="146"/>
        <v>0.47029216535433077</v>
      </c>
      <c r="J150" s="4">
        <f t="shared" si="147"/>
        <v>0.23758463464566937</v>
      </c>
      <c r="K150" s="4">
        <f t="shared" si="148"/>
        <v>0.70787680000000019</v>
      </c>
      <c r="L150" s="13">
        <f t="shared" si="149"/>
        <v>1.9794721407624629</v>
      </c>
      <c r="M150" s="3">
        <f t="shared" ref="M150" si="156">AVERAGE(I150:I151)</f>
        <v>0.47029216535433072</v>
      </c>
      <c r="N150" s="3">
        <f t="shared" ref="N150" si="157">AVERAGE(J150:J151)</f>
        <v>0.25417549714566945</v>
      </c>
    </row>
    <row r="151" spans="1:14" x14ac:dyDescent="0.2">
      <c r="A151" s="4"/>
      <c r="B151" s="4">
        <v>100</v>
      </c>
      <c r="C151" s="4">
        <v>7</v>
      </c>
      <c r="D151" s="23">
        <v>6.05</v>
      </c>
      <c r="E151" s="23">
        <v>3.35</v>
      </c>
      <c r="F151" s="23">
        <f t="shared" si="143"/>
        <v>6.05</v>
      </c>
      <c r="G151" s="23">
        <f t="shared" si="144"/>
        <v>3.35</v>
      </c>
      <c r="H151" s="4">
        <f t="shared" si="145"/>
        <v>9.7450000000000002E-3</v>
      </c>
      <c r="I151" s="2">
        <f t="shared" si="146"/>
        <v>0.47029216535433072</v>
      </c>
      <c r="J151" s="4">
        <f t="shared" si="147"/>
        <v>0.27076635964566947</v>
      </c>
      <c r="K151" s="4">
        <f t="shared" si="148"/>
        <v>0.74105852500000013</v>
      </c>
      <c r="L151" s="13">
        <f t="shared" si="149"/>
        <v>1.7368928916050166</v>
      </c>
      <c r="M151" s="3"/>
      <c r="N151" s="3"/>
    </row>
    <row r="152" spans="1:14" x14ac:dyDescent="0.2">
      <c r="A152" s="4">
        <v>488359</v>
      </c>
      <c r="B152" s="4">
        <v>100</v>
      </c>
      <c r="C152" s="4">
        <v>7</v>
      </c>
      <c r="D152" s="23">
        <v>3.2</v>
      </c>
      <c r="E152" s="23">
        <v>1.8</v>
      </c>
      <c r="F152" s="23">
        <f t="shared" si="143"/>
        <v>3.2</v>
      </c>
      <c r="G152" s="23">
        <f t="shared" si="144"/>
        <v>1.8</v>
      </c>
      <c r="H152" s="4">
        <f t="shared" si="145"/>
        <v>9.7450000000000002E-3</v>
      </c>
      <c r="I152" s="2">
        <f t="shared" si="146"/>
        <v>0.24385519685039372</v>
      </c>
      <c r="J152" s="4">
        <f t="shared" si="147"/>
        <v>0.15432550314960633</v>
      </c>
      <c r="K152" s="4">
        <f t="shared" si="148"/>
        <v>0.39818070000000005</v>
      </c>
      <c r="L152" s="13">
        <f t="shared" si="149"/>
        <v>1.5801354401805867</v>
      </c>
      <c r="M152" s="3">
        <f t="shared" ref="M152" si="158">AVERAGE(I152:I153)</f>
        <v>0.23950063976377955</v>
      </c>
      <c r="N152" s="3">
        <f t="shared" ref="N152" si="159">AVERAGE(J152:J153)</f>
        <v>0.13102862273622048</v>
      </c>
    </row>
    <row r="153" spans="1:14" x14ac:dyDescent="0.2">
      <c r="A153" s="4"/>
      <c r="B153" s="4">
        <v>100</v>
      </c>
      <c r="C153" s="4">
        <v>7</v>
      </c>
      <c r="D153" s="23">
        <v>2.9</v>
      </c>
      <c r="E153" s="23">
        <v>1.55</v>
      </c>
      <c r="F153" s="23">
        <f t="shared" si="143"/>
        <v>2.9</v>
      </c>
      <c r="G153" s="23">
        <f t="shared" si="144"/>
        <v>1.55</v>
      </c>
      <c r="H153" s="4">
        <f t="shared" si="145"/>
        <v>9.7450000000000002E-3</v>
      </c>
      <c r="I153" s="2">
        <f t="shared" si="146"/>
        <v>0.23514608267716536</v>
      </c>
      <c r="J153" s="4">
        <f t="shared" si="147"/>
        <v>0.10773174232283463</v>
      </c>
      <c r="K153" s="4">
        <f t="shared" si="148"/>
        <v>0.34287782499999997</v>
      </c>
      <c r="L153" s="13">
        <f t="shared" si="149"/>
        <v>2.182700080840744</v>
      </c>
      <c r="M153" s="3"/>
      <c r="N153" s="3"/>
    </row>
    <row r="154" spans="1:14" x14ac:dyDescent="0.2">
      <c r="A154" s="4">
        <v>488360</v>
      </c>
      <c r="B154" s="4">
        <v>100</v>
      </c>
      <c r="C154" s="4">
        <v>7</v>
      </c>
      <c r="D154" s="23">
        <v>2.75</v>
      </c>
      <c r="E154" s="23">
        <v>1.45</v>
      </c>
      <c r="F154" s="23">
        <f t="shared" si="143"/>
        <v>2.75</v>
      </c>
      <c r="G154" s="23">
        <f t="shared" si="144"/>
        <v>1.45</v>
      </c>
      <c r="H154" s="4">
        <f t="shared" si="145"/>
        <v>9.7450000000000002E-3</v>
      </c>
      <c r="I154" s="2">
        <f t="shared" si="146"/>
        <v>0.22643696850393705</v>
      </c>
      <c r="J154" s="4">
        <f t="shared" si="147"/>
        <v>9.4319706496063041E-2</v>
      </c>
      <c r="K154" s="4">
        <f t="shared" si="148"/>
        <v>0.3207566750000001</v>
      </c>
      <c r="L154" s="13">
        <f t="shared" si="149"/>
        <v>2.4007386888273308</v>
      </c>
      <c r="M154" s="3">
        <f t="shared" ref="M154" si="160">AVERAGE(I154:I155)</f>
        <v>0.23079152559055122</v>
      </c>
      <c r="N154" s="3">
        <f t="shared" ref="N154" si="161">AVERAGE(J154:J155)</f>
        <v>8.9965149409448872E-2</v>
      </c>
    </row>
    <row r="155" spans="1:14" x14ac:dyDescent="0.2">
      <c r="A155" s="4"/>
      <c r="B155" s="4">
        <v>100</v>
      </c>
      <c r="C155" s="4">
        <v>7</v>
      </c>
      <c r="D155" s="23">
        <v>2.8</v>
      </c>
      <c r="E155" s="23">
        <v>1.45</v>
      </c>
      <c r="F155" s="23">
        <f t="shared" si="143"/>
        <v>2.8</v>
      </c>
      <c r="G155" s="23">
        <f t="shared" si="144"/>
        <v>1.45</v>
      </c>
      <c r="H155" s="4">
        <f t="shared" si="145"/>
        <v>9.7450000000000002E-3</v>
      </c>
      <c r="I155" s="2">
        <f t="shared" si="146"/>
        <v>0.23514608267716536</v>
      </c>
      <c r="J155" s="4">
        <f t="shared" si="147"/>
        <v>8.5610592322834703E-2</v>
      </c>
      <c r="K155" s="4">
        <f t="shared" si="148"/>
        <v>0.32075667500000005</v>
      </c>
      <c r="L155" s="13">
        <f t="shared" si="149"/>
        <v>2.7466937945066108</v>
      </c>
      <c r="M155" s="3"/>
      <c r="N155" s="3"/>
    </row>
    <row r="156" spans="1:14" x14ac:dyDescent="0.2">
      <c r="A156" s="31">
        <v>488251</v>
      </c>
      <c r="B156" s="4">
        <v>100</v>
      </c>
      <c r="C156" s="4">
        <v>6</v>
      </c>
      <c r="D156" s="23">
        <v>2.75</v>
      </c>
      <c r="E156" s="23">
        <v>1.3</v>
      </c>
      <c r="F156" s="23">
        <f t="shared" si="143"/>
        <v>2.75</v>
      </c>
      <c r="G156" s="23">
        <f t="shared" si="144"/>
        <v>1.3</v>
      </c>
      <c r="H156" s="4">
        <f t="shared" si="145"/>
        <v>3.5767E-2</v>
      </c>
      <c r="I156" s="2">
        <f t="shared" si="146"/>
        <v>0.92698488582677174</v>
      </c>
      <c r="J156" s="4">
        <f t="shared" si="147"/>
        <v>0.12849928417322842</v>
      </c>
      <c r="K156" s="4">
        <f t="shared" si="148"/>
        <v>1.0554841700000002</v>
      </c>
      <c r="L156" s="13">
        <f t="shared" si="149"/>
        <v>7.2139303482587032</v>
      </c>
      <c r="M156" s="3">
        <f t="shared" ref="M156" si="162">AVERAGE(I156:I157)</f>
        <v>0.91100238779527565</v>
      </c>
      <c r="N156" s="3">
        <f t="shared" ref="N156" si="163">AVERAGE(J156:J157)</f>
        <v>0.12418400970472451</v>
      </c>
    </row>
    <row r="157" spans="1:14" x14ac:dyDescent="0.2">
      <c r="A157" s="4"/>
      <c r="B157" s="4">
        <v>100</v>
      </c>
      <c r="C157" s="4">
        <v>6</v>
      </c>
      <c r="D157" s="23">
        <v>2.65</v>
      </c>
      <c r="E157" s="23">
        <v>1.25</v>
      </c>
      <c r="F157" s="23">
        <f t="shared" si="143"/>
        <v>2.65</v>
      </c>
      <c r="G157" s="23">
        <f t="shared" si="144"/>
        <v>1.25</v>
      </c>
      <c r="H157" s="4">
        <f t="shared" si="145"/>
        <v>3.5767E-2</v>
      </c>
      <c r="I157" s="2">
        <f t="shared" si="146"/>
        <v>0.89501988976377955</v>
      </c>
      <c r="J157" s="4">
        <f t="shared" si="147"/>
        <v>0.1198687352362206</v>
      </c>
      <c r="K157" s="4">
        <f t="shared" si="148"/>
        <v>1.0148886250000002</v>
      </c>
      <c r="L157" s="13">
        <f t="shared" si="149"/>
        <v>7.4666666666666588</v>
      </c>
      <c r="M157" s="3"/>
      <c r="N157" s="3"/>
    </row>
    <row r="158" spans="1:14" x14ac:dyDescent="0.2">
      <c r="A158" s="4">
        <v>488361</v>
      </c>
      <c r="B158" s="4">
        <v>100</v>
      </c>
      <c r="C158" s="4">
        <v>7</v>
      </c>
      <c r="D158" s="23">
        <v>2.5</v>
      </c>
      <c r="E158" s="23">
        <v>1.4</v>
      </c>
      <c r="F158" s="23">
        <f t="shared" si="143"/>
        <v>2.5</v>
      </c>
      <c r="G158" s="23">
        <f t="shared" si="144"/>
        <v>1.4</v>
      </c>
      <c r="H158" s="4">
        <f t="shared" si="145"/>
        <v>9.7450000000000002E-3</v>
      </c>
      <c r="I158" s="2">
        <f t="shared" si="146"/>
        <v>0.19160051181102367</v>
      </c>
      <c r="J158" s="4">
        <f t="shared" si="147"/>
        <v>0.11809558818897636</v>
      </c>
      <c r="K158" s="4">
        <f t="shared" si="148"/>
        <v>0.30969610000000003</v>
      </c>
      <c r="L158" s="13">
        <f t="shared" si="149"/>
        <v>1.6224188790560479</v>
      </c>
      <c r="M158" s="3">
        <f t="shared" ref="M158" si="164">AVERAGE(I158:I159)</f>
        <v>0.21337329724409454</v>
      </c>
      <c r="N158" s="3">
        <f t="shared" ref="N158" si="165">AVERAGE(J158:J159)</f>
        <v>0.15162567775590552</v>
      </c>
    </row>
    <row r="159" spans="1:14" x14ac:dyDescent="0.2">
      <c r="A159" s="4"/>
      <c r="B159" s="4">
        <v>100</v>
      </c>
      <c r="C159" s="4">
        <v>7</v>
      </c>
      <c r="D159" s="23">
        <v>3.25</v>
      </c>
      <c r="E159" s="23">
        <v>1.9</v>
      </c>
      <c r="F159" s="23">
        <f t="shared" si="143"/>
        <v>3.25</v>
      </c>
      <c r="G159" s="23">
        <f t="shared" si="144"/>
        <v>1.9</v>
      </c>
      <c r="H159" s="4">
        <f t="shared" si="145"/>
        <v>9.7450000000000002E-3</v>
      </c>
      <c r="I159" s="2">
        <f t="shared" si="146"/>
        <v>0.23514608267716539</v>
      </c>
      <c r="J159" s="4">
        <f t="shared" si="147"/>
        <v>0.18515576732283467</v>
      </c>
      <c r="K159" s="4">
        <f t="shared" si="148"/>
        <v>0.42030185000000009</v>
      </c>
      <c r="L159" s="13">
        <f t="shared" si="149"/>
        <v>1.2699905926622765</v>
      </c>
      <c r="M159" s="3"/>
      <c r="N159" s="3"/>
    </row>
    <row r="160" spans="1:14" x14ac:dyDescent="0.2">
      <c r="A160" s="4">
        <v>488362</v>
      </c>
      <c r="B160" s="4">
        <v>100</v>
      </c>
      <c r="C160" s="4">
        <v>7</v>
      </c>
      <c r="D160" s="23">
        <v>3.15</v>
      </c>
      <c r="E160" s="23">
        <v>1.85</v>
      </c>
      <c r="F160" s="23">
        <f t="shared" si="143"/>
        <v>3.15</v>
      </c>
      <c r="G160" s="23">
        <f t="shared" si="144"/>
        <v>1.85</v>
      </c>
      <c r="H160" s="4">
        <f t="shared" si="145"/>
        <v>9.7450000000000002E-3</v>
      </c>
      <c r="I160" s="2">
        <f t="shared" si="146"/>
        <v>0.22643696850393699</v>
      </c>
      <c r="J160" s="4">
        <f t="shared" si="147"/>
        <v>0.18280430649606313</v>
      </c>
      <c r="K160" s="4">
        <f t="shared" si="148"/>
        <v>0.40924127500000013</v>
      </c>
      <c r="L160" s="13">
        <f t="shared" si="149"/>
        <v>1.2386850881372071</v>
      </c>
      <c r="M160" s="3">
        <f t="shared" ref="M160" si="166">AVERAGE(I160:I161)</f>
        <v>0.20030962598425195</v>
      </c>
      <c r="N160" s="3">
        <f t="shared" ref="N160" si="167">AVERAGE(J160:J161)</f>
        <v>0.14809848651574811</v>
      </c>
    </row>
    <row r="161" spans="1:14" x14ac:dyDescent="0.2">
      <c r="A161" s="4"/>
      <c r="B161" s="4">
        <v>100</v>
      </c>
      <c r="C161" s="4">
        <v>7</v>
      </c>
      <c r="D161" s="23">
        <v>2.2999999999999998</v>
      </c>
      <c r="E161" s="23">
        <v>1.3</v>
      </c>
      <c r="F161" s="23">
        <f t="shared" si="143"/>
        <v>2.2999999999999998</v>
      </c>
      <c r="G161" s="23">
        <f t="shared" si="144"/>
        <v>1.3</v>
      </c>
      <c r="H161" s="4">
        <f t="shared" si="145"/>
        <v>9.7450000000000002E-3</v>
      </c>
      <c r="I161" s="2">
        <f t="shared" si="146"/>
        <v>0.17418228346456691</v>
      </c>
      <c r="J161" s="4">
        <f t="shared" si="147"/>
        <v>0.1133926665354331</v>
      </c>
      <c r="K161" s="4">
        <f t="shared" si="148"/>
        <v>0.28757495</v>
      </c>
      <c r="L161" s="13">
        <f t="shared" si="149"/>
        <v>1.5360983102918579</v>
      </c>
      <c r="M161" s="3"/>
      <c r="N161" s="3"/>
    </row>
    <row r="162" spans="1:14" x14ac:dyDescent="0.2">
      <c r="A162" s="4">
        <v>488363</v>
      </c>
      <c r="B162" s="4">
        <v>100</v>
      </c>
      <c r="C162" s="4">
        <v>7</v>
      </c>
      <c r="D162" s="23">
        <v>3.75</v>
      </c>
      <c r="E162" s="23">
        <v>2</v>
      </c>
      <c r="F162" s="23">
        <f t="shared" si="143"/>
        <v>3.75</v>
      </c>
      <c r="G162" s="23">
        <f t="shared" si="144"/>
        <v>2</v>
      </c>
      <c r="H162" s="4">
        <f t="shared" si="145"/>
        <v>9.7450000000000002E-3</v>
      </c>
      <c r="I162" s="2">
        <f t="shared" si="146"/>
        <v>0.30481899606299218</v>
      </c>
      <c r="J162" s="4">
        <f t="shared" si="147"/>
        <v>0.13760400393700795</v>
      </c>
      <c r="K162" s="4">
        <f t="shared" si="148"/>
        <v>0.44242300000000012</v>
      </c>
      <c r="L162" s="13">
        <f t="shared" si="149"/>
        <v>2.2151898734177209</v>
      </c>
      <c r="M162" s="3">
        <f t="shared" ref="M162" si="168">AVERAGE(I162:I163)</f>
        <v>0.26562798228346463</v>
      </c>
      <c r="N162" s="3">
        <f t="shared" ref="N162" si="169">AVERAGE(J162:J163)</f>
        <v>0.1436132927165355</v>
      </c>
    </row>
    <row r="163" spans="1:14" x14ac:dyDescent="0.2">
      <c r="A163" s="4"/>
      <c r="B163" s="4">
        <v>100</v>
      </c>
      <c r="C163" s="4">
        <v>7</v>
      </c>
      <c r="D163" s="23">
        <v>3</v>
      </c>
      <c r="E163" s="23">
        <v>1.7</v>
      </c>
      <c r="F163" s="23">
        <f t="shared" si="143"/>
        <v>3</v>
      </c>
      <c r="G163" s="23">
        <f t="shared" si="144"/>
        <v>1.7</v>
      </c>
      <c r="H163" s="4">
        <f t="shared" si="145"/>
        <v>9.7450000000000002E-3</v>
      </c>
      <c r="I163" s="2">
        <f t="shared" si="146"/>
        <v>0.22643696850393705</v>
      </c>
      <c r="J163" s="4">
        <f t="shared" si="147"/>
        <v>0.14962258149606306</v>
      </c>
      <c r="K163" s="4">
        <f t="shared" si="148"/>
        <v>0.37605955000000013</v>
      </c>
      <c r="L163" s="13">
        <f t="shared" si="149"/>
        <v>1.5133876600698484</v>
      </c>
      <c r="M163" s="3"/>
      <c r="N163" s="3"/>
    </row>
    <row r="164" spans="1:14" x14ac:dyDescent="0.2">
      <c r="A164" s="4">
        <v>488364</v>
      </c>
      <c r="B164" s="4">
        <v>100</v>
      </c>
      <c r="C164" s="4">
        <v>5</v>
      </c>
      <c r="D164" s="23">
        <v>2.7</v>
      </c>
      <c r="E164" s="23">
        <v>1.2</v>
      </c>
      <c r="F164" s="23">
        <f t="shared" si="143"/>
        <v>2.7</v>
      </c>
      <c r="G164" s="23">
        <f t="shared" si="144"/>
        <v>1.2</v>
      </c>
      <c r="H164" s="4">
        <f t="shared" si="145"/>
        <v>0.123026</v>
      </c>
      <c r="I164" s="2">
        <f t="shared" si="146"/>
        <v>3.2984529921259842</v>
      </c>
      <c r="J164" s="4">
        <f t="shared" si="147"/>
        <v>5.2775247874015899E-2</v>
      </c>
      <c r="K164" s="4">
        <f t="shared" si="148"/>
        <v>3.3512282400000002</v>
      </c>
      <c r="L164" s="13">
        <f t="shared" si="149"/>
        <v>62.499999999999822</v>
      </c>
      <c r="M164" s="3">
        <f t="shared" ref="M164" si="170">AVERAGE(I164:I165)</f>
        <v>3.2984529921259842</v>
      </c>
      <c r="N164" s="3">
        <f t="shared" ref="N164" si="171">AVERAGE(J164:J165)</f>
        <v>0.12259250287401627</v>
      </c>
    </row>
    <row r="165" spans="1:14" x14ac:dyDescent="0.2">
      <c r="A165" s="4"/>
      <c r="B165" s="4">
        <v>100</v>
      </c>
      <c r="C165" s="4">
        <v>5</v>
      </c>
      <c r="D165" s="23">
        <v>2.75</v>
      </c>
      <c r="E165" s="23">
        <v>1.25</v>
      </c>
      <c r="F165" s="23">
        <f t="shared" si="143"/>
        <v>2.75</v>
      </c>
      <c r="G165" s="23">
        <f t="shared" si="144"/>
        <v>1.25</v>
      </c>
      <c r="H165" s="4">
        <f t="shared" si="145"/>
        <v>0.123026</v>
      </c>
      <c r="I165" s="2">
        <f t="shared" si="146"/>
        <v>3.2984529921259842</v>
      </c>
      <c r="J165" s="4">
        <f t="shared" si="147"/>
        <v>0.19240975787401665</v>
      </c>
      <c r="K165" s="4">
        <f t="shared" si="148"/>
        <v>3.4908627500000007</v>
      </c>
      <c r="L165" s="13">
        <f t="shared" si="149"/>
        <v>17.142857142857061</v>
      </c>
      <c r="M165" s="3"/>
      <c r="N165" s="3"/>
    </row>
    <row r="166" spans="1:14" x14ac:dyDescent="0.2">
      <c r="A166" s="4">
        <v>488365</v>
      </c>
      <c r="B166" s="4">
        <v>100</v>
      </c>
      <c r="C166" s="4">
        <v>6</v>
      </c>
      <c r="D166" s="23">
        <v>4.75</v>
      </c>
      <c r="E166" s="23">
        <v>2.2999999999999998</v>
      </c>
      <c r="F166" s="23">
        <f t="shared" si="143"/>
        <v>4.75</v>
      </c>
      <c r="G166" s="23">
        <f t="shared" si="144"/>
        <v>2.2999999999999998</v>
      </c>
      <c r="H166" s="4">
        <f t="shared" si="145"/>
        <v>3.5767E-2</v>
      </c>
      <c r="I166" s="2">
        <f t="shared" si="146"/>
        <v>1.5662848070866144</v>
      </c>
      <c r="J166" s="4">
        <f t="shared" si="147"/>
        <v>0.30111026291338561</v>
      </c>
      <c r="K166" s="4">
        <f t="shared" si="148"/>
        <v>1.8673950700000002</v>
      </c>
      <c r="L166" s="13">
        <f t="shared" si="149"/>
        <v>5.2016985138004292</v>
      </c>
      <c r="M166" s="3">
        <f t="shared" ref="M166" si="172">AVERAGE(I166:I167)</f>
        <v>1.5662848070866144</v>
      </c>
      <c r="N166" s="3">
        <f t="shared" ref="N166" si="173">AVERAGE(J166:J167)</f>
        <v>0.26051471791338576</v>
      </c>
    </row>
    <row r="167" spans="1:14" x14ac:dyDescent="0.2">
      <c r="A167" s="4"/>
      <c r="B167" s="4">
        <v>100</v>
      </c>
      <c r="C167" s="4">
        <v>6</v>
      </c>
      <c r="D167" s="23">
        <v>4.6500000000000004</v>
      </c>
      <c r="E167" s="23">
        <v>2.2000000000000002</v>
      </c>
      <c r="F167" s="23">
        <f t="shared" si="143"/>
        <v>4.6500000000000004</v>
      </c>
      <c r="G167" s="23">
        <f t="shared" si="144"/>
        <v>2.2000000000000002</v>
      </c>
      <c r="H167" s="4">
        <f t="shared" si="145"/>
        <v>3.5767E-2</v>
      </c>
      <c r="I167" s="2">
        <f t="shared" si="146"/>
        <v>1.5662848070866144</v>
      </c>
      <c r="J167" s="4">
        <f t="shared" si="147"/>
        <v>0.21991917291338589</v>
      </c>
      <c r="K167" s="4">
        <f t="shared" si="148"/>
        <v>1.7862039800000002</v>
      </c>
      <c r="L167" s="13">
        <f t="shared" si="149"/>
        <v>7.1220930232558128</v>
      </c>
      <c r="M167" s="3"/>
      <c r="N167" s="3"/>
    </row>
    <row r="168" spans="1:14" x14ac:dyDescent="0.2">
      <c r="A168" s="4">
        <v>488366</v>
      </c>
      <c r="B168" s="4">
        <v>100</v>
      </c>
      <c r="C168" s="4">
        <v>6</v>
      </c>
      <c r="D168" s="23">
        <v>4.1500000000000004</v>
      </c>
      <c r="E168" s="23">
        <v>2.0499999999999998</v>
      </c>
      <c r="F168" s="23">
        <f t="shared" si="143"/>
        <v>4.1500000000000004</v>
      </c>
      <c r="G168" s="23">
        <f t="shared" si="144"/>
        <v>2.0499999999999998</v>
      </c>
      <c r="H168" s="4">
        <f t="shared" si="145"/>
        <v>3.5767E-2</v>
      </c>
      <c r="I168" s="2">
        <f t="shared" si="146"/>
        <v>1.3425298346456698</v>
      </c>
      <c r="J168" s="4">
        <f t="shared" si="147"/>
        <v>0.3218875103543305</v>
      </c>
      <c r="K168" s="4">
        <f t="shared" si="148"/>
        <v>1.6644173450000004</v>
      </c>
      <c r="L168" s="13">
        <f t="shared" si="149"/>
        <v>4.1708043694141059</v>
      </c>
      <c r="M168" s="3">
        <f t="shared" ref="M168" si="174">AVERAGE(I168:I169)</f>
        <v>1.3585123326771658</v>
      </c>
      <c r="N168" s="3">
        <f t="shared" ref="N168" si="175">AVERAGE(J168:J169)</f>
        <v>0.32620278482283449</v>
      </c>
    </row>
    <row r="169" spans="1:14" x14ac:dyDescent="0.2">
      <c r="A169" s="4"/>
      <c r="B169" s="4">
        <v>100</v>
      </c>
      <c r="C169" s="4">
        <v>6</v>
      </c>
      <c r="D169" s="23">
        <v>4.25</v>
      </c>
      <c r="E169" s="23">
        <v>2.1</v>
      </c>
      <c r="F169" s="23">
        <f t="shared" si="143"/>
        <v>4.25</v>
      </c>
      <c r="G169" s="23">
        <f t="shared" si="144"/>
        <v>2.1</v>
      </c>
      <c r="H169" s="4">
        <f t="shared" si="145"/>
        <v>3.5767E-2</v>
      </c>
      <c r="I169" s="2">
        <f t="shared" si="146"/>
        <v>1.3744948307086617</v>
      </c>
      <c r="J169" s="4">
        <f t="shared" si="147"/>
        <v>0.33051805929133854</v>
      </c>
      <c r="K169" s="4">
        <f t="shared" si="148"/>
        <v>1.7050128900000003</v>
      </c>
      <c r="L169" s="13">
        <f t="shared" si="149"/>
        <v>4.1586073500967133</v>
      </c>
      <c r="M169" s="3"/>
      <c r="N169" s="3"/>
    </row>
    <row r="170" spans="1:14" x14ac:dyDescent="0.2">
      <c r="A170" s="4">
        <v>488367</v>
      </c>
      <c r="B170" s="4">
        <v>100</v>
      </c>
      <c r="C170" s="4">
        <v>6</v>
      </c>
      <c r="D170" s="23">
        <v>4.3499999999999996</v>
      </c>
      <c r="E170" s="23">
        <v>2.15</v>
      </c>
      <c r="F170" s="23">
        <f t="shared" si="143"/>
        <v>4.3499999999999996</v>
      </c>
      <c r="G170" s="23">
        <f t="shared" si="144"/>
        <v>2.15</v>
      </c>
      <c r="H170" s="4">
        <f t="shared" si="145"/>
        <v>3.5767E-2</v>
      </c>
      <c r="I170" s="2">
        <f t="shared" si="146"/>
        <v>1.4064598267716537</v>
      </c>
      <c r="J170" s="4">
        <f t="shared" si="147"/>
        <v>0.33914860822834675</v>
      </c>
      <c r="K170" s="4">
        <f t="shared" si="148"/>
        <v>1.7456084350000005</v>
      </c>
      <c r="L170" s="13">
        <f t="shared" si="149"/>
        <v>4.1470311027332674</v>
      </c>
      <c r="M170" s="3">
        <f t="shared" ref="M170" si="176">AVERAGE(I170:I171)</f>
        <v>1.3904773287401579</v>
      </c>
      <c r="N170" s="3">
        <f t="shared" ref="N170" si="177">AVERAGE(J170:J171)</f>
        <v>0.31453556125984256</v>
      </c>
    </row>
    <row r="171" spans="1:14" x14ac:dyDescent="0.2">
      <c r="A171" s="4"/>
      <c r="B171" s="4">
        <v>100</v>
      </c>
      <c r="C171" s="4">
        <v>6</v>
      </c>
      <c r="D171" s="23">
        <v>4.2</v>
      </c>
      <c r="E171" s="23">
        <v>2.0499999999999998</v>
      </c>
      <c r="F171" s="23">
        <f t="shared" si="143"/>
        <v>4.2</v>
      </c>
      <c r="G171" s="23">
        <f t="shared" si="144"/>
        <v>2.0499999999999998</v>
      </c>
      <c r="H171" s="4">
        <f t="shared" si="145"/>
        <v>3.5767E-2</v>
      </c>
      <c r="I171" s="2">
        <f t="shared" si="146"/>
        <v>1.374494830708662</v>
      </c>
      <c r="J171" s="4">
        <f t="shared" si="147"/>
        <v>0.28992251429133836</v>
      </c>
      <c r="K171" s="4">
        <f t="shared" si="148"/>
        <v>1.6644173450000004</v>
      </c>
      <c r="L171" s="13">
        <f t="shared" si="149"/>
        <v>4.7409040793825854</v>
      </c>
      <c r="M171" s="3"/>
      <c r="N171" s="3"/>
    </row>
    <row r="172" spans="1:14" x14ac:dyDescent="0.2">
      <c r="A172" s="4">
        <v>488368</v>
      </c>
      <c r="B172" s="4">
        <v>100</v>
      </c>
      <c r="C172" s="4">
        <v>6</v>
      </c>
      <c r="D172" s="23">
        <v>5.45</v>
      </c>
      <c r="E172" s="23">
        <v>2.5499999999999998</v>
      </c>
      <c r="F172" s="23">
        <f t="shared" si="143"/>
        <v>5.45</v>
      </c>
      <c r="G172" s="23">
        <f t="shared" si="144"/>
        <v>2.5499999999999998</v>
      </c>
      <c r="H172" s="4">
        <f t="shared" si="145"/>
        <v>3.5767E-2</v>
      </c>
      <c r="I172" s="2">
        <f t="shared" si="146"/>
        <v>1.8539697716535437</v>
      </c>
      <c r="J172" s="4">
        <f t="shared" si="147"/>
        <v>0.21640302334645697</v>
      </c>
      <c r="K172" s="4">
        <f t="shared" si="148"/>
        <v>2.0703727950000008</v>
      </c>
      <c r="L172" s="13">
        <f t="shared" si="149"/>
        <v>8.5672082717872868</v>
      </c>
      <c r="M172" s="3">
        <f t="shared" ref="M172" si="178">AVERAGE(I172:I173)</f>
        <v>1.8060222775590558</v>
      </c>
      <c r="N172" s="3">
        <f t="shared" ref="N172" si="179">AVERAGE(J172:J173)</f>
        <v>0.20345719994094494</v>
      </c>
    </row>
    <row r="173" spans="1:14" x14ac:dyDescent="0.2">
      <c r="A173" s="4"/>
      <c r="B173" s="4">
        <v>100</v>
      </c>
      <c r="C173" s="4">
        <v>6</v>
      </c>
      <c r="D173" s="23">
        <v>5.15</v>
      </c>
      <c r="E173" s="23">
        <v>2.4</v>
      </c>
      <c r="F173" s="23">
        <f t="shared" si="143"/>
        <v>5.15</v>
      </c>
      <c r="G173" s="23">
        <f t="shared" si="144"/>
        <v>2.4</v>
      </c>
      <c r="H173" s="4">
        <f t="shared" si="145"/>
        <v>3.5767E-2</v>
      </c>
      <c r="I173" s="2">
        <f t="shared" si="146"/>
        <v>1.7580747834645676</v>
      </c>
      <c r="J173" s="4">
        <f t="shared" si="147"/>
        <v>0.1905113765354329</v>
      </c>
      <c r="K173" s="4">
        <f t="shared" si="148"/>
        <v>1.9485861600000005</v>
      </c>
      <c r="L173" s="13">
        <f t="shared" si="149"/>
        <v>9.2281879194630996</v>
      </c>
      <c r="M173" s="3"/>
      <c r="N173" s="3"/>
    </row>
    <row r="174" spans="1:14" x14ac:dyDescent="0.2">
      <c r="A174" s="4">
        <v>488369</v>
      </c>
      <c r="B174" s="4">
        <v>100</v>
      </c>
      <c r="C174" s="4">
        <v>6</v>
      </c>
      <c r="D174" s="23">
        <v>3.95</v>
      </c>
      <c r="E174" s="23">
        <v>1.85</v>
      </c>
      <c r="F174" s="23">
        <f t="shared" si="143"/>
        <v>3.95</v>
      </c>
      <c r="G174" s="23">
        <f t="shared" si="144"/>
        <v>1.85</v>
      </c>
      <c r="H174" s="4">
        <f t="shared" si="145"/>
        <v>3.5767E-2</v>
      </c>
      <c r="I174" s="2">
        <f t="shared" si="146"/>
        <v>1.3425298346456693</v>
      </c>
      <c r="J174" s="4">
        <f t="shared" si="147"/>
        <v>0.15950533035433101</v>
      </c>
      <c r="K174" s="4">
        <f t="shared" si="148"/>
        <v>1.5020351650000003</v>
      </c>
      <c r="L174" s="13">
        <f t="shared" si="149"/>
        <v>8.4168336673346538</v>
      </c>
      <c r="M174" s="3">
        <f t="shared" ref="M174" si="180">AVERAGE(I174:I175)</f>
        <v>1.4064598267716537</v>
      </c>
      <c r="N174" s="3">
        <f t="shared" ref="N174" si="181">AVERAGE(J174:J175)</f>
        <v>0.13617088322834653</v>
      </c>
    </row>
    <row r="175" spans="1:14" x14ac:dyDescent="0.2">
      <c r="A175" s="4"/>
      <c r="B175" s="4">
        <v>100</v>
      </c>
      <c r="C175" s="4">
        <v>6</v>
      </c>
      <c r="D175" s="23">
        <v>4.25</v>
      </c>
      <c r="E175" s="23">
        <v>1.95</v>
      </c>
      <c r="F175" s="23">
        <f t="shared" si="143"/>
        <v>4.25</v>
      </c>
      <c r="G175" s="23">
        <f t="shared" si="144"/>
        <v>1.95</v>
      </c>
      <c r="H175" s="4">
        <f t="shared" si="145"/>
        <v>3.5767E-2</v>
      </c>
      <c r="I175" s="2">
        <f t="shared" si="146"/>
        <v>1.4703898188976379</v>
      </c>
      <c r="J175" s="4">
        <f t="shared" si="147"/>
        <v>0.11283643610236208</v>
      </c>
      <c r="K175" s="4">
        <f t="shared" si="148"/>
        <v>1.583226255</v>
      </c>
      <c r="L175" s="13">
        <f t="shared" si="149"/>
        <v>13.031161473087835</v>
      </c>
      <c r="M175" s="3"/>
      <c r="N175" s="3"/>
    </row>
    <row r="176" spans="1:14" x14ac:dyDescent="0.2">
      <c r="A176" s="4">
        <v>488374</v>
      </c>
      <c r="B176" s="4">
        <v>100</v>
      </c>
      <c r="C176" s="4">
        <v>8</v>
      </c>
      <c r="D176" s="23">
        <v>1.8</v>
      </c>
      <c r="E176" s="23">
        <v>1.35</v>
      </c>
      <c r="F176" s="23">
        <f t="shared" si="143"/>
        <v>1.8</v>
      </c>
      <c r="G176" s="23">
        <f t="shared" si="144"/>
        <v>1.35</v>
      </c>
      <c r="H176" s="4">
        <f t="shared" si="145"/>
        <v>3.8630000000000001E-3</v>
      </c>
      <c r="I176" s="2">
        <f t="shared" si="146"/>
        <v>3.1071295275590546E-2</v>
      </c>
      <c r="J176" s="4">
        <f t="shared" si="147"/>
        <v>8.731033972440945E-2</v>
      </c>
      <c r="K176" s="4">
        <f t="shared" si="148"/>
        <v>0.118381635</v>
      </c>
      <c r="L176" s="13">
        <f t="shared" si="149"/>
        <v>0.35587188612099635</v>
      </c>
      <c r="M176" s="3">
        <f t="shared" ref="M176" si="182">AVERAGE(I176:I177)</f>
        <v>2.5892746062992127E-2</v>
      </c>
      <c r="N176" s="3">
        <f t="shared" ref="N176" si="183">AVERAGE(J176:J177)</f>
        <v>8.8104383937007882E-2</v>
      </c>
    </row>
    <row r="177" spans="1:16" x14ac:dyDescent="0.2">
      <c r="A177" s="4"/>
      <c r="B177" s="4">
        <v>100</v>
      </c>
      <c r="C177" s="4">
        <v>8</v>
      </c>
      <c r="D177" s="23">
        <v>1.55</v>
      </c>
      <c r="E177" s="23">
        <v>1.25</v>
      </c>
      <c r="F177" s="23">
        <f t="shared" si="143"/>
        <v>1.55</v>
      </c>
      <c r="G177" s="23">
        <f t="shared" si="144"/>
        <v>1.25</v>
      </c>
      <c r="H177" s="4">
        <f t="shared" si="145"/>
        <v>3.8630000000000001E-3</v>
      </c>
      <c r="I177" s="2">
        <f t="shared" si="146"/>
        <v>2.0714196850393704E-2</v>
      </c>
      <c r="J177" s="4">
        <f t="shared" si="147"/>
        <v>8.8898428149606315E-2</v>
      </c>
      <c r="K177" s="4">
        <f t="shared" si="148"/>
        <v>0.10961262500000002</v>
      </c>
      <c r="L177" s="13">
        <f t="shared" si="149"/>
        <v>0.23300970873786409</v>
      </c>
      <c r="M177" s="3"/>
      <c r="N177" s="3"/>
    </row>
    <row r="178" spans="1:16" x14ac:dyDescent="0.2">
      <c r="A178" s="4">
        <v>488375</v>
      </c>
      <c r="B178" s="4">
        <v>100</v>
      </c>
      <c r="C178" s="4">
        <v>8</v>
      </c>
      <c r="D178" s="23">
        <v>3.2</v>
      </c>
      <c r="E178" s="23">
        <v>2.0499999999999998</v>
      </c>
      <c r="F178" s="23">
        <f t="shared" si="143"/>
        <v>3.2</v>
      </c>
      <c r="G178" s="23">
        <f t="shared" si="144"/>
        <v>2.0499999999999998</v>
      </c>
      <c r="H178" s="4">
        <f t="shared" si="145"/>
        <v>3.8630000000000001E-3</v>
      </c>
      <c r="I178" s="2">
        <f t="shared" si="146"/>
        <v>7.9404421259842553E-2</v>
      </c>
      <c r="J178" s="4">
        <f t="shared" si="147"/>
        <v>0.10036028374015746</v>
      </c>
      <c r="K178" s="4">
        <f t="shared" si="148"/>
        <v>0.17976470500000002</v>
      </c>
      <c r="L178" s="13">
        <f t="shared" si="149"/>
        <v>0.79119367045063693</v>
      </c>
      <c r="M178" s="3">
        <f t="shared" ref="M178" si="184">AVERAGE(I178:I179)</f>
        <v>7.9404421259842553E-2</v>
      </c>
      <c r="N178" s="3">
        <f t="shared" ref="N178" si="185">AVERAGE(J178:J179)</f>
        <v>0.10036028374015746</v>
      </c>
    </row>
    <row r="179" spans="1:16" x14ac:dyDescent="0.2">
      <c r="A179" s="4"/>
      <c r="B179" s="4">
        <v>100</v>
      </c>
      <c r="C179" s="4">
        <v>8</v>
      </c>
      <c r="D179" s="23">
        <v>3.2</v>
      </c>
      <c r="E179" s="23">
        <v>2.0499999999999998</v>
      </c>
      <c r="F179" s="23">
        <f t="shared" si="143"/>
        <v>3.2</v>
      </c>
      <c r="G179" s="23">
        <f t="shared" si="144"/>
        <v>2.0499999999999998</v>
      </c>
      <c r="H179" s="4">
        <f t="shared" si="145"/>
        <v>3.8630000000000001E-3</v>
      </c>
      <c r="I179" s="2">
        <f t="shared" si="146"/>
        <v>7.9404421259842553E-2</v>
      </c>
      <c r="J179" s="4">
        <f t="shared" si="147"/>
        <v>0.10036028374015746</v>
      </c>
      <c r="K179" s="4">
        <f t="shared" si="148"/>
        <v>0.17976470500000002</v>
      </c>
      <c r="L179" s="13">
        <f t="shared" si="149"/>
        <v>0.79119367045063693</v>
      </c>
      <c r="M179" s="3"/>
      <c r="N179" s="3"/>
    </row>
    <row r="180" spans="1:16" x14ac:dyDescent="0.2">
      <c r="A180" s="4">
        <v>488376</v>
      </c>
      <c r="B180" s="4">
        <v>100</v>
      </c>
      <c r="C180" s="4">
        <v>8</v>
      </c>
      <c r="D180" s="23">
        <v>3.55</v>
      </c>
      <c r="E180" s="23">
        <v>2.35</v>
      </c>
      <c r="F180" s="23">
        <f t="shared" si="143"/>
        <v>3.55</v>
      </c>
      <c r="G180" s="23">
        <f t="shared" si="144"/>
        <v>2.35</v>
      </c>
      <c r="H180" s="4">
        <f t="shared" si="145"/>
        <v>3.8630000000000001E-3</v>
      </c>
      <c r="I180" s="2">
        <f t="shared" si="146"/>
        <v>8.2856787401574775E-2</v>
      </c>
      <c r="J180" s="4">
        <f t="shared" si="147"/>
        <v>0.12321494759842523</v>
      </c>
      <c r="K180" s="4">
        <f t="shared" si="148"/>
        <v>0.20607173500000001</v>
      </c>
      <c r="L180" s="13">
        <f t="shared" si="149"/>
        <v>0.67245727094424168</v>
      </c>
      <c r="M180" s="3">
        <f t="shared" ref="M180" si="186">AVERAGE(I180:I181)</f>
        <v>7.7678238188976359E-2</v>
      </c>
      <c r="N180" s="3">
        <f t="shared" ref="N180" si="187">AVERAGE(J180:J181)</f>
        <v>0.12400899181102364</v>
      </c>
    </row>
    <row r="181" spans="1:16" x14ac:dyDescent="0.2">
      <c r="A181" s="4"/>
      <c r="B181" s="4">
        <v>100</v>
      </c>
      <c r="C181" s="4">
        <v>8</v>
      </c>
      <c r="D181" s="23">
        <v>3.3</v>
      </c>
      <c r="E181" s="23">
        <v>2.25</v>
      </c>
      <c r="F181" s="23">
        <f t="shared" si="143"/>
        <v>3.3</v>
      </c>
      <c r="G181" s="23">
        <f t="shared" si="144"/>
        <v>2.25</v>
      </c>
      <c r="H181" s="4">
        <f t="shared" si="145"/>
        <v>3.8630000000000001E-3</v>
      </c>
      <c r="I181" s="2">
        <f t="shared" si="146"/>
        <v>7.2499688976377943E-2</v>
      </c>
      <c r="J181" s="4">
        <f t="shared" si="147"/>
        <v>0.12480303602362204</v>
      </c>
      <c r="K181" s="4">
        <f t="shared" si="148"/>
        <v>0.19730272499999998</v>
      </c>
      <c r="L181" s="13">
        <f t="shared" si="149"/>
        <v>0.58091286307053935</v>
      </c>
      <c r="M181" s="3"/>
      <c r="N181" s="3"/>
    </row>
    <row r="182" spans="1:16" x14ac:dyDescent="0.2">
      <c r="A182" s="4">
        <v>488377</v>
      </c>
      <c r="B182" s="4">
        <v>100</v>
      </c>
      <c r="C182" s="4">
        <v>8</v>
      </c>
      <c r="D182" s="23">
        <v>6</v>
      </c>
      <c r="E182" s="23">
        <v>3.45</v>
      </c>
      <c r="F182" s="23">
        <f t="shared" si="143"/>
        <v>6</v>
      </c>
      <c r="G182" s="23">
        <f t="shared" si="144"/>
        <v>3.45</v>
      </c>
      <c r="H182" s="4">
        <f t="shared" si="145"/>
        <v>3.8630000000000001E-3</v>
      </c>
      <c r="I182" s="2">
        <f t="shared" si="146"/>
        <v>0.17607067322834646</v>
      </c>
      <c r="J182" s="4">
        <f t="shared" si="147"/>
        <v>0.12646017177165356</v>
      </c>
      <c r="K182" s="4">
        <f t="shared" si="148"/>
        <v>0.30253084500000005</v>
      </c>
      <c r="L182" s="13">
        <f t="shared" si="149"/>
        <v>1.3923013923013923</v>
      </c>
      <c r="M182" s="3">
        <f t="shared" ref="M182" si="188">AVERAGE(I182:I183)</f>
        <v>0.18124922244094488</v>
      </c>
      <c r="N182" s="3">
        <f t="shared" ref="N182" si="189">AVERAGE(J182:J183)</f>
        <v>0.11689711755905516</v>
      </c>
    </row>
    <row r="183" spans="1:16" x14ac:dyDescent="0.2">
      <c r="A183" s="4"/>
      <c r="B183" s="4">
        <v>100</v>
      </c>
      <c r="C183" s="4">
        <v>8</v>
      </c>
      <c r="D183" s="23">
        <v>6.05</v>
      </c>
      <c r="E183" s="23">
        <v>3.35</v>
      </c>
      <c r="F183" s="23">
        <f t="shared" si="143"/>
        <v>6.05</v>
      </c>
      <c r="G183" s="23">
        <f t="shared" si="144"/>
        <v>3.35</v>
      </c>
      <c r="H183" s="4">
        <f t="shared" si="145"/>
        <v>3.8630000000000001E-3</v>
      </c>
      <c r="I183" s="2">
        <f t="shared" si="146"/>
        <v>0.18642777165354332</v>
      </c>
      <c r="J183" s="4">
        <f t="shared" si="147"/>
        <v>0.10733406334645677</v>
      </c>
      <c r="K183" s="4">
        <f t="shared" si="148"/>
        <v>0.29376183500000008</v>
      </c>
      <c r="L183" s="13">
        <f t="shared" si="149"/>
        <v>1.7368928916050166</v>
      </c>
      <c r="M183" s="3"/>
      <c r="N183" s="3"/>
    </row>
    <row r="184" spans="1:16" x14ac:dyDescent="0.2">
      <c r="A184" s="4">
        <v>488378</v>
      </c>
      <c r="B184" s="4">
        <v>100</v>
      </c>
      <c r="C184" s="4">
        <v>7</v>
      </c>
      <c r="D184" s="23">
        <v>5.65</v>
      </c>
      <c r="E184" s="23">
        <v>2.85</v>
      </c>
      <c r="F184" s="23">
        <f t="shared" si="143"/>
        <v>5.65</v>
      </c>
      <c r="G184" s="23">
        <f t="shared" si="144"/>
        <v>2.85</v>
      </c>
      <c r="H184" s="4">
        <f t="shared" si="145"/>
        <v>9.7450000000000002E-3</v>
      </c>
      <c r="I184" s="2">
        <f t="shared" si="146"/>
        <v>0.48771039370078745</v>
      </c>
      <c r="J184" s="4">
        <f t="shared" si="147"/>
        <v>0.14274238129921263</v>
      </c>
      <c r="K184" s="4">
        <f t="shared" si="148"/>
        <v>0.63045277500000008</v>
      </c>
      <c r="L184" s="13">
        <f t="shared" si="149"/>
        <v>3.4167175106772416</v>
      </c>
      <c r="M184" s="3">
        <f t="shared" ref="M184" si="190">AVERAGE(I184:I185)</f>
        <v>0.49206495078740164</v>
      </c>
      <c r="N184" s="3">
        <f t="shared" ref="N184" si="191">AVERAGE(J184:J185)</f>
        <v>0.14391811171259844</v>
      </c>
    </row>
    <row r="185" spans="1:16" x14ac:dyDescent="0.2">
      <c r="A185" s="4"/>
      <c r="B185" s="4">
        <v>100</v>
      </c>
      <c r="C185" s="4">
        <v>7</v>
      </c>
      <c r="D185" s="23">
        <v>5.75</v>
      </c>
      <c r="E185" s="23">
        <v>2.9</v>
      </c>
      <c r="F185" s="23">
        <f t="shared" si="143"/>
        <v>5.75</v>
      </c>
      <c r="G185" s="23">
        <f t="shared" si="144"/>
        <v>2.9</v>
      </c>
      <c r="H185" s="4">
        <f t="shared" si="145"/>
        <v>9.7450000000000002E-3</v>
      </c>
      <c r="I185" s="2">
        <f t="shared" si="146"/>
        <v>0.49641950787401579</v>
      </c>
      <c r="J185" s="4">
        <f t="shared" si="147"/>
        <v>0.14509384212598422</v>
      </c>
      <c r="K185" s="4">
        <f t="shared" si="148"/>
        <v>0.64151334999999998</v>
      </c>
      <c r="L185" s="13">
        <f t="shared" si="149"/>
        <v>3.4213685474189686</v>
      </c>
      <c r="M185" s="3"/>
      <c r="N185" s="3"/>
    </row>
    <row r="186" spans="1:16" x14ac:dyDescent="0.2">
      <c r="A186" s="12">
        <v>488379</v>
      </c>
      <c r="B186" s="4">
        <v>100</v>
      </c>
      <c r="C186" s="12">
        <v>6</v>
      </c>
      <c r="D186" s="30">
        <v>3.95</v>
      </c>
      <c r="E186" s="30">
        <v>1.8</v>
      </c>
      <c r="F186" s="23">
        <f t="shared" si="143"/>
        <v>3.95</v>
      </c>
      <c r="G186" s="23">
        <f t="shared" si="144"/>
        <v>1.8</v>
      </c>
      <c r="H186" s="4">
        <f t="shared" si="145"/>
        <v>3.5767E-2</v>
      </c>
      <c r="I186" s="2">
        <f t="shared" si="146"/>
        <v>1.374494830708662</v>
      </c>
      <c r="J186" s="4">
        <f t="shared" si="147"/>
        <v>8.6944789291338698E-2</v>
      </c>
      <c r="K186" s="4">
        <f t="shared" si="148"/>
        <v>1.4614396200000006</v>
      </c>
      <c r="L186" s="13">
        <f t="shared" si="149"/>
        <v>15.80882352941175</v>
      </c>
      <c r="M186" s="3">
        <f t="shared" ref="M186" si="192">AVERAGE(I186:I187)</f>
        <v>1.3425298346456696</v>
      </c>
      <c r="N186" s="3">
        <f t="shared" ref="N186" si="193">AVERAGE(J186:J187)</f>
        <v>0.13920755785433087</v>
      </c>
      <c r="O186" s="11"/>
      <c r="P186" s="11"/>
    </row>
    <row r="187" spans="1:16" x14ac:dyDescent="0.2">
      <c r="A187" s="12"/>
      <c r="B187" s="4">
        <v>100</v>
      </c>
      <c r="C187" s="12">
        <v>6</v>
      </c>
      <c r="D187" s="30">
        <v>3.9</v>
      </c>
      <c r="E187" s="30">
        <v>1.85</v>
      </c>
      <c r="F187" s="23">
        <f t="shared" si="143"/>
        <v>3.9</v>
      </c>
      <c r="G187" s="23">
        <f t="shared" si="144"/>
        <v>1.85</v>
      </c>
      <c r="H187" s="4">
        <f t="shared" si="145"/>
        <v>3.5767E-2</v>
      </c>
      <c r="I187" s="2">
        <f t="shared" si="146"/>
        <v>1.3105648385826771</v>
      </c>
      <c r="J187" s="4">
        <f t="shared" si="147"/>
        <v>0.19147032641732306</v>
      </c>
      <c r="K187" s="4">
        <f t="shared" si="148"/>
        <v>1.5020351650000001</v>
      </c>
      <c r="L187" s="13">
        <f t="shared" si="149"/>
        <v>6.8447412353923127</v>
      </c>
      <c r="M187" s="3"/>
      <c r="N187" s="3"/>
      <c r="O187" s="11"/>
      <c r="P187" s="11"/>
    </row>
    <row r="188" spans="1:16" x14ac:dyDescent="0.2">
      <c r="A188" s="12">
        <v>488380</v>
      </c>
      <c r="B188" s="4">
        <v>100</v>
      </c>
      <c r="C188" s="4">
        <v>6</v>
      </c>
      <c r="D188" s="23">
        <v>4.0999999999999996</v>
      </c>
      <c r="E188" s="23">
        <v>1.95</v>
      </c>
      <c r="F188" s="23">
        <f t="shared" si="143"/>
        <v>4.0999999999999996</v>
      </c>
      <c r="G188" s="23">
        <f t="shared" si="144"/>
        <v>1.95</v>
      </c>
      <c r="H188" s="4">
        <f t="shared" si="145"/>
        <v>3.5767E-2</v>
      </c>
      <c r="I188" s="2">
        <f t="shared" si="146"/>
        <v>1.3744948307086611</v>
      </c>
      <c r="J188" s="4">
        <f t="shared" si="147"/>
        <v>0.20873142429133865</v>
      </c>
      <c r="K188" s="4">
        <f t="shared" si="148"/>
        <v>1.5832262549999998</v>
      </c>
      <c r="L188" s="13">
        <f t="shared" si="149"/>
        <v>6.5849923430321553</v>
      </c>
      <c r="M188" s="3">
        <f t="shared" ref="M188" si="194">AVERAGE(I188:I189)</f>
        <v>1.4703898188976376</v>
      </c>
      <c r="N188" s="3">
        <f t="shared" ref="N188" si="195">AVERAGE(J188:J189)</f>
        <v>0.23462307110236219</v>
      </c>
    </row>
    <row r="189" spans="1:16" x14ac:dyDescent="0.2">
      <c r="A189" s="4"/>
      <c r="B189" s="4">
        <v>100</v>
      </c>
      <c r="C189" s="4">
        <v>6</v>
      </c>
      <c r="D189" s="23">
        <v>4.7</v>
      </c>
      <c r="E189" s="23">
        <v>2.25</v>
      </c>
      <c r="F189" s="23">
        <f t="shared" si="143"/>
        <v>4.7</v>
      </c>
      <c r="G189" s="23">
        <f t="shared" si="144"/>
        <v>2.25</v>
      </c>
      <c r="H189" s="4">
        <f t="shared" si="145"/>
        <v>3.5767E-2</v>
      </c>
      <c r="I189" s="2">
        <f t="shared" si="146"/>
        <v>1.5662848070866144</v>
      </c>
      <c r="J189" s="4">
        <f t="shared" si="147"/>
        <v>0.26051471791338576</v>
      </c>
      <c r="K189" s="4">
        <f t="shared" si="148"/>
        <v>1.8267995250000002</v>
      </c>
      <c r="L189" s="13">
        <f t="shared" si="149"/>
        <v>6.0122699386503093</v>
      </c>
      <c r="M189" s="3"/>
      <c r="N189" s="3"/>
    </row>
    <row r="190" spans="1:16" x14ac:dyDescent="0.2">
      <c r="A190" s="4">
        <v>488381</v>
      </c>
      <c r="B190" s="4">
        <v>100</v>
      </c>
      <c r="C190" s="4">
        <v>6</v>
      </c>
      <c r="D190" s="23">
        <v>3.15</v>
      </c>
      <c r="E190" s="23">
        <v>1.5</v>
      </c>
      <c r="F190" s="23">
        <f t="shared" si="143"/>
        <v>3.15</v>
      </c>
      <c r="G190" s="23">
        <f t="shared" si="144"/>
        <v>1.5</v>
      </c>
      <c r="H190" s="4">
        <f t="shared" si="145"/>
        <v>3.5767E-2</v>
      </c>
      <c r="I190" s="2">
        <f t="shared" si="146"/>
        <v>1.0548448700787403</v>
      </c>
      <c r="J190" s="4">
        <f t="shared" si="147"/>
        <v>0.16302147992125993</v>
      </c>
      <c r="K190" s="4">
        <f t="shared" si="148"/>
        <v>1.2178663500000002</v>
      </c>
      <c r="L190" s="13">
        <f t="shared" si="149"/>
        <v>6.4705882352941151</v>
      </c>
      <c r="M190" s="3">
        <f t="shared" ref="M190" si="196">AVERAGE(I190:I191)</f>
        <v>1.0068973759842521</v>
      </c>
      <c r="N190" s="3">
        <f t="shared" ref="N190" si="197">AVERAGE(J190:J191)</f>
        <v>0.21096897401574802</v>
      </c>
    </row>
    <row r="191" spans="1:16" x14ac:dyDescent="0.2">
      <c r="A191" s="4"/>
      <c r="B191" s="4">
        <v>100</v>
      </c>
      <c r="C191" s="4">
        <v>6</v>
      </c>
      <c r="D191" s="23">
        <v>3</v>
      </c>
      <c r="E191" s="23">
        <v>1.5</v>
      </c>
      <c r="F191" s="23">
        <f t="shared" si="143"/>
        <v>3</v>
      </c>
      <c r="G191" s="23">
        <f t="shared" si="144"/>
        <v>1.5</v>
      </c>
      <c r="H191" s="4">
        <f t="shared" si="145"/>
        <v>3.5767E-2</v>
      </c>
      <c r="I191" s="2">
        <f t="shared" si="146"/>
        <v>0.95894988188976371</v>
      </c>
      <c r="J191" s="4">
        <f t="shared" si="147"/>
        <v>0.25891646811023611</v>
      </c>
      <c r="K191" s="4">
        <f t="shared" si="148"/>
        <v>1.2178663499999998</v>
      </c>
      <c r="L191" s="13">
        <f t="shared" si="149"/>
        <v>3.7037037037037051</v>
      </c>
      <c r="M191" s="3"/>
      <c r="N191" s="3"/>
    </row>
    <row r="192" spans="1:16" x14ac:dyDescent="0.2">
      <c r="A192" s="4">
        <v>488382</v>
      </c>
      <c r="B192" s="4">
        <v>100</v>
      </c>
      <c r="C192" s="4">
        <v>6</v>
      </c>
      <c r="D192" s="23">
        <v>3.8</v>
      </c>
      <c r="E192" s="23">
        <v>1.8</v>
      </c>
      <c r="F192" s="23">
        <f t="shared" si="143"/>
        <v>3.8</v>
      </c>
      <c r="G192" s="23">
        <f t="shared" si="144"/>
        <v>1.8</v>
      </c>
      <c r="H192" s="4">
        <f t="shared" si="145"/>
        <v>3.5767E-2</v>
      </c>
      <c r="I192" s="2">
        <f t="shared" si="146"/>
        <v>1.2785998425196849</v>
      </c>
      <c r="J192" s="4">
        <f t="shared" si="147"/>
        <v>0.1828397774803153</v>
      </c>
      <c r="K192" s="4">
        <f t="shared" si="148"/>
        <v>1.4614396200000002</v>
      </c>
      <c r="L192" s="13">
        <f t="shared" si="149"/>
        <v>6.99300699300698</v>
      </c>
      <c r="M192" s="3">
        <f t="shared" ref="M192" si="198">AVERAGE(I192:I193)</f>
        <v>1.1667223562992126</v>
      </c>
      <c r="N192" s="3">
        <f t="shared" ref="N192" si="199">AVERAGE(J192:J193)</f>
        <v>0.17293062870078763</v>
      </c>
    </row>
    <row r="193" spans="1:14" x14ac:dyDescent="0.2">
      <c r="A193" s="4"/>
      <c r="B193" s="4">
        <v>100</v>
      </c>
      <c r="C193" s="4">
        <v>6</v>
      </c>
      <c r="D193" s="23">
        <v>3.15</v>
      </c>
      <c r="E193" s="23">
        <v>1.5</v>
      </c>
      <c r="F193" s="23">
        <f t="shared" si="143"/>
        <v>3.15</v>
      </c>
      <c r="G193" s="23">
        <f t="shared" si="144"/>
        <v>1.5</v>
      </c>
      <c r="H193" s="4">
        <f t="shared" si="145"/>
        <v>3.5767E-2</v>
      </c>
      <c r="I193" s="2">
        <f t="shared" si="146"/>
        <v>1.0548448700787403</v>
      </c>
      <c r="J193" s="4">
        <f t="shared" si="147"/>
        <v>0.16302147992125993</v>
      </c>
      <c r="K193" s="4">
        <f t="shared" si="148"/>
        <v>1.2178663500000002</v>
      </c>
      <c r="L193" s="13">
        <f t="shared" si="149"/>
        <v>6.4705882352941151</v>
      </c>
      <c r="M193" s="3"/>
      <c r="N193" s="3"/>
    </row>
    <row r="194" spans="1:14" x14ac:dyDescent="0.2">
      <c r="A194" s="4">
        <v>488387</v>
      </c>
      <c r="B194" s="4">
        <v>100</v>
      </c>
      <c r="C194" s="4">
        <v>8</v>
      </c>
      <c r="D194" s="23">
        <v>5.9</v>
      </c>
      <c r="E194" s="23">
        <v>4.2</v>
      </c>
      <c r="F194" s="23">
        <f t="shared" ref="F194:F257" si="200">IF($C194=5,D194-$D$5,IF($C194=6,D194-$D$6,IF($C194=7,D194-$D$7,IF($C194=8,D194-$D$8,D194))))</f>
        <v>5.9</v>
      </c>
      <c r="G194" s="23">
        <f t="shared" ref="G194:G257" si="201">IF($C194=5,E194-$D$5,IF($C194=6,E194-$D$6,IF($C194=7,E194-$D$7,IF($C194=8,E194-$D$8,E194))))</f>
        <v>4.2</v>
      </c>
      <c r="H194" s="4">
        <f t="shared" ref="H194:H257" si="202">IF(C194=1,32.7101,IF(C194=2,8.14893,IF(C194=3,1.42818,IF(C194=4,0.44041,IF(C194=5,0.123026,IF(C194=6,0.035767,IF(C194=7,0.009745,0.003863)))))))</f>
        <v>3.8630000000000001E-3</v>
      </c>
      <c r="I194" s="2">
        <f t="shared" ref="I194:I257" si="203">H194*$A$3*(F194-G194)*1000/B194</f>
        <v>0.11738044881889766</v>
      </c>
      <c r="J194" s="4">
        <f t="shared" ref="J194:J257" si="204">2.27*($A$3*G194-($A$3-1)*F194)*H194*1000/B194</f>
        <v>0.25091797118110237</v>
      </c>
      <c r="K194" s="4">
        <f t="shared" ref="K194:K257" si="205">(I194+J194)</f>
        <v>0.36829842000000002</v>
      </c>
      <c r="L194" s="13">
        <f t="shared" ref="L194:L257" si="206">(I194/J194)</f>
        <v>0.46780407264722074</v>
      </c>
      <c r="M194" s="3">
        <f t="shared" ref="M194" si="207">AVERAGE(I194:I195)</f>
        <v>0.12601136417322836</v>
      </c>
      <c r="N194" s="3">
        <f t="shared" ref="N194" si="208">AVERAGE(J194:J195)</f>
        <v>0.24667156082677166</v>
      </c>
    </row>
    <row r="195" spans="1:14" x14ac:dyDescent="0.2">
      <c r="A195" s="4"/>
      <c r="B195" s="4">
        <v>100</v>
      </c>
      <c r="C195" s="4">
        <v>8</v>
      </c>
      <c r="D195" s="23">
        <v>6.25</v>
      </c>
      <c r="E195" s="23">
        <v>4.3</v>
      </c>
      <c r="F195" s="23">
        <f t="shared" si="200"/>
        <v>6.25</v>
      </c>
      <c r="G195" s="23">
        <f t="shared" si="201"/>
        <v>4.3</v>
      </c>
      <c r="H195" s="4">
        <f t="shared" si="202"/>
        <v>3.8630000000000001E-3</v>
      </c>
      <c r="I195" s="2">
        <f t="shared" si="203"/>
        <v>0.13464227952755908</v>
      </c>
      <c r="J195" s="4">
        <f t="shared" si="204"/>
        <v>0.24242515047244098</v>
      </c>
      <c r="K195" s="4">
        <f t="shared" si="205"/>
        <v>0.37706743000000009</v>
      </c>
      <c r="L195" s="13">
        <f t="shared" si="206"/>
        <v>0.55539732270008546</v>
      </c>
      <c r="M195" s="3"/>
      <c r="N195" s="3"/>
    </row>
    <row r="196" spans="1:14" x14ac:dyDescent="0.2">
      <c r="A196" s="4">
        <v>488388</v>
      </c>
      <c r="B196" s="4">
        <v>100</v>
      </c>
      <c r="C196" s="4">
        <v>8</v>
      </c>
      <c r="D196" s="23">
        <v>3.95</v>
      </c>
      <c r="E196" s="23">
        <v>2.4500000000000002</v>
      </c>
      <c r="F196" s="23">
        <f t="shared" si="200"/>
        <v>3.95</v>
      </c>
      <c r="G196" s="23">
        <f t="shared" si="201"/>
        <v>2.4500000000000002</v>
      </c>
      <c r="H196" s="4">
        <f t="shared" si="202"/>
        <v>3.8630000000000001E-3</v>
      </c>
      <c r="I196" s="2">
        <f t="shared" si="203"/>
        <v>0.10357098425196851</v>
      </c>
      <c r="J196" s="4">
        <f t="shared" si="204"/>
        <v>0.11126976074803155</v>
      </c>
      <c r="K196" s="4">
        <f t="shared" si="205"/>
        <v>0.21484074500000006</v>
      </c>
      <c r="L196" s="13">
        <f t="shared" si="206"/>
        <v>0.93080980452994067</v>
      </c>
      <c r="M196" s="3">
        <f t="shared" ref="M196" si="209">AVERAGE(I196:I197)</f>
        <v>0.10357098425196851</v>
      </c>
      <c r="N196" s="3">
        <f t="shared" ref="N196" si="210">AVERAGE(J196:J197)</f>
        <v>0.11126976074803155</v>
      </c>
    </row>
    <row r="197" spans="1:14" x14ac:dyDescent="0.2">
      <c r="A197" s="4"/>
      <c r="B197" s="4">
        <v>100</v>
      </c>
      <c r="C197" s="4">
        <v>8</v>
      </c>
      <c r="D197" s="23">
        <v>3.95</v>
      </c>
      <c r="E197" s="23">
        <v>2.4500000000000002</v>
      </c>
      <c r="F197" s="23">
        <f t="shared" si="200"/>
        <v>3.95</v>
      </c>
      <c r="G197" s="23">
        <f t="shared" si="201"/>
        <v>2.4500000000000002</v>
      </c>
      <c r="H197" s="4">
        <f t="shared" si="202"/>
        <v>3.8630000000000001E-3</v>
      </c>
      <c r="I197" s="2">
        <f t="shared" si="203"/>
        <v>0.10357098425196851</v>
      </c>
      <c r="J197" s="4">
        <f t="shared" si="204"/>
        <v>0.11126976074803155</v>
      </c>
      <c r="K197" s="4">
        <f t="shared" si="205"/>
        <v>0.21484074500000006</v>
      </c>
      <c r="L197" s="13">
        <f t="shared" si="206"/>
        <v>0.93080980452994067</v>
      </c>
      <c r="M197" s="3"/>
      <c r="N197" s="3"/>
    </row>
    <row r="198" spans="1:14" x14ac:dyDescent="0.2">
      <c r="A198" s="4">
        <v>488389</v>
      </c>
      <c r="B198" s="4">
        <v>100</v>
      </c>
      <c r="C198" s="4">
        <v>8</v>
      </c>
      <c r="D198" s="23">
        <v>6.3</v>
      </c>
      <c r="E198" s="23">
        <v>3.8</v>
      </c>
      <c r="F198" s="23">
        <f t="shared" si="200"/>
        <v>6.3</v>
      </c>
      <c r="G198" s="23">
        <f t="shared" si="201"/>
        <v>3.8</v>
      </c>
      <c r="H198" s="4">
        <f t="shared" si="202"/>
        <v>3.8630000000000001E-3</v>
      </c>
      <c r="I198" s="2">
        <f t="shared" si="203"/>
        <v>0.17261830708661419</v>
      </c>
      <c r="J198" s="4">
        <f t="shared" si="204"/>
        <v>0.16060407291338588</v>
      </c>
      <c r="K198" s="4">
        <f t="shared" si="205"/>
        <v>0.33322238000000004</v>
      </c>
      <c r="L198" s="13">
        <f t="shared" si="206"/>
        <v>1.0748065348237315</v>
      </c>
      <c r="M198" s="3">
        <f t="shared" ref="M198" si="211">AVERAGE(I198:I199)</f>
        <v>0.17607067322834646</v>
      </c>
      <c r="N198" s="3">
        <f t="shared" ref="N198" si="212">AVERAGE(J198:J199)</f>
        <v>0.15495945427165364</v>
      </c>
    </row>
    <row r="199" spans="1:14" x14ac:dyDescent="0.2">
      <c r="A199" s="4"/>
      <c r="B199" s="4">
        <v>100</v>
      </c>
      <c r="C199" s="4">
        <v>8</v>
      </c>
      <c r="D199" s="23">
        <v>6.35</v>
      </c>
      <c r="E199" s="23">
        <v>3.75</v>
      </c>
      <c r="F199" s="23">
        <f t="shared" si="200"/>
        <v>6.35</v>
      </c>
      <c r="G199" s="23">
        <f t="shared" si="201"/>
        <v>3.75</v>
      </c>
      <c r="H199" s="4">
        <f t="shared" si="202"/>
        <v>3.8630000000000001E-3</v>
      </c>
      <c r="I199" s="2">
        <f t="shared" si="203"/>
        <v>0.17952303937007874</v>
      </c>
      <c r="J199" s="4">
        <f t="shared" si="204"/>
        <v>0.14931483562992137</v>
      </c>
      <c r="K199" s="4">
        <f t="shared" si="205"/>
        <v>0.32883787500000011</v>
      </c>
      <c r="L199" s="13">
        <f t="shared" si="206"/>
        <v>1.2023121387283229</v>
      </c>
      <c r="M199" s="3"/>
      <c r="N199" s="3"/>
    </row>
    <row r="200" spans="1:14" x14ac:dyDescent="0.2">
      <c r="A200" s="4">
        <v>488390</v>
      </c>
      <c r="B200" s="4">
        <v>100</v>
      </c>
      <c r="C200" s="4">
        <v>8</v>
      </c>
      <c r="D200" s="23">
        <v>6.45</v>
      </c>
      <c r="E200" s="23">
        <v>3.75</v>
      </c>
      <c r="F200" s="23">
        <f t="shared" si="200"/>
        <v>6.45</v>
      </c>
      <c r="G200" s="23">
        <f t="shared" si="201"/>
        <v>3.75</v>
      </c>
      <c r="H200" s="4">
        <f t="shared" si="202"/>
        <v>3.8630000000000001E-3</v>
      </c>
      <c r="I200" s="2">
        <f t="shared" si="203"/>
        <v>0.18642777165354335</v>
      </c>
      <c r="J200" s="4">
        <f t="shared" si="204"/>
        <v>0.14241010334645673</v>
      </c>
      <c r="K200" s="4">
        <f t="shared" si="205"/>
        <v>0.32883787500000006</v>
      </c>
      <c r="L200" s="13">
        <f t="shared" si="206"/>
        <v>1.3090909090909091</v>
      </c>
      <c r="M200" s="3">
        <f t="shared" ref="M200" si="213">AVERAGE(I200:I201)</f>
        <v>0.19851105314960632</v>
      </c>
      <c r="N200" s="3">
        <f t="shared" ref="N200" si="214">AVERAGE(J200:J201)</f>
        <v>0.14786484185039378</v>
      </c>
    </row>
    <row r="201" spans="1:14" x14ac:dyDescent="0.2">
      <c r="A201" s="4"/>
      <c r="B201" s="4">
        <v>100</v>
      </c>
      <c r="C201" s="4">
        <v>8</v>
      </c>
      <c r="D201" s="23">
        <v>7.2</v>
      </c>
      <c r="E201" s="23">
        <v>4.1500000000000004</v>
      </c>
      <c r="F201" s="23">
        <f t="shared" si="200"/>
        <v>7.2</v>
      </c>
      <c r="G201" s="23">
        <f t="shared" si="201"/>
        <v>4.1500000000000004</v>
      </c>
      <c r="H201" s="4">
        <f t="shared" si="202"/>
        <v>3.8630000000000001E-3</v>
      </c>
      <c r="I201" s="2">
        <f t="shared" si="203"/>
        <v>0.21059433464566929</v>
      </c>
      <c r="J201" s="4">
        <f t="shared" si="204"/>
        <v>0.1533195803543308</v>
      </c>
      <c r="K201" s="4">
        <f t="shared" si="205"/>
        <v>0.36391391500000009</v>
      </c>
      <c r="L201" s="13">
        <f t="shared" si="206"/>
        <v>1.3735645124971845</v>
      </c>
      <c r="M201" s="3"/>
      <c r="N201" s="3"/>
    </row>
    <row r="202" spans="1:14" x14ac:dyDescent="0.2">
      <c r="A202" s="4">
        <v>488391</v>
      </c>
      <c r="B202" s="4">
        <v>100</v>
      </c>
      <c r="C202" s="4">
        <v>7</v>
      </c>
      <c r="D202" s="23">
        <v>5.25</v>
      </c>
      <c r="E202" s="23">
        <v>2.95</v>
      </c>
      <c r="F202" s="23">
        <f t="shared" si="200"/>
        <v>5.25</v>
      </c>
      <c r="G202" s="23">
        <f t="shared" si="201"/>
        <v>2.95</v>
      </c>
      <c r="H202" s="4">
        <f t="shared" si="202"/>
        <v>9.7450000000000002E-3</v>
      </c>
      <c r="I202" s="2">
        <f t="shared" si="203"/>
        <v>0.40061925196850395</v>
      </c>
      <c r="J202" s="4">
        <f t="shared" si="204"/>
        <v>0.25195467303149621</v>
      </c>
      <c r="K202" s="4">
        <f t="shared" si="205"/>
        <v>0.65257392500000022</v>
      </c>
      <c r="L202" s="13">
        <f t="shared" si="206"/>
        <v>1.5900449360525397</v>
      </c>
      <c r="M202" s="3">
        <f t="shared" ref="M202" si="215">AVERAGE(I202:I203)</f>
        <v>0.39191013779527561</v>
      </c>
      <c r="N202" s="3">
        <f t="shared" ref="N202" si="216">AVERAGE(J202:J203)</f>
        <v>0.23301234970472451</v>
      </c>
    </row>
    <row r="203" spans="1:14" x14ac:dyDescent="0.2">
      <c r="A203" s="4"/>
      <c r="B203" s="4">
        <v>100</v>
      </c>
      <c r="C203" s="4">
        <v>7</v>
      </c>
      <c r="D203" s="23">
        <v>4.9000000000000004</v>
      </c>
      <c r="E203" s="23">
        <v>2.7</v>
      </c>
      <c r="F203" s="23">
        <f t="shared" si="200"/>
        <v>4.9000000000000004</v>
      </c>
      <c r="G203" s="23">
        <f t="shared" si="201"/>
        <v>2.7</v>
      </c>
      <c r="H203" s="4">
        <f t="shared" si="202"/>
        <v>9.7450000000000002E-3</v>
      </c>
      <c r="I203" s="2">
        <f t="shared" si="203"/>
        <v>0.38320102362204733</v>
      </c>
      <c r="J203" s="4">
        <f t="shared" si="204"/>
        <v>0.2140700263779528</v>
      </c>
      <c r="K203" s="4">
        <f t="shared" si="205"/>
        <v>0.59727105000000014</v>
      </c>
      <c r="L203" s="13">
        <f t="shared" si="206"/>
        <v>1.790073230268511</v>
      </c>
      <c r="M203" s="3"/>
      <c r="N203" s="3"/>
    </row>
    <row r="204" spans="1:14" x14ac:dyDescent="0.2">
      <c r="A204" s="4">
        <v>488392</v>
      </c>
      <c r="B204" s="4">
        <v>100</v>
      </c>
      <c r="C204" s="4">
        <v>7</v>
      </c>
      <c r="D204" s="23">
        <v>7.55</v>
      </c>
      <c r="E204" s="23">
        <v>4</v>
      </c>
      <c r="F204" s="23">
        <f t="shared" si="200"/>
        <v>7.55</v>
      </c>
      <c r="G204" s="23">
        <f t="shared" si="201"/>
        <v>4</v>
      </c>
      <c r="H204" s="4">
        <f t="shared" si="202"/>
        <v>9.7450000000000002E-3</v>
      </c>
      <c r="I204" s="2">
        <f t="shared" si="203"/>
        <v>0.61834710629921263</v>
      </c>
      <c r="J204" s="4">
        <f t="shared" si="204"/>
        <v>0.26649889370078755</v>
      </c>
      <c r="K204" s="4">
        <f t="shared" si="205"/>
        <v>0.88484600000000024</v>
      </c>
      <c r="L204" s="13">
        <f t="shared" si="206"/>
        <v>2.3202614379084956</v>
      </c>
      <c r="M204" s="3">
        <f t="shared" ref="M204" si="217">AVERAGE(I204:I205)</f>
        <v>0.61399254921259838</v>
      </c>
      <c r="N204" s="3">
        <f t="shared" ref="N204" si="218">AVERAGE(J204:J205)</f>
        <v>0.25426258828740167</v>
      </c>
    </row>
    <row r="205" spans="1:14" x14ac:dyDescent="0.2">
      <c r="A205" s="4"/>
      <c r="B205" s="4">
        <v>100</v>
      </c>
      <c r="C205" s="4">
        <v>7</v>
      </c>
      <c r="D205" s="23">
        <v>7.35</v>
      </c>
      <c r="E205" s="23">
        <v>3.85</v>
      </c>
      <c r="F205" s="23">
        <f t="shared" si="200"/>
        <v>7.35</v>
      </c>
      <c r="G205" s="23">
        <f t="shared" si="201"/>
        <v>3.85</v>
      </c>
      <c r="H205" s="4">
        <f t="shared" si="202"/>
        <v>9.7450000000000002E-3</v>
      </c>
      <c r="I205" s="2">
        <f t="shared" si="203"/>
        <v>0.60963799212598424</v>
      </c>
      <c r="J205" s="4">
        <f t="shared" si="204"/>
        <v>0.24202628287401573</v>
      </c>
      <c r="K205" s="4">
        <f t="shared" si="205"/>
        <v>0.85166427499999997</v>
      </c>
      <c r="L205" s="13">
        <f t="shared" si="206"/>
        <v>2.518891687657431</v>
      </c>
      <c r="M205" s="3"/>
      <c r="N205" s="3"/>
    </row>
    <row r="206" spans="1:14" x14ac:dyDescent="0.2">
      <c r="A206" s="4">
        <v>488393</v>
      </c>
      <c r="B206" s="4">
        <v>100</v>
      </c>
      <c r="C206" s="4">
        <v>6</v>
      </c>
      <c r="D206" s="23">
        <v>2.85</v>
      </c>
      <c r="E206" s="23">
        <v>1.45</v>
      </c>
      <c r="F206" s="23">
        <f t="shared" si="200"/>
        <v>2.85</v>
      </c>
      <c r="G206" s="23">
        <f t="shared" si="201"/>
        <v>1.45</v>
      </c>
      <c r="H206" s="4">
        <f t="shared" si="202"/>
        <v>3.5767E-2</v>
      </c>
      <c r="I206" s="2">
        <f t="shared" si="203"/>
        <v>0.89501988976377977</v>
      </c>
      <c r="J206" s="4">
        <f t="shared" si="204"/>
        <v>0.28225091523622037</v>
      </c>
      <c r="K206" s="4">
        <f t="shared" si="205"/>
        <v>1.177270805</v>
      </c>
      <c r="L206" s="13">
        <f t="shared" si="206"/>
        <v>3.1710079275198209</v>
      </c>
      <c r="M206" s="3">
        <f t="shared" ref="M206" si="219">AVERAGE(I206:I207)</f>
        <v>0.89501988976377966</v>
      </c>
      <c r="N206" s="3">
        <f t="shared" ref="N206" si="220">AVERAGE(J206:J207)</f>
        <v>0.26195314273622045</v>
      </c>
    </row>
    <row r="207" spans="1:14" x14ac:dyDescent="0.2">
      <c r="A207" s="4"/>
      <c r="B207" s="4">
        <v>100</v>
      </c>
      <c r="C207" s="4">
        <v>6</v>
      </c>
      <c r="D207" s="23">
        <v>2.8</v>
      </c>
      <c r="E207" s="23">
        <v>1.4</v>
      </c>
      <c r="F207" s="23">
        <f t="shared" si="200"/>
        <v>2.8</v>
      </c>
      <c r="G207" s="23">
        <f t="shared" si="201"/>
        <v>1.4</v>
      </c>
      <c r="H207" s="4">
        <f t="shared" si="202"/>
        <v>3.5767E-2</v>
      </c>
      <c r="I207" s="2">
        <f t="shared" si="203"/>
        <v>0.89501988976377955</v>
      </c>
      <c r="J207" s="4">
        <f t="shared" si="204"/>
        <v>0.24165537023622055</v>
      </c>
      <c r="K207" s="4">
        <f t="shared" si="205"/>
        <v>1.1366752600000001</v>
      </c>
      <c r="L207" s="13">
        <f t="shared" si="206"/>
        <v>3.7037037037037024</v>
      </c>
      <c r="M207" s="3"/>
      <c r="N207" s="3"/>
    </row>
    <row r="208" spans="1:14" x14ac:dyDescent="0.2">
      <c r="A208" s="4">
        <v>488394</v>
      </c>
      <c r="B208" s="4">
        <v>100</v>
      </c>
      <c r="C208" s="4">
        <v>6</v>
      </c>
      <c r="D208" s="23">
        <v>2.75</v>
      </c>
      <c r="E208" s="23">
        <v>1.35</v>
      </c>
      <c r="F208" s="23">
        <f t="shared" si="200"/>
        <v>2.75</v>
      </c>
      <c r="G208" s="23">
        <f t="shared" si="201"/>
        <v>1.35</v>
      </c>
      <c r="H208" s="4">
        <f t="shared" si="202"/>
        <v>3.5767E-2</v>
      </c>
      <c r="I208" s="2">
        <f t="shared" si="203"/>
        <v>0.89501988976377955</v>
      </c>
      <c r="J208" s="4">
        <f t="shared" si="204"/>
        <v>0.20105982523622071</v>
      </c>
      <c r="K208" s="4">
        <f t="shared" si="205"/>
        <v>1.0960797150000003</v>
      </c>
      <c r="L208" s="13">
        <f t="shared" si="206"/>
        <v>4.4515103338632702</v>
      </c>
      <c r="M208" s="3">
        <f t="shared" ref="M208" si="221">AVERAGE(I208:I209)</f>
        <v>0.76715990551181101</v>
      </c>
      <c r="N208" s="3">
        <f t="shared" ref="N208" si="222">AVERAGE(J208:J209)</f>
        <v>0.20713317448818913</v>
      </c>
    </row>
    <row r="209" spans="1:14" x14ac:dyDescent="0.2">
      <c r="A209" s="4"/>
      <c r="B209" s="4">
        <v>100</v>
      </c>
      <c r="C209" s="4">
        <v>6</v>
      </c>
      <c r="D209" s="23">
        <v>2.0499999999999998</v>
      </c>
      <c r="E209" s="23">
        <v>1.05</v>
      </c>
      <c r="F209" s="23">
        <f t="shared" si="200"/>
        <v>2.0499999999999998</v>
      </c>
      <c r="G209" s="23">
        <f t="shared" si="201"/>
        <v>1.05</v>
      </c>
      <c r="H209" s="4">
        <f t="shared" si="202"/>
        <v>3.5767E-2</v>
      </c>
      <c r="I209" s="2">
        <f t="shared" si="203"/>
        <v>0.63929992125984247</v>
      </c>
      <c r="J209" s="4">
        <f t="shared" si="204"/>
        <v>0.21320652374015758</v>
      </c>
      <c r="K209" s="4">
        <f t="shared" si="205"/>
        <v>0.85250644500000006</v>
      </c>
      <c r="L209" s="13">
        <f t="shared" si="206"/>
        <v>2.9985007496251859</v>
      </c>
      <c r="M209" s="3"/>
      <c r="N209" s="3"/>
    </row>
    <row r="210" spans="1:14" x14ac:dyDescent="0.2">
      <c r="A210" s="4">
        <v>488400</v>
      </c>
      <c r="B210" s="4">
        <v>100</v>
      </c>
      <c r="C210" s="4">
        <v>8</v>
      </c>
      <c r="D210" s="23">
        <v>2.1</v>
      </c>
      <c r="E210" s="23">
        <v>1.6</v>
      </c>
      <c r="F210" s="23">
        <f t="shared" si="200"/>
        <v>2.1</v>
      </c>
      <c r="G210" s="23">
        <f t="shared" si="201"/>
        <v>1.6</v>
      </c>
      <c r="H210" s="4">
        <f t="shared" si="202"/>
        <v>3.8630000000000001E-3</v>
      </c>
      <c r="I210" s="2">
        <f t="shared" si="203"/>
        <v>3.452366141732284E-2</v>
      </c>
      <c r="J210" s="4">
        <f t="shared" si="204"/>
        <v>0.10578049858267718</v>
      </c>
      <c r="K210" s="4">
        <f t="shared" si="205"/>
        <v>0.14030416000000001</v>
      </c>
      <c r="L210" s="13">
        <f t="shared" si="206"/>
        <v>0.32637075718015662</v>
      </c>
      <c r="M210" s="3">
        <f t="shared" ref="M210" si="223">AVERAGE(I210:I211)</f>
        <v>3.4523661417322826E-2</v>
      </c>
      <c r="N210" s="3">
        <f t="shared" ref="N210" si="224">AVERAGE(J210:J211)</f>
        <v>0.10358824608267719</v>
      </c>
    </row>
    <row r="211" spans="1:14" x14ac:dyDescent="0.2">
      <c r="A211" s="4"/>
      <c r="B211" s="4">
        <v>100</v>
      </c>
      <c r="C211" s="4">
        <v>8</v>
      </c>
      <c r="D211" s="23">
        <v>2.0499999999999998</v>
      </c>
      <c r="E211" s="23">
        <v>1.55</v>
      </c>
      <c r="F211" s="23">
        <f t="shared" si="200"/>
        <v>2.0499999999999998</v>
      </c>
      <c r="G211" s="23">
        <f t="shared" si="201"/>
        <v>1.55</v>
      </c>
      <c r="H211" s="4">
        <f t="shared" si="202"/>
        <v>3.8630000000000001E-3</v>
      </c>
      <c r="I211" s="2">
        <f t="shared" si="203"/>
        <v>3.4523661417322819E-2</v>
      </c>
      <c r="J211" s="4">
        <f t="shared" si="204"/>
        <v>0.10139599358267719</v>
      </c>
      <c r="K211" s="4">
        <f t="shared" si="205"/>
        <v>0.135919655</v>
      </c>
      <c r="L211" s="13">
        <f t="shared" si="206"/>
        <v>0.34048348655090205</v>
      </c>
      <c r="M211" s="3"/>
      <c r="N211" s="3"/>
    </row>
    <row r="212" spans="1:14" x14ac:dyDescent="0.2">
      <c r="A212" s="4">
        <v>488401</v>
      </c>
      <c r="B212" s="4">
        <v>100</v>
      </c>
      <c r="C212" s="4">
        <v>8</v>
      </c>
      <c r="D212" s="23">
        <v>2.35</v>
      </c>
      <c r="E212" s="23">
        <v>1.65</v>
      </c>
      <c r="F212" s="23">
        <f t="shared" si="200"/>
        <v>2.35</v>
      </c>
      <c r="G212" s="23">
        <f t="shared" si="201"/>
        <v>1.65</v>
      </c>
      <c r="H212" s="4">
        <f t="shared" si="202"/>
        <v>3.8630000000000001E-3</v>
      </c>
      <c r="I212" s="2">
        <f t="shared" si="203"/>
        <v>4.8333125984251983E-2</v>
      </c>
      <c r="J212" s="4">
        <f t="shared" si="204"/>
        <v>9.6355539015748046E-2</v>
      </c>
      <c r="K212" s="4">
        <f t="shared" si="205"/>
        <v>0.14468866500000002</v>
      </c>
      <c r="L212" s="13">
        <f t="shared" si="206"/>
        <v>0.50161232533142253</v>
      </c>
      <c r="M212" s="3">
        <f t="shared" ref="M212" si="225">AVERAGE(I212:I213)</f>
        <v>5.3511675196850392E-2</v>
      </c>
      <c r="N212" s="3">
        <f t="shared" ref="N212" si="226">AVERAGE(J212:J213)</f>
        <v>0.10433050480314962</v>
      </c>
    </row>
    <row r="213" spans="1:14" x14ac:dyDescent="0.2">
      <c r="A213" s="4"/>
      <c r="B213" s="4">
        <v>100</v>
      </c>
      <c r="C213" s="4">
        <v>8</v>
      </c>
      <c r="D213" s="23">
        <v>2.8</v>
      </c>
      <c r="E213" s="23">
        <v>1.95</v>
      </c>
      <c r="F213" s="23">
        <f t="shared" si="200"/>
        <v>2.8</v>
      </c>
      <c r="G213" s="23">
        <f t="shared" si="201"/>
        <v>1.95</v>
      </c>
      <c r="H213" s="4">
        <f t="shared" si="202"/>
        <v>3.8630000000000001E-3</v>
      </c>
      <c r="I213" s="2">
        <f t="shared" si="203"/>
        <v>5.8690224409448807E-2</v>
      </c>
      <c r="J213" s="4">
        <f t="shared" si="204"/>
        <v>0.1123054705905512</v>
      </c>
      <c r="K213" s="4">
        <f t="shared" si="205"/>
        <v>0.170995695</v>
      </c>
      <c r="L213" s="13">
        <f t="shared" si="206"/>
        <v>0.52259452812788176</v>
      </c>
      <c r="M213" s="3"/>
      <c r="N213" s="3"/>
    </row>
    <row r="214" spans="1:14" x14ac:dyDescent="0.2">
      <c r="A214" s="4">
        <v>488402</v>
      </c>
      <c r="B214" s="4">
        <v>100</v>
      </c>
      <c r="C214" s="4">
        <v>8</v>
      </c>
      <c r="D214" s="23">
        <v>3.1</v>
      </c>
      <c r="E214" s="23">
        <v>2.15</v>
      </c>
      <c r="F214" s="23">
        <f t="shared" si="200"/>
        <v>3.1</v>
      </c>
      <c r="G214" s="23">
        <f t="shared" si="201"/>
        <v>2.15</v>
      </c>
      <c r="H214" s="4">
        <f t="shared" si="202"/>
        <v>3.8630000000000001E-3</v>
      </c>
      <c r="I214" s="2">
        <f t="shared" si="203"/>
        <v>6.5594956692913403E-2</v>
      </c>
      <c r="J214" s="4">
        <f t="shared" si="204"/>
        <v>0.12293875830708662</v>
      </c>
      <c r="K214" s="4">
        <f t="shared" si="205"/>
        <v>0.18853371500000002</v>
      </c>
      <c r="L214" s="13">
        <f t="shared" si="206"/>
        <v>0.53355798932884035</v>
      </c>
      <c r="M214" s="3">
        <f t="shared" ref="M214" si="227">AVERAGE(I214:I215)</f>
        <v>6.0416407480314974E-2</v>
      </c>
      <c r="N214" s="3">
        <f t="shared" ref="N214" si="228">AVERAGE(J214:J215)</f>
        <v>0.11934829751968504</v>
      </c>
    </row>
    <row r="215" spans="1:14" x14ac:dyDescent="0.2">
      <c r="A215" s="4"/>
      <c r="B215" s="4">
        <v>100</v>
      </c>
      <c r="C215" s="4">
        <v>8</v>
      </c>
      <c r="D215" s="23">
        <v>2.75</v>
      </c>
      <c r="E215" s="23">
        <v>1.95</v>
      </c>
      <c r="F215" s="23">
        <f t="shared" si="200"/>
        <v>2.75</v>
      </c>
      <c r="G215" s="23">
        <f t="shared" si="201"/>
        <v>1.95</v>
      </c>
      <c r="H215" s="4">
        <f t="shared" si="202"/>
        <v>3.8630000000000001E-3</v>
      </c>
      <c r="I215" s="2">
        <f t="shared" si="203"/>
        <v>5.5237858267716537E-2</v>
      </c>
      <c r="J215" s="4">
        <f t="shared" si="204"/>
        <v>0.11575783673228346</v>
      </c>
      <c r="K215" s="4">
        <f t="shared" si="205"/>
        <v>0.170995695</v>
      </c>
      <c r="L215" s="13">
        <f t="shared" si="206"/>
        <v>0.47718461079630187</v>
      </c>
      <c r="M215" s="3"/>
      <c r="N215" s="3"/>
    </row>
    <row r="216" spans="1:14" x14ac:dyDescent="0.2">
      <c r="A216" s="4">
        <v>488403</v>
      </c>
      <c r="B216" s="4">
        <v>100</v>
      </c>
      <c r="C216" s="4">
        <v>8</v>
      </c>
      <c r="D216" s="23">
        <v>4.0999999999999996</v>
      </c>
      <c r="E216" s="23">
        <v>2.7</v>
      </c>
      <c r="F216" s="23">
        <f t="shared" si="200"/>
        <v>4.0999999999999996</v>
      </c>
      <c r="G216" s="23">
        <f t="shared" si="201"/>
        <v>2.7</v>
      </c>
      <c r="H216" s="4">
        <f t="shared" si="202"/>
        <v>3.8630000000000001E-3</v>
      </c>
      <c r="I216" s="2">
        <f t="shared" si="203"/>
        <v>9.6666251968503897E-2</v>
      </c>
      <c r="J216" s="4">
        <f t="shared" si="204"/>
        <v>0.1400970180314961</v>
      </c>
      <c r="K216" s="4">
        <f t="shared" si="205"/>
        <v>0.23676327</v>
      </c>
      <c r="L216" s="13">
        <f t="shared" si="206"/>
        <v>0.68999507146377481</v>
      </c>
      <c r="M216" s="3">
        <f t="shared" ref="M216" si="229">AVERAGE(I216:I217)</f>
        <v>0.10529716732283464</v>
      </c>
      <c r="N216" s="3">
        <f t="shared" ref="N216" si="230">AVERAGE(J216:J217)</f>
        <v>0.14681187017716535</v>
      </c>
    </row>
    <row r="217" spans="1:14" x14ac:dyDescent="0.2">
      <c r="A217" s="4"/>
      <c r="B217" s="4">
        <v>100</v>
      </c>
      <c r="C217" s="4">
        <v>8</v>
      </c>
      <c r="D217" s="23">
        <v>4.7</v>
      </c>
      <c r="E217" s="23">
        <v>3.05</v>
      </c>
      <c r="F217" s="23">
        <f t="shared" si="200"/>
        <v>4.7</v>
      </c>
      <c r="G217" s="23">
        <f t="shared" si="201"/>
        <v>3.05</v>
      </c>
      <c r="H217" s="4">
        <f t="shared" si="202"/>
        <v>3.8630000000000001E-3</v>
      </c>
      <c r="I217" s="2">
        <f t="shared" si="203"/>
        <v>0.11392808267716539</v>
      </c>
      <c r="J217" s="4">
        <f t="shared" si="204"/>
        <v>0.1535267223228346</v>
      </c>
      <c r="K217" s="4">
        <f t="shared" si="205"/>
        <v>0.26745480499999996</v>
      </c>
      <c r="L217" s="13">
        <f t="shared" si="206"/>
        <v>0.74207330784798786</v>
      </c>
      <c r="M217" s="3"/>
      <c r="N217" s="3"/>
    </row>
    <row r="218" spans="1:14" x14ac:dyDescent="0.2">
      <c r="A218" s="4">
        <v>488404</v>
      </c>
      <c r="B218" s="4">
        <v>100</v>
      </c>
      <c r="C218" s="4">
        <v>8</v>
      </c>
      <c r="D218" s="23">
        <v>5.55</v>
      </c>
      <c r="E218" s="23">
        <v>3.45</v>
      </c>
      <c r="F218" s="23">
        <f t="shared" si="200"/>
        <v>5.55</v>
      </c>
      <c r="G218" s="23">
        <f t="shared" si="201"/>
        <v>3.45</v>
      </c>
      <c r="H218" s="4">
        <f t="shared" si="202"/>
        <v>3.8630000000000001E-3</v>
      </c>
      <c r="I218" s="2">
        <f t="shared" si="203"/>
        <v>0.14499937795275589</v>
      </c>
      <c r="J218" s="4">
        <f t="shared" si="204"/>
        <v>0.15753146704724413</v>
      </c>
      <c r="K218" s="4">
        <f t="shared" si="205"/>
        <v>0.30253084500000005</v>
      </c>
      <c r="L218" s="13">
        <f t="shared" si="206"/>
        <v>0.92044707429322781</v>
      </c>
      <c r="M218" s="3">
        <f t="shared" ref="M218" si="231">AVERAGE(I218:I219)</f>
        <v>0.15535647637795272</v>
      </c>
      <c r="N218" s="3">
        <f t="shared" ref="N218" si="232">AVERAGE(J218:J219)</f>
        <v>0.1471743686220473</v>
      </c>
    </row>
    <row r="219" spans="1:14" x14ac:dyDescent="0.2">
      <c r="A219" s="4"/>
      <c r="B219" s="4">
        <v>100</v>
      </c>
      <c r="C219" s="4">
        <v>8</v>
      </c>
      <c r="D219" s="23">
        <v>5.85</v>
      </c>
      <c r="E219" s="23">
        <v>3.45</v>
      </c>
      <c r="F219" s="23">
        <f t="shared" si="200"/>
        <v>5.85</v>
      </c>
      <c r="G219" s="23">
        <f t="shared" si="201"/>
        <v>3.45</v>
      </c>
      <c r="H219" s="4">
        <f t="shared" si="202"/>
        <v>3.8630000000000001E-3</v>
      </c>
      <c r="I219" s="2">
        <f t="shared" si="203"/>
        <v>0.16571357480314955</v>
      </c>
      <c r="J219" s="4">
        <f t="shared" si="204"/>
        <v>0.13681727019685047</v>
      </c>
      <c r="K219" s="4">
        <f t="shared" si="205"/>
        <v>0.30253084500000005</v>
      </c>
      <c r="L219" s="13">
        <f t="shared" si="206"/>
        <v>1.2112036336108998</v>
      </c>
      <c r="M219" s="3"/>
      <c r="N219" s="3"/>
    </row>
    <row r="220" spans="1:14" x14ac:dyDescent="0.2">
      <c r="A220" s="4">
        <v>488405</v>
      </c>
      <c r="B220" s="4">
        <v>100</v>
      </c>
      <c r="C220" s="4">
        <v>6</v>
      </c>
      <c r="D220" s="23">
        <v>2.2000000000000002</v>
      </c>
      <c r="E220" s="23">
        <v>1.1000000000000001</v>
      </c>
      <c r="F220" s="23">
        <f t="shared" si="200"/>
        <v>2.2000000000000002</v>
      </c>
      <c r="G220" s="23">
        <f t="shared" si="201"/>
        <v>1.1000000000000001</v>
      </c>
      <c r="H220" s="4">
        <f t="shared" si="202"/>
        <v>3.5767E-2</v>
      </c>
      <c r="I220" s="2">
        <f t="shared" si="203"/>
        <v>0.70322991338582697</v>
      </c>
      <c r="J220" s="4">
        <f t="shared" si="204"/>
        <v>0.18987207661417327</v>
      </c>
      <c r="K220" s="4">
        <f t="shared" si="205"/>
        <v>0.89310199000000023</v>
      </c>
      <c r="L220" s="13">
        <f t="shared" si="206"/>
        <v>3.7037037037037037</v>
      </c>
      <c r="M220" s="3">
        <f t="shared" ref="M220" si="233">AVERAGE(I220:I221)</f>
        <v>0.65207939566929141</v>
      </c>
      <c r="N220" s="3">
        <f t="shared" ref="N220" si="234">AVERAGE(J220:J221)</f>
        <v>0.17606143683070866</v>
      </c>
    </row>
    <row r="221" spans="1:14" x14ac:dyDescent="0.2">
      <c r="A221" s="4"/>
      <c r="B221" s="4">
        <v>100</v>
      </c>
      <c r="C221" s="4">
        <v>7</v>
      </c>
      <c r="D221" s="23">
        <v>6.9</v>
      </c>
      <c r="E221" s="23">
        <v>3.45</v>
      </c>
      <c r="F221" s="23">
        <f t="shared" si="200"/>
        <v>6.9</v>
      </c>
      <c r="G221" s="23">
        <f t="shared" si="201"/>
        <v>3.45</v>
      </c>
      <c r="H221" s="4">
        <f t="shared" si="202"/>
        <v>9.7450000000000002E-3</v>
      </c>
      <c r="I221" s="2">
        <f t="shared" si="203"/>
        <v>0.60092887795275596</v>
      </c>
      <c r="J221" s="4">
        <f t="shared" si="204"/>
        <v>0.16225079704724404</v>
      </c>
      <c r="K221" s="4">
        <f t="shared" si="205"/>
        <v>0.76317967499999995</v>
      </c>
      <c r="L221" s="13">
        <f t="shared" si="206"/>
        <v>3.7037037037037051</v>
      </c>
      <c r="M221" s="3"/>
      <c r="N221" s="3"/>
    </row>
    <row r="222" spans="1:14" x14ac:dyDescent="0.2">
      <c r="A222" s="4">
        <v>488406</v>
      </c>
      <c r="B222" s="4">
        <v>100</v>
      </c>
      <c r="C222" s="4">
        <v>6</v>
      </c>
      <c r="D222" s="23">
        <v>3</v>
      </c>
      <c r="E222" s="23">
        <v>1.5</v>
      </c>
      <c r="F222" s="23">
        <f t="shared" si="200"/>
        <v>3</v>
      </c>
      <c r="G222" s="23">
        <f t="shared" si="201"/>
        <v>1.5</v>
      </c>
      <c r="H222" s="4">
        <f t="shared" si="202"/>
        <v>3.5767E-2</v>
      </c>
      <c r="I222" s="2">
        <f t="shared" si="203"/>
        <v>0.95894988188976371</v>
      </c>
      <c r="J222" s="4">
        <f t="shared" si="204"/>
        <v>0.25891646811023611</v>
      </c>
      <c r="K222" s="4">
        <f t="shared" si="205"/>
        <v>1.2178663499999998</v>
      </c>
      <c r="L222" s="13">
        <f t="shared" si="206"/>
        <v>3.7037037037037051</v>
      </c>
      <c r="M222" s="3">
        <f t="shared" ref="M222" si="235">AVERAGE(I222:I223)</f>
        <v>1.0068973759842521</v>
      </c>
      <c r="N222" s="3">
        <f t="shared" ref="N222" si="236">AVERAGE(J222:J223)</f>
        <v>0.23126674651574794</v>
      </c>
    </row>
    <row r="223" spans="1:14" x14ac:dyDescent="0.2">
      <c r="A223" s="4"/>
      <c r="B223" s="4">
        <v>100</v>
      </c>
      <c r="C223" s="4">
        <v>6</v>
      </c>
      <c r="D223" s="23">
        <v>3.2</v>
      </c>
      <c r="E223" s="23">
        <v>1.55</v>
      </c>
      <c r="F223" s="23">
        <f t="shared" si="200"/>
        <v>3.2</v>
      </c>
      <c r="G223" s="23">
        <f t="shared" si="201"/>
        <v>1.55</v>
      </c>
      <c r="H223" s="4">
        <f t="shared" si="202"/>
        <v>3.5767E-2</v>
      </c>
      <c r="I223" s="2">
        <f t="shared" si="203"/>
        <v>1.0548448700787403</v>
      </c>
      <c r="J223" s="4">
        <f t="shared" si="204"/>
        <v>0.20361702492125977</v>
      </c>
      <c r="K223" s="4">
        <f t="shared" si="205"/>
        <v>1.2584618949999999</v>
      </c>
      <c r="L223" s="13">
        <f t="shared" si="206"/>
        <v>5.1805337519623258</v>
      </c>
      <c r="M223" s="3"/>
      <c r="N223" s="3"/>
    </row>
    <row r="224" spans="1:14" x14ac:dyDescent="0.2">
      <c r="A224" s="4">
        <v>488407</v>
      </c>
      <c r="B224" s="4">
        <v>100</v>
      </c>
      <c r="C224" s="4">
        <v>6</v>
      </c>
      <c r="D224" s="23">
        <v>2.5</v>
      </c>
      <c r="E224" s="23">
        <v>1.25</v>
      </c>
      <c r="F224" s="23">
        <f t="shared" si="200"/>
        <v>2.5</v>
      </c>
      <c r="G224" s="23">
        <f t="shared" si="201"/>
        <v>1.25</v>
      </c>
      <c r="H224" s="4">
        <f t="shared" si="202"/>
        <v>3.5767E-2</v>
      </c>
      <c r="I224" s="2">
        <f t="shared" si="203"/>
        <v>0.7991249015748032</v>
      </c>
      <c r="J224" s="4">
        <f t="shared" si="204"/>
        <v>0.21576372342519701</v>
      </c>
      <c r="K224" s="4">
        <f t="shared" si="205"/>
        <v>1.0148886250000002</v>
      </c>
      <c r="L224" s="13">
        <f t="shared" si="206"/>
        <v>3.7037037037037011</v>
      </c>
      <c r="M224" s="3">
        <f t="shared" ref="M224" si="237">AVERAGE(I224:I225)</f>
        <v>0.81510739960629919</v>
      </c>
      <c r="N224" s="3">
        <f t="shared" ref="N224" si="238">AVERAGE(J224:J225)</f>
        <v>0.22007899789370083</v>
      </c>
    </row>
    <row r="225" spans="1:14" x14ac:dyDescent="0.2">
      <c r="A225" s="4"/>
      <c r="B225" s="4">
        <v>100</v>
      </c>
      <c r="C225" s="4">
        <v>6</v>
      </c>
      <c r="D225" s="23">
        <v>2.6</v>
      </c>
      <c r="E225" s="23">
        <v>1.3</v>
      </c>
      <c r="F225" s="23">
        <f t="shared" si="200"/>
        <v>2.6</v>
      </c>
      <c r="G225" s="23">
        <f t="shared" si="201"/>
        <v>1.3</v>
      </c>
      <c r="H225" s="4">
        <f t="shared" si="202"/>
        <v>3.5767E-2</v>
      </c>
      <c r="I225" s="2">
        <f t="shared" si="203"/>
        <v>0.83108989763779528</v>
      </c>
      <c r="J225" s="4">
        <f t="shared" si="204"/>
        <v>0.22439427236220463</v>
      </c>
      <c r="K225" s="4">
        <f t="shared" si="205"/>
        <v>1.0554841699999999</v>
      </c>
      <c r="L225" s="13">
        <f t="shared" si="206"/>
        <v>3.7037037037037051</v>
      </c>
      <c r="M225" s="3"/>
      <c r="N225" s="3"/>
    </row>
    <row r="226" spans="1:14" x14ac:dyDescent="0.2">
      <c r="A226" s="4">
        <v>488408</v>
      </c>
      <c r="B226" s="4">
        <v>100</v>
      </c>
      <c r="C226" s="4">
        <v>6</v>
      </c>
      <c r="D226" s="23">
        <v>2.4</v>
      </c>
      <c r="E226" s="23">
        <v>1.1499999999999999</v>
      </c>
      <c r="F226" s="23">
        <f t="shared" si="200"/>
        <v>2.4</v>
      </c>
      <c r="G226" s="23">
        <f t="shared" si="201"/>
        <v>1.1499999999999999</v>
      </c>
      <c r="H226" s="4">
        <f t="shared" si="202"/>
        <v>3.5767E-2</v>
      </c>
      <c r="I226" s="2">
        <f t="shared" si="203"/>
        <v>0.7991249015748032</v>
      </c>
      <c r="J226" s="4">
        <f t="shared" si="204"/>
        <v>0.13457263342519676</v>
      </c>
      <c r="K226" s="4">
        <f t="shared" si="205"/>
        <v>0.93369753499999997</v>
      </c>
      <c r="L226" s="13">
        <f t="shared" si="206"/>
        <v>5.9382422802850394</v>
      </c>
      <c r="M226" s="3">
        <f t="shared" ref="M226" si="239">AVERAGE(I226:I227)</f>
        <v>0.92698488582677174</v>
      </c>
      <c r="N226" s="3">
        <f t="shared" ref="N226" si="240">AVERAGE(J226:J227)</f>
        <v>-1.3585123326771531E-2</v>
      </c>
    </row>
    <row r="227" spans="1:14" x14ac:dyDescent="0.2">
      <c r="A227" s="4"/>
      <c r="B227" s="4">
        <v>100</v>
      </c>
      <c r="C227" s="4">
        <v>6</v>
      </c>
      <c r="D227" s="23">
        <v>2.75</v>
      </c>
      <c r="E227" s="23">
        <v>1.1000000000000001</v>
      </c>
      <c r="F227" s="23">
        <f t="shared" si="200"/>
        <v>2.75</v>
      </c>
      <c r="G227" s="23">
        <f t="shared" si="201"/>
        <v>1.1000000000000001</v>
      </c>
      <c r="H227" s="4">
        <f t="shared" si="202"/>
        <v>3.5767E-2</v>
      </c>
      <c r="I227" s="2">
        <f t="shared" si="203"/>
        <v>1.0548448700787403</v>
      </c>
      <c r="J227" s="4">
        <f t="shared" si="204"/>
        <v>-0.16174288007873983</v>
      </c>
      <c r="K227" s="4">
        <f t="shared" si="205"/>
        <v>0.89310199000000046</v>
      </c>
      <c r="L227" s="13">
        <f t="shared" si="206"/>
        <v>-6.5217391304347965</v>
      </c>
      <c r="M227" s="3"/>
      <c r="N227" s="3"/>
    </row>
    <row r="228" spans="1:14" x14ac:dyDescent="0.2">
      <c r="A228" s="4">
        <v>488422</v>
      </c>
      <c r="B228" s="4">
        <v>100</v>
      </c>
      <c r="C228" s="4">
        <v>8</v>
      </c>
      <c r="D228" s="23">
        <v>4.3</v>
      </c>
      <c r="E228" s="23">
        <v>2.85</v>
      </c>
      <c r="F228" s="23">
        <f t="shared" si="200"/>
        <v>4.3</v>
      </c>
      <c r="G228" s="23">
        <f t="shared" si="201"/>
        <v>2.85</v>
      </c>
      <c r="H228" s="4">
        <f t="shared" si="202"/>
        <v>3.8630000000000001E-3</v>
      </c>
      <c r="I228" s="2">
        <f t="shared" si="203"/>
        <v>0.1001186181102362</v>
      </c>
      <c r="J228" s="4">
        <f t="shared" si="204"/>
        <v>0.14979816688976383</v>
      </c>
      <c r="K228" s="4">
        <f t="shared" si="205"/>
        <v>0.24991678500000003</v>
      </c>
      <c r="L228" s="13">
        <f t="shared" si="206"/>
        <v>0.66835676423138934</v>
      </c>
      <c r="M228" s="3">
        <f t="shared" ref="M228" si="241">AVERAGE(I228:I229)</f>
        <v>8.4582970472440941E-2</v>
      </c>
      <c r="N228" s="3">
        <f t="shared" ref="N228" si="242">AVERAGE(J228:J229)</f>
        <v>0.14998804702755911</v>
      </c>
    </row>
    <row r="229" spans="1:14" x14ac:dyDescent="0.2">
      <c r="A229" s="4"/>
      <c r="B229" s="4">
        <v>100</v>
      </c>
      <c r="C229" s="4">
        <v>8</v>
      </c>
      <c r="D229" s="23">
        <v>3.5</v>
      </c>
      <c r="E229" s="23">
        <v>2.5</v>
      </c>
      <c r="F229" s="23">
        <f t="shared" si="200"/>
        <v>3.5</v>
      </c>
      <c r="G229" s="23">
        <f t="shared" si="201"/>
        <v>2.5</v>
      </c>
      <c r="H229" s="4">
        <f t="shared" si="202"/>
        <v>3.8630000000000001E-3</v>
      </c>
      <c r="I229" s="2">
        <f t="shared" si="203"/>
        <v>6.904732283464568E-2</v>
      </c>
      <c r="J229" s="4">
        <f t="shared" si="204"/>
        <v>0.15017792716535439</v>
      </c>
      <c r="K229" s="4">
        <f t="shared" si="205"/>
        <v>0.21922525000000007</v>
      </c>
      <c r="L229" s="13">
        <f t="shared" si="206"/>
        <v>0.45977011494252862</v>
      </c>
      <c r="M229" s="3"/>
      <c r="N229" s="3"/>
    </row>
    <row r="230" spans="1:14" x14ac:dyDescent="0.2">
      <c r="A230" s="4">
        <v>488423</v>
      </c>
      <c r="B230" s="4">
        <v>100</v>
      </c>
      <c r="C230" s="4">
        <v>8</v>
      </c>
      <c r="D230" s="23">
        <v>3.4</v>
      </c>
      <c r="E230" s="23">
        <v>2.4500000000000002</v>
      </c>
      <c r="F230" s="23">
        <f t="shared" si="200"/>
        <v>3.4</v>
      </c>
      <c r="G230" s="23">
        <f t="shared" si="201"/>
        <v>2.4500000000000002</v>
      </c>
      <c r="H230" s="4">
        <f t="shared" si="202"/>
        <v>3.8630000000000001E-3</v>
      </c>
      <c r="I230" s="2">
        <f t="shared" si="203"/>
        <v>6.5594956692913375E-2</v>
      </c>
      <c r="J230" s="4">
        <f t="shared" si="204"/>
        <v>0.14924578830708668</v>
      </c>
      <c r="K230" s="4">
        <f t="shared" si="205"/>
        <v>0.21484074500000006</v>
      </c>
      <c r="L230" s="13">
        <f t="shared" si="206"/>
        <v>0.43950959981494309</v>
      </c>
      <c r="M230" s="3">
        <f t="shared" ref="M230" si="243">AVERAGE(I230:I231)</f>
        <v>6.7321139763779528E-2</v>
      </c>
      <c r="N230" s="3">
        <f t="shared" ref="N230" si="244">AVERAGE(J230:J231)</f>
        <v>0.14532735273622049</v>
      </c>
    </row>
    <row r="231" spans="1:14" x14ac:dyDescent="0.2">
      <c r="A231" s="4"/>
      <c r="B231" s="4">
        <v>100</v>
      </c>
      <c r="C231" s="4">
        <v>8</v>
      </c>
      <c r="D231" s="23">
        <v>3.4</v>
      </c>
      <c r="E231" s="23">
        <v>2.4</v>
      </c>
      <c r="F231" s="23">
        <f t="shared" si="200"/>
        <v>3.4</v>
      </c>
      <c r="G231" s="23">
        <f t="shared" si="201"/>
        <v>2.4</v>
      </c>
      <c r="H231" s="4">
        <f t="shared" si="202"/>
        <v>3.8630000000000001E-3</v>
      </c>
      <c r="I231" s="2">
        <f t="shared" si="203"/>
        <v>6.904732283464568E-2</v>
      </c>
      <c r="J231" s="4">
        <f t="shared" si="204"/>
        <v>0.14140891716535434</v>
      </c>
      <c r="K231" s="4">
        <f t="shared" si="205"/>
        <v>0.21045624000000002</v>
      </c>
      <c r="L231" s="13">
        <f t="shared" si="206"/>
        <v>0.48828125000000006</v>
      </c>
      <c r="M231" s="3"/>
      <c r="N231" s="3"/>
    </row>
    <row r="232" spans="1:14" x14ac:dyDescent="0.2">
      <c r="A232" s="4">
        <v>488424</v>
      </c>
      <c r="B232" s="4">
        <v>100</v>
      </c>
      <c r="C232" s="4">
        <v>8</v>
      </c>
      <c r="D232" s="23">
        <v>3.85</v>
      </c>
      <c r="E232" s="23">
        <v>2.7</v>
      </c>
      <c r="F232" s="23">
        <f t="shared" si="200"/>
        <v>3.85</v>
      </c>
      <c r="G232" s="23">
        <f t="shared" si="201"/>
        <v>2.7</v>
      </c>
      <c r="H232" s="4">
        <f t="shared" si="202"/>
        <v>3.8630000000000001E-3</v>
      </c>
      <c r="I232" s="2">
        <f t="shared" si="203"/>
        <v>7.9404421259842511E-2</v>
      </c>
      <c r="J232" s="4">
        <f t="shared" si="204"/>
        <v>0.15735884874015749</v>
      </c>
      <c r="K232" s="4">
        <f t="shared" si="205"/>
        <v>0.23676327</v>
      </c>
      <c r="L232" s="13">
        <f t="shared" si="206"/>
        <v>0.50460728389644571</v>
      </c>
      <c r="M232" s="3">
        <f t="shared" ref="M232" si="245">AVERAGE(I232:I233)</f>
        <v>7.9404421259842511E-2</v>
      </c>
      <c r="N232" s="3">
        <f t="shared" ref="N232" si="246">AVERAGE(J232:J233)</f>
        <v>0.15735884874015749</v>
      </c>
    </row>
    <row r="233" spans="1:14" x14ac:dyDescent="0.2">
      <c r="A233" s="4"/>
      <c r="B233" s="4">
        <v>100</v>
      </c>
      <c r="C233" s="4">
        <v>8</v>
      </c>
      <c r="D233" s="23">
        <v>3.85</v>
      </c>
      <c r="E233" s="23">
        <v>2.7</v>
      </c>
      <c r="F233" s="23">
        <f t="shared" si="200"/>
        <v>3.85</v>
      </c>
      <c r="G233" s="23">
        <f t="shared" si="201"/>
        <v>2.7</v>
      </c>
      <c r="H233" s="4">
        <f t="shared" si="202"/>
        <v>3.8630000000000001E-3</v>
      </c>
      <c r="I233" s="2">
        <f t="shared" si="203"/>
        <v>7.9404421259842511E-2</v>
      </c>
      <c r="J233" s="4">
        <f t="shared" si="204"/>
        <v>0.15735884874015749</v>
      </c>
      <c r="K233" s="4">
        <f t="shared" si="205"/>
        <v>0.23676327</v>
      </c>
      <c r="L233" s="13">
        <f t="shared" si="206"/>
        <v>0.50460728389644571</v>
      </c>
      <c r="M233" s="3"/>
      <c r="N233" s="3"/>
    </row>
    <row r="234" spans="1:14" x14ac:dyDescent="0.2">
      <c r="A234" s="4">
        <v>488425</v>
      </c>
      <c r="B234" s="4">
        <v>100</v>
      </c>
      <c r="C234" s="4">
        <v>8</v>
      </c>
      <c r="D234" s="23">
        <v>3.95</v>
      </c>
      <c r="E234" s="23">
        <v>2.75</v>
      </c>
      <c r="F234" s="23">
        <f t="shared" si="200"/>
        <v>3.95</v>
      </c>
      <c r="G234" s="23">
        <f t="shared" si="201"/>
        <v>2.75</v>
      </c>
      <c r="H234" s="4">
        <f t="shared" si="202"/>
        <v>3.8630000000000001E-3</v>
      </c>
      <c r="I234" s="2">
        <f t="shared" si="203"/>
        <v>8.2856787401574816E-2</v>
      </c>
      <c r="J234" s="4">
        <f t="shared" si="204"/>
        <v>0.15829098759842519</v>
      </c>
      <c r="K234" s="4">
        <f t="shared" si="205"/>
        <v>0.24114777500000001</v>
      </c>
      <c r="L234" s="13">
        <f t="shared" si="206"/>
        <v>0.52344601962922588</v>
      </c>
      <c r="M234" s="3">
        <f t="shared" ref="M234" si="247">AVERAGE(I234:I235)</f>
        <v>8.1130604330708664E-2</v>
      </c>
      <c r="N234" s="3">
        <f t="shared" ref="N234" si="248">AVERAGE(J234:J235)</f>
        <v>0.15563266566929132</v>
      </c>
    </row>
    <row r="235" spans="1:14" x14ac:dyDescent="0.2">
      <c r="A235" s="4"/>
      <c r="B235" s="4">
        <v>100</v>
      </c>
      <c r="C235" s="4">
        <v>8</v>
      </c>
      <c r="D235" s="23">
        <v>3.8</v>
      </c>
      <c r="E235" s="23">
        <v>2.65</v>
      </c>
      <c r="F235" s="23">
        <f t="shared" si="200"/>
        <v>3.8</v>
      </c>
      <c r="G235" s="23">
        <f t="shared" si="201"/>
        <v>2.65</v>
      </c>
      <c r="H235" s="4">
        <f t="shared" si="202"/>
        <v>3.8630000000000001E-3</v>
      </c>
      <c r="I235" s="2">
        <f t="shared" si="203"/>
        <v>7.9404421259842511E-2</v>
      </c>
      <c r="J235" s="4">
        <f t="shared" si="204"/>
        <v>0.15297434374015745</v>
      </c>
      <c r="K235" s="4">
        <f t="shared" si="205"/>
        <v>0.23237876499999996</v>
      </c>
      <c r="L235" s="13">
        <f t="shared" si="206"/>
        <v>0.5190701873166329</v>
      </c>
      <c r="M235" s="3"/>
      <c r="N235" s="3"/>
    </row>
    <row r="236" spans="1:14" x14ac:dyDescent="0.2">
      <c r="A236" s="4">
        <v>488426</v>
      </c>
      <c r="B236" s="4">
        <v>100</v>
      </c>
      <c r="C236" s="4">
        <v>8</v>
      </c>
      <c r="D236" s="23">
        <v>5.4</v>
      </c>
      <c r="E236" s="23">
        <v>3.75</v>
      </c>
      <c r="F236" s="23">
        <f t="shared" si="200"/>
        <v>5.4</v>
      </c>
      <c r="G236" s="23">
        <f t="shared" si="201"/>
        <v>3.75</v>
      </c>
      <c r="H236" s="4">
        <f t="shared" si="202"/>
        <v>3.8630000000000001E-3</v>
      </c>
      <c r="I236" s="2">
        <f t="shared" si="203"/>
        <v>0.11392808267716539</v>
      </c>
      <c r="J236" s="4">
        <f t="shared" si="204"/>
        <v>0.21490979232283472</v>
      </c>
      <c r="K236" s="4">
        <f t="shared" si="205"/>
        <v>0.32883787500000011</v>
      </c>
      <c r="L236" s="13">
        <f t="shared" si="206"/>
        <v>0.53012048192771088</v>
      </c>
      <c r="M236" s="3">
        <f t="shared" ref="M236" si="249">AVERAGE(I236:I237)</f>
        <v>0.11738044881889767</v>
      </c>
      <c r="N236" s="3">
        <f t="shared" ref="N236" si="250">AVERAGE(J236:J237)</f>
        <v>0.20268841618110239</v>
      </c>
    </row>
    <row r="237" spans="1:14" x14ac:dyDescent="0.2">
      <c r="A237" s="4"/>
      <c r="B237" s="4">
        <v>100</v>
      </c>
      <c r="C237" s="4">
        <v>8</v>
      </c>
      <c r="D237" s="23">
        <v>5.3</v>
      </c>
      <c r="E237" s="23">
        <v>3.55</v>
      </c>
      <c r="F237" s="23">
        <f t="shared" si="200"/>
        <v>5.3</v>
      </c>
      <c r="G237" s="23">
        <f t="shared" si="201"/>
        <v>3.55</v>
      </c>
      <c r="H237" s="4">
        <f t="shared" si="202"/>
        <v>3.8630000000000001E-3</v>
      </c>
      <c r="I237" s="2">
        <f t="shared" si="203"/>
        <v>0.12083281496062993</v>
      </c>
      <c r="J237" s="4">
        <f t="shared" si="204"/>
        <v>0.19046704003937007</v>
      </c>
      <c r="K237" s="4">
        <f t="shared" si="205"/>
        <v>0.31129985500000001</v>
      </c>
      <c r="L237" s="13">
        <f t="shared" si="206"/>
        <v>0.63440275512053668</v>
      </c>
      <c r="M237" s="3"/>
      <c r="N237" s="3"/>
    </row>
    <row r="238" spans="1:14" x14ac:dyDescent="0.2">
      <c r="A238" s="4">
        <v>488427</v>
      </c>
      <c r="B238" s="4">
        <v>100</v>
      </c>
      <c r="C238" s="4">
        <v>7</v>
      </c>
      <c r="D238" s="23">
        <v>3.65</v>
      </c>
      <c r="E238" s="23">
        <v>2.2999999999999998</v>
      </c>
      <c r="F238" s="23">
        <f t="shared" si="200"/>
        <v>3.65</v>
      </c>
      <c r="G238" s="23">
        <f t="shared" si="201"/>
        <v>2.2999999999999998</v>
      </c>
      <c r="H238" s="4">
        <f t="shared" si="202"/>
        <v>9.7450000000000002E-3</v>
      </c>
      <c r="I238" s="2">
        <f t="shared" si="203"/>
        <v>0.23514608267716539</v>
      </c>
      <c r="J238" s="4">
        <f t="shared" si="204"/>
        <v>0.27364036732283453</v>
      </c>
      <c r="K238" s="4">
        <f t="shared" si="205"/>
        <v>0.50878644999999989</v>
      </c>
      <c r="L238" s="13">
        <f t="shared" si="206"/>
        <v>0.85932527052832641</v>
      </c>
      <c r="M238" s="3">
        <f t="shared" ref="M238" si="251">AVERAGE(I238:I239)</f>
        <v>0.23514608267716539</v>
      </c>
      <c r="N238" s="3">
        <f t="shared" ref="N238" si="252">AVERAGE(J238:J239)</f>
        <v>0.27364036732283453</v>
      </c>
    </row>
    <row r="239" spans="1:14" x14ac:dyDescent="0.2">
      <c r="A239" s="24"/>
      <c r="B239" s="4">
        <v>100</v>
      </c>
      <c r="C239" s="4">
        <v>7</v>
      </c>
      <c r="D239" s="23">
        <v>3.65</v>
      </c>
      <c r="E239" s="23">
        <v>2.2999999999999998</v>
      </c>
      <c r="F239" s="23">
        <f t="shared" si="200"/>
        <v>3.65</v>
      </c>
      <c r="G239" s="23">
        <f t="shared" si="201"/>
        <v>2.2999999999999998</v>
      </c>
      <c r="H239" s="4">
        <f t="shared" si="202"/>
        <v>9.7450000000000002E-3</v>
      </c>
      <c r="I239" s="2">
        <f t="shared" si="203"/>
        <v>0.23514608267716539</v>
      </c>
      <c r="J239" s="4">
        <f t="shared" si="204"/>
        <v>0.27364036732283453</v>
      </c>
      <c r="K239" s="4">
        <f t="shared" si="205"/>
        <v>0.50878644999999989</v>
      </c>
      <c r="L239" s="13">
        <f t="shared" si="206"/>
        <v>0.85932527052832641</v>
      </c>
      <c r="M239" s="3"/>
      <c r="N239" s="3"/>
    </row>
    <row r="240" spans="1:14" x14ac:dyDescent="0.2">
      <c r="A240" s="22">
        <v>488428</v>
      </c>
      <c r="B240" s="4">
        <v>100</v>
      </c>
      <c r="C240" s="4">
        <v>7</v>
      </c>
      <c r="D240" s="33">
        <v>6.2</v>
      </c>
      <c r="E240" s="23">
        <v>3.6</v>
      </c>
      <c r="F240" s="23">
        <f t="shared" si="200"/>
        <v>6.2</v>
      </c>
      <c r="G240" s="23">
        <f t="shared" si="201"/>
        <v>3.6</v>
      </c>
      <c r="H240" s="4">
        <f t="shared" si="202"/>
        <v>9.7450000000000002E-3</v>
      </c>
      <c r="I240" s="2">
        <f t="shared" si="203"/>
        <v>0.45287393700787409</v>
      </c>
      <c r="J240" s="4">
        <f t="shared" si="204"/>
        <v>0.34348746299212612</v>
      </c>
      <c r="K240" s="4">
        <f t="shared" si="205"/>
        <v>0.79636140000000022</v>
      </c>
      <c r="L240" s="13">
        <f t="shared" si="206"/>
        <v>1.3184584178498984</v>
      </c>
      <c r="M240" s="3">
        <f t="shared" ref="M240" si="253">AVERAGE(I240:I241)</f>
        <v>0.4441648228346457</v>
      </c>
      <c r="N240" s="3">
        <f t="shared" ref="N240" si="254">AVERAGE(J240:J241)</f>
        <v>0.33560571466535438</v>
      </c>
    </row>
    <row r="241" spans="1:14" x14ac:dyDescent="0.2">
      <c r="A241" s="22"/>
      <c r="B241" s="4">
        <v>100</v>
      </c>
      <c r="C241" s="4">
        <v>7</v>
      </c>
      <c r="D241" s="33">
        <v>5.95</v>
      </c>
      <c r="E241" s="23">
        <v>3.45</v>
      </c>
      <c r="F241" s="23">
        <f t="shared" si="200"/>
        <v>5.95</v>
      </c>
      <c r="G241" s="23">
        <f t="shared" si="201"/>
        <v>3.45</v>
      </c>
      <c r="H241" s="4">
        <f t="shared" si="202"/>
        <v>9.7450000000000002E-3</v>
      </c>
      <c r="I241" s="2">
        <f t="shared" si="203"/>
        <v>0.43545570866141731</v>
      </c>
      <c r="J241" s="4">
        <f t="shared" si="204"/>
        <v>0.3277239663385827</v>
      </c>
      <c r="K241" s="4">
        <f t="shared" si="205"/>
        <v>0.76317967499999995</v>
      </c>
      <c r="L241" s="13">
        <f t="shared" si="206"/>
        <v>1.3287270794578792</v>
      </c>
      <c r="M241" s="3"/>
      <c r="N241" s="3"/>
    </row>
    <row r="242" spans="1:14" x14ac:dyDescent="0.2">
      <c r="A242" s="22">
        <v>488429</v>
      </c>
      <c r="B242" s="4">
        <v>100</v>
      </c>
      <c r="C242" s="4">
        <v>7</v>
      </c>
      <c r="D242" s="33">
        <v>6.25</v>
      </c>
      <c r="E242" s="23">
        <v>3.4</v>
      </c>
      <c r="F242" s="23">
        <f t="shared" si="200"/>
        <v>6.25</v>
      </c>
      <c r="G242" s="23">
        <f t="shared" si="201"/>
        <v>3.4</v>
      </c>
      <c r="H242" s="4">
        <f t="shared" si="202"/>
        <v>9.7450000000000002E-3</v>
      </c>
      <c r="I242" s="2">
        <f t="shared" si="203"/>
        <v>0.49641950787401579</v>
      </c>
      <c r="J242" s="4">
        <f t="shared" si="204"/>
        <v>0.25569959212598442</v>
      </c>
      <c r="K242" s="4">
        <f t="shared" si="205"/>
        <v>0.75211910000000026</v>
      </c>
      <c r="L242" s="13">
        <f t="shared" si="206"/>
        <v>1.941416893732969</v>
      </c>
      <c r="M242" s="3">
        <f t="shared" ref="M242" si="255">AVERAGE(I242:I243)</f>
        <v>0.50077406496062982</v>
      </c>
      <c r="N242" s="3">
        <f t="shared" ref="N242" si="256">AVERAGE(J242:J243)</f>
        <v>0.25687532253937029</v>
      </c>
    </row>
    <row r="243" spans="1:14" x14ac:dyDescent="0.2">
      <c r="A243" s="22"/>
      <c r="B243" s="4">
        <v>100</v>
      </c>
      <c r="C243" s="4">
        <v>7</v>
      </c>
      <c r="D243" s="33">
        <v>6.35</v>
      </c>
      <c r="E243" s="23">
        <v>3.45</v>
      </c>
      <c r="F243" s="23">
        <f t="shared" si="200"/>
        <v>6.35</v>
      </c>
      <c r="G243" s="23">
        <f t="shared" si="201"/>
        <v>3.45</v>
      </c>
      <c r="H243" s="4">
        <f t="shared" si="202"/>
        <v>9.7450000000000002E-3</v>
      </c>
      <c r="I243" s="2">
        <f t="shared" si="203"/>
        <v>0.50512862204724396</v>
      </c>
      <c r="J243" s="4">
        <f t="shared" si="204"/>
        <v>0.2580510529527561</v>
      </c>
      <c r="K243" s="4">
        <f t="shared" si="205"/>
        <v>0.76317967500000006</v>
      </c>
      <c r="L243" s="13">
        <f t="shared" si="206"/>
        <v>1.9574755315558536</v>
      </c>
      <c r="M243" s="3"/>
      <c r="N243" s="3"/>
    </row>
    <row r="244" spans="1:14" x14ac:dyDescent="0.2">
      <c r="A244" s="22">
        <v>488430</v>
      </c>
      <c r="B244" s="4">
        <v>100</v>
      </c>
      <c r="C244" s="4">
        <v>7</v>
      </c>
      <c r="D244" s="33">
        <v>6.05</v>
      </c>
      <c r="E244" s="23">
        <v>3.25</v>
      </c>
      <c r="F244" s="23">
        <f t="shared" si="200"/>
        <v>6.05</v>
      </c>
      <c r="G244" s="23">
        <f t="shared" si="201"/>
        <v>3.25</v>
      </c>
      <c r="H244" s="4">
        <f t="shared" si="202"/>
        <v>9.7450000000000002E-3</v>
      </c>
      <c r="I244" s="2">
        <f t="shared" si="203"/>
        <v>0.48771039370078739</v>
      </c>
      <c r="J244" s="4">
        <f t="shared" si="204"/>
        <v>0.23122698129921268</v>
      </c>
      <c r="K244" s="4">
        <f t="shared" si="205"/>
        <v>0.7189373750000001</v>
      </c>
      <c r="L244" s="13">
        <f t="shared" si="206"/>
        <v>2.1092278719397357</v>
      </c>
      <c r="M244" s="3">
        <f t="shared" ref="M244" si="257">AVERAGE(I244:I245)</f>
        <v>0.48771039370078739</v>
      </c>
      <c r="N244" s="3">
        <f t="shared" ref="N244" si="258">AVERAGE(J244:J245)</f>
        <v>0.24228755629921261</v>
      </c>
    </row>
    <row r="245" spans="1:14" x14ac:dyDescent="0.2">
      <c r="A245" s="22"/>
      <c r="B245" s="4">
        <v>100</v>
      </c>
      <c r="C245" s="4">
        <v>7</v>
      </c>
      <c r="D245" s="33">
        <v>6.15</v>
      </c>
      <c r="E245" s="23">
        <v>3.35</v>
      </c>
      <c r="F245" s="23">
        <f t="shared" si="200"/>
        <v>6.15</v>
      </c>
      <c r="G245" s="23">
        <f t="shared" si="201"/>
        <v>3.35</v>
      </c>
      <c r="H245" s="4">
        <f t="shared" si="202"/>
        <v>9.7450000000000002E-3</v>
      </c>
      <c r="I245" s="2">
        <f t="shared" si="203"/>
        <v>0.48771039370078745</v>
      </c>
      <c r="J245" s="4">
        <f t="shared" si="204"/>
        <v>0.25334813129921258</v>
      </c>
      <c r="K245" s="4">
        <f t="shared" si="205"/>
        <v>0.74105852500000002</v>
      </c>
      <c r="L245" s="13">
        <f t="shared" si="206"/>
        <v>1.925060158129942</v>
      </c>
      <c r="M245" s="3"/>
      <c r="N245" s="3"/>
    </row>
    <row r="246" spans="1:14" x14ac:dyDescent="0.2">
      <c r="A246" s="32">
        <v>488252</v>
      </c>
      <c r="B246" s="4">
        <v>100</v>
      </c>
      <c r="C246" s="4">
        <v>6</v>
      </c>
      <c r="D246" s="33">
        <v>3.35</v>
      </c>
      <c r="E246" s="23">
        <v>1.65</v>
      </c>
      <c r="F246" s="23">
        <f t="shared" si="200"/>
        <v>3.35</v>
      </c>
      <c r="G246" s="23">
        <f t="shared" si="201"/>
        <v>1.65</v>
      </c>
      <c r="H246" s="4">
        <f t="shared" si="202"/>
        <v>3.5767E-2</v>
      </c>
      <c r="I246" s="2">
        <f t="shared" si="203"/>
        <v>1.0868098661417325</v>
      </c>
      <c r="J246" s="4">
        <f t="shared" si="204"/>
        <v>0.25284311885826777</v>
      </c>
      <c r="K246" s="4">
        <f t="shared" si="205"/>
        <v>1.3396529850000003</v>
      </c>
      <c r="L246" s="13">
        <f t="shared" si="206"/>
        <v>4.298356510745891</v>
      </c>
      <c r="M246" s="3">
        <f t="shared" ref="M246" si="259">AVERAGE(I246:I247)</f>
        <v>1.0868098661417323</v>
      </c>
      <c r="N246" s="3">
        <f t="shared" ref="N246" si="260">AVERAGE(J246:J247)</f>
        <v>0.21224757385826773</v>
      </c>
    </row>
    <row r="247" spans="1:14" x14ac:dyDescent="0.2">
      <c r="A247" s="22"/>
      <c r="B247" s="4">
        <v>100</v>
      </c>
      <c r="C247" s="4">
        <v>6</v>
      </c>
      <c r="D247" s="33">
        <v>3.25</v>
      </c>
      <c r="E247" s="23">
        <v>1.55</v>
      </c>
      <c r="F247" s="23">
        <f t="shared" si="200"/>
        <v>3.25</v>
      </c>
      <c r="G247" s="23">
        <f t="shared" si="201"/>
        <v>1.55</v>
      </c>
      <c r="H247" s="4">
        <f t="shared" si="202"/>
        <v>3.5767E-2</v>
      </c>
      <c r="I247" s="2">
        <f t="shared" si="203"/>
        <v>1.0868098661417323</v>
      </c>
      <c r="J247" s="4">
        <f t="shared" si="204"/>
        <v>0.17165202885826769</v>
      </c>
      <c r="K247" s="4">
        <f t="shared" si="205"/>
        <v>1.2584618949999999</v>
      </c>
      <c r="L247" s="13">
        <f t="shared" si="206"/>
        <v>6.3314711359404106</v>
      </c>
      <c r="M247" s="3"/>
      <c r="N247" s="3"/>
    </row>
    <row r="248" spans="1:14" x14ac:dyDescent="0.2">
      <c r="A248" s="22">
        <v>488482</v>
      </c>
      <c r="B248" s="4">
        <v>100</v>
      </c>
      <c r="C248" s="4">
        <v>8</v>
      </c>
      <c r="D248" s="33">
        <v>2</v>
      </c>
      <c r="E248" s="23">
        <v>1.5</v>
      </c>
      <c r="F248" s="23">
        <f t="shared" si="200"/>
        <v>2</v>
      </c>
      <c r="G248" s="23">
        <f t="shared" si="201"/>
        <v>1.5</v>
      </c>
      <c r="H248" s="4">
        <f t="shared" si="202"/>
        <v>3.8630000000000001E-3</v>
      </c>
      <c r="I248" s="2">
        <f t="shared" si="203"/>
        <v>3.452366141732284E-2</v>
      </c>
      <c r="J248" s="4">
        <f t="shared" si="204"/>
        <v>9.7011488582677149E-2</v>
      </c>
      <c r="K248" s="4">
        <f t="shared" si="205"/>
        <v>0.13153514999999999</v>
      </c>
      <c r="L248" s="13">
        <f t="shared" si="206"/>
        <v>0.35587188612099657</v>
      </c>
      <c r="M248" s="3">
        <f t="shared" ref="M248" si="261">AVERAGE(I248:I249)</f>
        <v>3.9702210629921263E-2</v>
      </c>
      <c r="N248" s="3">
        <f t="shared" ref="N248" si="262">AVERAGE(J248:J249)</f>
        <v>8.5256181870078745E-2</v>
      </c>
    </row>
    <row r="249" spans="1:14" x14ac:dyDescent="0.2">
      <c r="A249" s="22"/>
      <c r="B249" s="4">
        <v>100</v>
      </c>
      <c r="C249" s="4">
        <v>8</v>
      </c>
      <c r="D249" s="33">
        <v>2</v>
      </c>
      <c r="E249" s="23">
        <v>1.35</v>
      </c>
      <c r="F249" s="23">
        <f t="shared" si="200"/>
        <v>2</v>
      </c>
      <c r="G249" s="23">
        <f t="shared" si="201"/>
        <v>1.35</v>
      </c>
      <c r="H249" s="4">
        <f t="shared" si="202"/>
        <v>3.8630000000000001E-3</v>
      </c>
      <c r="I249" s="2">
        <f t="shared" si="203"/>
        <v>4.4880759842519685E-2</v>
      </c>
      <c r="J249" s="4">
        <f t="shared" si="204"/>
        <v>7.3500875157480328E-2</v>
      </c>
      <c r="K249" s="4">
        <f t="shared" si="205"/>
        <v>0.11838163500000001</v>
      </c>
      <c r="L249" s="13">
        <f t="shared" si="206"/>
        <v>0.61061531235321742</v>
      </c>
      <c r="M249" s="3"/>
      <c r="N249" s="3"/>
    </row>
    <row r="250" spans="1:14" x14ac:dyDescent="0.2">
      <c r="A250" s="22">
        <v>488483</v>
      </c>
      <c r="B250" s="4">
        <v>100</v>
      </c>
      <c r="C250" s="4">
        <v>8</v>
      </c>
      <c r="D250" s="33">
        <v>2.6</v>
      </c>
      <c r="E250" s="23">
        <v>1.95</v>
      </c>
      <c r="F250" s="23">
        <f t="shared" si="200"/>
        <v>2.6</v>
      </c>
      <c r="G250" s="23">
        <f t="shared" si="201"/>
        <v>1.95</v>
      </c>
      <c r="H250" s="4">
        <f t="shared" si="202"/>
        <v>3.8630000000000001E-3</v>
      </c>
      <c r="I250" s="2">
        <f t="shared" si="203"/>
        <v>4.4880759842519692E-2</v>
      </c>
      <c r="J250" s="4">
        <f t="shared" si="204"/>
        <v>0.12611493515748029</v>
      </c>
      <c r="K250" s="4">
        <f t="shared" si="205"/>
        <v>0.17099569499999998</v>
      </c>
      <c r="L250" s="13">
        <f t="shared" si="206"/>
        <v>0.35587188612099657</v>
      </c>
      <c r="M250" s="3">
        <f t="shared" ref="M250" si="263">AVERAGE(I250:I251)</f>
        <v>4.6606942913385824E-2</v>
      </c>
      <c r="N250" s="3">
        <f t="shared" ref="N250" si="264">AVERAGE(J250:J251)</f>
        <v>0.12000424708661418</v>
      </c>
    </row>
    <row r="251" spans="1:14" x14ac:dyDescent="0.2">
      <c r="A251" s="22"/>
      <c r="B251" s="4">
        <v>100</v>
      </c>
      <c r="C251" s="4">
        <v>8</v>
      </c>
      <c r="D251" s="33">
        <v>2.5499999999999998</v>
      </c>
      <c r="E251" s="23">
        <v>1.85</v>
      </c>
      <c r="F251" s="23">
        <f t="shared" si="200"/>
        <v>2.5499999999999998</v>
      </c>
      <c r="G251" s="23">
        <f t="shared" si="201"/>
        <v>1.85</v>
      </c>
      <c r="H251" s="4">
        <f t="shared" si="202"/>
        <v>3.8630000000000001E-3</v>
      </c>
      <c r="I251" s="2">
        <f t="shared" si="203"/>
        <v>4.8333125984251948E-2</v>
      </c>
      <c r="J251" s="4">
        <f t="shared" si="204"/>
        <v>0.11389355901574807</v>
      </c>
      <c r="K251" s="4">
        <f t="shared" si="205"/>
        <v>0.16222668500000004</v>
      </c>
      <c r="L251" s="13">
        <f t="shared" si="206"/>
        <v>0.42437102152167289</v>
      </c>
      <c r="M251" s="3"/>
      <c r="N251" s="3"/>
    </row>
    <row r="252" spans="1:14" x14ac:dyDescent="0.2">
      <c r="A252" s="22">
        <v>488484</v>
      </c>
      <c r="B252" s="4">
        <v>100</v>
      </c>
      <c r="C252" s="4">
        <v>7</v>
      </c>
      <c r="D252" s="33">
        <v>4.6500000000000004</v>
      </c>
      <c r="E252" s="23">
        <v>2.5499999999999998</v>
      </c>
      <c r="F252" s="23">
        <f t="shared" si="200"/>
        <v>4.6500000000000004</v>
      </c>
      <c r="G252" s="23">
        <f t="shared" si="201"/>
        <v>2.5499999999999998</v>
      </c>
      <c r="H252" s="4">
        <f t="shared" si="202"/>
        <v>9.7450000000000002E-3</v>
      </c>
      <c r="I252" s="2">
        <f t="shared" si="203"/>
        <v>0.3657827952755906</v>
      </c>
      <c r="J252" s="4">
        <f t="shared" si="204"/>
        <v>0.19830652972440937</v>
      </c>
      <c r="K252" s="4">
        <f t="shared" si="205"/>
        <v>0.56408932499999997</v>
      </c>
      <c r="L252" s="13">
        <f t="shared" si="206"/>
        <v>1.8445322793148888</v>
      </c>
      <c r="M252" s="3">
        <f t="shared" ref="M252" si="265">AVERAGE(I252:I253)</f>
        <v>0.3701373523622048</v>
      </c>
      <c r="N252" s="3">
        <f t="shared" ref="N252" si="266">AVERAGE(J252:J253)</f>
        <v>0.20501254763779519</v>
      </c>
    </row>
    <row r="253" spans="1:14" x14ac:dyDescent="0.2">
      <c r="A253" s="22"/>
      <c r="B253" s="4">
        <v>100</v>
      </c>
      <c r="C253" s="4">
        <v>7</v>
      </c>
      <c r="D253" s="33">
        <v>4.8</v>
      </c>
      <c r="E253" s="23">
        <v>2.65</v>
      </c>
      <c r="F253" s="23">
        <f t="shared" si="200"/>
        <v>4.8</v>
      </c>
      <c r="G253" s="23">
        <f t="shared" si="201"/>
        <v>2.65</v>
      </c>
      <c r="H253" s="4">
        <f t="shared" si="202"/>
        <v>9.7450000000000002E-3</v>
      </c>
      <c r="I253" s="2">
        <f t="shared" si="203"/>
        <v>0.37449190944881894</v>
      </c>
      <c r="J253" s="4">
        <f t="shared" si="204"/>
        <v>0.21171856555118104</v>
      </c>
      <c r="K253" s="4">
        <f t="shared" si="205"/>
        <v>0.58621047500000001</v>
      </c>
      <c r="L253" s="13">
        <f t="shared" si="206"/>
        <v>1.76881941587824</v>
      </c>
      <c r="M253" s="3"/>
      <c r="N253" s="3"/>
    </row>
    <row r="254" spans="1:14" x14ac:dyDescent="0.2">
      <c r="A254" s="22">
        <v>488485</v>
      </c>
      <c r="B254" s="4">
        <v>100</v>
      </c>
      <c r="C254" s="4">
        <v>7</v>
      </c>
      <c r="D254" s="33">
        <v>7.75</v>
      </c>
      <c r="E254" s="23">
        <v>4</v>
      </c>
      <c r="F254" s="23">
        <f t="shared" si="200"/>
        <v>7.75</v>
      </c>
      <c r="G254" s="23">
        <f t="shared" si="201"/>
        <v>4</v>
      </c>
      <c r="H254" s="4">
        <f t="shared" si="202"/>
        <v>9.7450000000000002E-3</v>
      </c>
      <c r="I254" s="2">
        <f t="shared" si="203"/>
        <v>0.6531835629921261</v>
      </c>
      <c r="J254" s="4">
        <f t="shared" si="204"/>
        <v>0.23166243700787403</v>
      </c>
      <c r="K254" s="4">
        <f t="shared" si="205"/>
        <v>0.88484600000000013</v>
      </c>
      <c r="L254" s="13">
        <f t="shared" si="206"/>
        <v>2.8195488721804516</v>
      </c>
      <c r="M254" s="3">
        <f t="shared" ref="M254" si="267">AVERAGE(I254:I255)</f>
        <v>0.6531835629921261</v>
      </c>
      <c r="N254" s="3">
        <f t="shared" ref="N254" si="268">AVERAGE(J254:J255)</f>
        <v>0.22613214950787403</v>
      </c>
    </row>
    <row r="255" spans="1:14" x14ac:dyDescent="0.2">
      <c r="A255" s="22"/>
      <c r="B255" s="4">
        <v>100</v>
      </c>
      <c r="C255" s="4">
        <v>7</v>
      </c>
      <c r="D255" s="33">
        <v>7.7</v>
      </c>
      <c r="E255" s="23">
        <v>3.95</v>
      </c>
      <c r="F255" s="23">
        <f t="shared" si="200"/>
        <v>7.7</v>
      </c>
      <c r="G255" s="23">
        <f t="shared" si="201"/>
        <v>3.95</v>
      </c>
      <c r="H255" s="4">
        <f t="shared" si="202"/>
        <v>9.7450000000000002E-3</v>
      </c>
      <c r="I255" s="2">
        <f t="shared" si="203"/>
        <v>0.6531835629921261</v>
      </c>
      <c r="J255" s="4">
        <f t="shared" si="204"/>
        <v>0.22060186200787402</v>
      </c>
      <c r="K255" s="4">
        <f t="shared" si="205"/>
        <v>0.87378542500000012</v>
      </c>
      <c r="L255" s="13">
        <f t="shared" si="206"/>
        <v>2.9609159099881568</v>
      </c>
      <c r="M255" s="3"/>
      <c r="N255" s="3"/>
    </row>
    <row r="256" spans="1:14" x14ac:dyDescent="0.2">
      <c r="A256" s="22">
        <v>488486</v>
      </c>
      <c r="B256" s="4">
        <v>100</v>
      </c>
      <c r="C256" s="4">
        <v>6</v>
      </c>
      <c r="D256" s="33">
        <v>2.2000000000000002</v>
      </c>
      <c r="E256" s="23">
        <v>1.05</v>
      </c>
      <c r="F256" s="23">
        <f t="shared" si="200"/>
        <v>2.2000000000000002</v>
      </c>
      <c r="G256" s="23">
        <f t="shared" si="201"/>
        <v>1.05</v>
      </c>
      <c r="H256" s="4">
        <f t="shared" si="202"/>
        <v>3.5767E-2</v>
      </c>
      <c r="I256" s="2">
        <f t="shared" si="203"/>
        <v>0.73519490944881893</v>
      </c>
      <c r="J256" s="4">
        <f t="shared" si="204"/>
        <v>0.117311535551181</v>
      </c>
      <c r="K256" s="4">
        <f t="shared" si="205"/>
        <v>0.85250644499999995</v>
      </c>
      <c r="L256" s="13">
        <f t="shared" si="206"/>
        <v>6.2670299727520495</v>
      </c>
      <c r="M256" s="3">
        <f t="shared" ref="M256" si="269">AVERAGE(I256:I257)</f>
        <v>0.73519490944881893</v>
      </c>
      <c r="N256" s="3">
        <f t="shared" ref="N256" si="270">AVERAGE(J256:J257)</f>
        <v>0.117311535551181</v>
      </c>
    </row>
    <row r="257" spans="1:14" x14ac:dyDescent="0.2">
      <c r="A257" s="22"/>
      <c r="B257" s="4">
        <v>100</v>
      </c>
      <c r="C257" s="4">
        <v>6</v>
      </c>
      <c r="D257" s="33">
        <v>2.2000000000000002</v>
      </c>
      <c r="E257" s="23">
        <v>1.05</v>
      </c>
      <c r="F257" s="23">
        <f t="shared" si="200"/>
        <v>2.2000000000000002</v>
      </c>
      <c r="G257" s="23">
        <f t="shared" si="201"/>
        <v>1.05</v>
      </c>
      <c r="H257" s="4">
        <f t="shared" si="202"/>
        <v>3.5767E-2</v>
      </c>
      <c r="I257" s="2">
        <f t="shared" si="203"/>
        <v>0.73519490944881893</v>
      </c>
      <c r="J257" s="4">
        <f t="shared" si="204"/>
        <v>0.117311535551181</v>
      </c>
      <c r="K257" s="4">
        <f t="shared" si="205"/>
        <v>0.85250644499999995</v>
      </c>
      <c r="L257" s="13">
        <f t="shared" si="206"/>
        <v>6.2670299727520495</v>
      </c>
      <c r="M257" s="3"/>
      <c r="N257" s="3"/>
    </row>
    <row r="258" spans="1:14" x14ac:dyDescent="0.2">
      <c r="A258" s="22">
        <v>488487</v>
      </c>
      <c r="B258" s="4">
        <v>100</v>
      </c>
      <c r="C258" s="4">
        <v>6</v>
      </c>
      <c r="D258" s="33">
        <v>3.05</v>
      </c>
      <c r="E258" s="23">
        <v>1.5</v>
      </c>
      <c r="F258" s="23">
        <f t="shared" ref="F258:F512" si="271">IF($C258=5,D258-$D$5,IF($C258=6,D258-$D$6,IF($C258=7,D258-$D$7,IF($C258=8,D258-$D$8,D258))))</f>
        <v>3.05</v>
      </c>
      <c r="G258" s="23">
        <f t="shared" ref="G258:G512" si="272">IF($C258=5,E258-$D$5,IF($C258=6,E258-$D$6,IF($C258=7,E258-$D$7,IF($C258=8,E258-$D$8,E258))))</f>
        <v>1.5</v>
      </c>
      <c r="H258" s="4">
        <f t="shared" ref="H258:H283" si="273">IF(C258=1,32.7101,IF(C258=2,8.14893,IF(C258=3,1.42818,IF(C258=4,0.44041,IF(C258=5,0.123026,IF(C258=6,0.035767,IF(C258=7,0.009745,0.003863)))))))</f>
        <v>3.5767E-2</v>
      </c>
      <c r="I258" s="2">
        <f t="shared" ref="I258:I283" si="274">H258*$A$3*(F258-G258)*1000/B258</f>
        <v>0.99091487795275579</v>
      </c>
      <c r="J258" s="4">
        <f t="shared" ref="J258:J283" si="275">2.27*($A$3*G258-($A$3-1)*F258)*H258*1000/B258</f>
        <v>0.22695147204724406</v>
      </c>
      <c r="K258" s="4">
        <f t="shared" ref="K258:K283" si="276">(I258+J258)</f>
        <v>1.2178663499999998</v>
      </c>
      <c r="L258" s="13">
        <f t="shared" ref="L258:L283" si="277">(I258/J258)</f>
        <v>4.3661971830985919</v>
      </c>
      <c r="M258" s="3">
        <f t="shared" ref="M258" si="278">AVERAGE(I258:I259)</f>
        <v>1.0228798740157481</v>
      </c>
      <c r="N258" s="3">
        <f t="shared" ref="N258" si="279">AVERAGE(J258:J259)</f>
        <v>0.21528424848425193</v>
      </c>
    </row>
    <row r="259" spans="1:14" x14ac:dyDescent="0.2">
      <c r="A259" s="22"/>
      <c r="B259" s="4">
        <v>100</v>
      </c>
      <c r="C259" s="4">
        <v>6</v>
      </c>
      <c r="D259" s="33">
        <v>3.2</v>
      </c>
      <c r="E259" s="23">
        <v>1.55</v>
      </c>
      <c r="F259" s="23">
        <f t="shared" si="271"/>
        <v>3.2</v>
      </c>
      <c r="G259" s="23">
        <f t="shared" si="272"/>
        <v>1.55</v>
      </c>
      <c r="H259" s="4">
        <f t="shared" si="273"/>
        <v>3.5767E-2</v>
      </c>
      <c r="I259" s="2">
        <f t="shared" si="274"/>
        <v>1.0548448700787403</v>
      </c>
      <c r="J259" s="4">
        <f t="shared" si="275"/>
        <v>0.20361702492125977</v>
      </c>
      <c r="K259" s="4">
        <f t="shared" si="276"/>
        <v>1.2584618949999999</v>
      </c>
      <c r="L259" s="13">
        <f t="shared" si="277"/>
        <v>5.1805337519623258</v>
      </c>
      <c r="M259" s="3"/>
      <c r="N259" s="3"/>
    </row>
    <row r="260" spans="1:14" x14ac:dyDescent="0.2">
      <c r="A260" s="22">
        <v>488488</v>
      </c>
      <c r="B260" s="4">
        <v>100</v>
      </c>
      <c r="C260" s="4">
        <v>6</v>
      </c>
      <c r="D260" s="33">
        <v>3.2</v>
      </c>
      <c r="E260" s="23">
        <v>1.6</v>
      </c>
      <c r="F260" s="23">
        <f t="shared" si="271"/>
        <v>3.2</v>
      </c>
      <c r="G260" s="23">
        <f t="shared" si="272"/>
        <v>1.6</v>
      </c>
      <c r="H260" s="4">
        <f t="shared" si="273"/>
        <v>3.5767E-2</v>
      </c>
      <c r="I260" s="2">
        <f t="shared" si="274"/>
        <v>1.0228798740157481</v>
      </c>
      <c r="J260" s="4">
        <f t="shared" si="275"/>
        <v>0.27617756598425208</v>
      </c>
      <c r="K260" s="4">
        <f t="shared" si="276"/>
        <v>1.2990574400000001</v>
      </c>
      <c r="L260" s="13">
        <f t="shared" si="277"/>
        <v>3.7037037037037024</v>
      </c>
      <c r="M260" s="3">
        <f t="shared" ref="M260" si="280">AVERAGE(I260:I261)</f>
        <v>1.0388623720472441</v>
      </c>
      <c r="N260" s="3">
        <f t="shared" ref="N260" si="281">AVERAGE(J260:J261)</f>
        <v>0.219599522952756</v>
      </c>
    </row>
    <row r="261" spans="1:14" x14ac:dyDescent="0.2">
      <c r="A261" s="22"/>
      <c r="B261" s="4">
        <v>100</v>
      </c>
      <c r="C261" s="4">
        <v>6</v>
      </c>
      <c r="D261" s="33">
        <v>3.15</v>
      </c>
      <c r="E261" s="23">
        <v>1.5</v>
      </c>
      <c r="F261" s="23">
        <f t="shared" si="271"/>
        <v>3.15</v>
      </c>
      <c r="G261" s="23">
        <f t="shared" si="272"/>
        <v>1.5</v>
      </c>
      <c r="H261" s="4">
        <f t="shared" si="273"/>
        <v>3.5767E-2</v>
      </c>
      <c r="I261" s="2">
        <f t="shared" si="274"/>
        <v>1.0548448700787403</v>
      </c>
      <c r="J261" s="4">
        <f t="shared" si="275"/>
        <v>0.16302147992125993</v>
      </c>
      <c r="K261" s="4">
        <f t="shared" si="276"/>
        <v>1.2178663500000002</v>
      </c>
      <c r="L261" s="13">
        <f t="shared" si="277"/>
        <v>6.4705882352941151</v>
      </c>
      <c r="M261" s="3"/>
      <c r="N261" s="3"/>
    </row>
    <row r="262" spans="1:14" x14ac:dyDescent="0.2">
      <c r="A262" s="22">
        <v>488489</v>
      </c>
      <c r="B262" s="4">
        <v>100</v>
      </c>
      <c r="C262" s="4">
        <v>6</v>
      </c>
      <c r="D262" s="33">
        <v>3</v>
      </c>
      <c r="E262" s="23">
        <v>1.45</v>
      </c>
      <c r="F262" s="23">
        <f t="shared" si="271"/>
        <v>3</v>
      </c>
      <c r="G262" s="23">
        <f t="shared" si="272"/>
        <v>1.45</v>
      </c>
      <c r="H262" s="4">
        <f t="shared" si="273"/>
        <v>3.5767E-2</v>
      </c>
      <c r="I262" s="2">
        <f t="shared" si="274"/>
        <v>0.99091487795275601</v>
      </c>
      <c r="J262" s="4">
        <f t="shared" si="275"/>
        <v>0.18635592704724421</v>
      </c>
      <c r="K262" s="4">
        <f t="shared" si="276"/>
        <v>1.1772708050000003</v>
      </c>
      <c r="L262" s="13">
        <f t="shared" si="277"/>
        <v>5.3173241852487108</v>
      </c>
      <c r="M262" s="3">
        <f t="shared" ref="M262" si="282">AVERAGE(I262:I263)</f>
        <v>0.97493237992125992</v>
      </c>
      <c r="N262" s="3">
        <f t="shared" ref="N262" si="283">AVERAGE(J262:J263)</f>
        <v>0.18204065257874014</v>
      </c>
    </row>
    <row r="263" spans="1:14" x14ac:dyDescent="0.2">
      <c r="A263" s="22"/>
      <c r="B263" s="4">
        <v>100</v>
      </c>
      <c r="C263" s="4">
        <v>6</v>
      </c>
      <c r="D263" s="33">
        <v>2.9</v>
      </c>
      <c r="E263" s="23">
        <v>1.4</v>
      </c>
      <c r="F263" s="23">
        <f t="shared" si="271"/>
        <v>2.9</v>
      </c>
      <c r="G263" s="23">
        <f t="shared" si="272"/>
        <v>1.4</v>
      </c>
      <c r="H263" s="4">
        <f t="shared" si="273"/>
        <v>3.5767E-2</v>
      </c>
      <c r="I263" s="2">
        <f t="shared" si="274"/>
        <v>0.95894988188976371</v>
      </c>
      <c r="J263" s="4">
        <f t="shared" si="275"/>
        <v>0.17772537811023603</v>
      </c>
      <c r="K263" s="4">
        <f t="shared" si="276"/>
        <v>1.1366752599999996</v>
      </c>
      <c r="L263" s="13">
        <f t="shared" si="277"/>
        <v>5.3956834532374156</v>
      </c>
      <c r="M263" s="3"/>
      <c r="N263" s="3"/>
    </row>
    <row r="264" spans="1:14" x14ac:dyDescent="0.2">
      <c r="A264" s="22">
        <v>488490</v>
      </c>
      <c r="B264" s="4">
        <v>100</v>
      </c>
      <c r="C264" s="4">
        <v>6</v>
      </c>
      <c r="D264" s="33">
        <v>3.25</v>
      </c>
      <c r="E264" s="23">
        <v>1.55</v>
      </c>
      <c r="F264" s="23">
        <f t="shared" si="271"/>
        <v>3.25</v>
      </c>
      <c r="G264" s="23">
        <f t="shared" si="272"/>
        <v>1.55</v>
      </c>
      <c r="H264" s="4">
        <f t="shared" si="273"/>
        <v>3.5767E-2</v>
      </c>
      <c r="I264" s="2">
        <f t="shared" si="274"/>
        <v>1.0868098661417323</v>
      </c>
      <c r="J264" s="4">
        <f t="shared" si="275"/>
        <v>0.17165202885826769</v>
      </c>
      <c r="K264" s="4">
        <f t="shared" si="276"/>
        <v>1.2584618949999999</v>
      </c>
      <c r="L264" s="13">
        <f t="shared" si="277"/>
        <v>6.3314711359404106</v>
      </c>
      <c r="M264" s="3">
        <f t="shared" ref="M264" si="284">AVERAGE(I264:I265)</f>
        <v>1.0388623720472441</v>
      </c>
      <c r="N264" s="3">
        <f t="shared" ref="N264" si="285">AVERAGE(J264:J265)</f>
        <v>0.17900397795275597</v>
      </c>
    </row>
    <row r="265" spans="1:14" x14ac:dyDescent="0.2">
      <c r="A265" s="22"/>
      <c r="B265" s="4">
        <v>100</v>
      </c>
      <c r="C265" s="4">
        <v>6</v>
      </c>
      <c r="D265" s="33">
        <v>3</v>
      </c>
      <c r="E265" s="23">
        <v>1.45</v>
      </c>
      <c r="F265" s="23">
        <f t="shared" si="271"/>
        <v>3</v>
      </c>
      <c r="G265" s="23">
        <f t="shared" si="272"/>
        <v>1.45</v>
      </c>
      <c r="H265" s="4">
        <f t="shared" si="273"/>
        <v>3.5767E-2</v>
      </c>
      <c r="I265" s="2">
        <f t="shared" si="274"/>
        <v>0.99091487795275601</v>
      </c>
      <c r="J265" s="4">
        <f t="shared" si="275"/>
        <v>0.18635592704724421</v>
      </c>
      <c r="K265" s="4">
        <f t="shared" si="276"/>
        <v>1.1772708050000003</v>
      </c>
      <c r="L265" s="13">
        <f t="shared" si="277"/>
        <v>5.3173241852487108</v>
      </c>
      <c r="M265" s="3"/>
      <c r="N265" s="3"/>
    </row>
    <row r="266" spans="1:14" x14ac:dyDescent="0.2">
      <c r="A266" s="22">
        <v>488494</v>
      </c>
      <c r="B266" s="4">
        <v>100</v>
      </c>
      <c r="C266" s="4">
        <v>8</v>
      </c>
      <c r="D266" s="33">
        <v>2.15</v>
      </c>
      <c r="E266" s="23">
        <v>1.55</v>
      </c>
      <c r="F266" s="23">
        <f t="shared" si="271"/>
        <v>2.15</v>
      </c>
      <c r="G266" s="23">
        <f t="shared" si="272"/>
        <v>1.55</v>
      </c>
      <c r="H266" s="4">
        <f t="shared" si="273"/>
        <v>3.8630000000000001E-3</v>
      </c>
      <c r="I266" s="2">
        <f t="shared" si="274"/>
        <v>4.1428393700787387E-2</v>
      </c>
      <c r="J266" s="4">
        <f t="shared" si="275"/>
        <v>9.4491261299212592E-2</v>
      </c>
      <c r="K266" s="4">
        <f t="shared" si="276"/>
        <v>0.13591965499999997</v>
      </c>
      <c r="L266" s="13">
        <f t="shared" si="277"/>
        <v>0.43843624406284243</v>
      </c>
      <c r="M266" s="3">
        <f t="shared" ref="M266" si="286">AVERAGE(I266:I267)</f>
        <v>4.1428393700787387E-2</v>
      </c>
      <c r="N266" s="3">
        <f t="shared" ref="N266" si="287">AVERAGE(J266:J267)</f>
        <v>9.4491261299212592E-2</v>
      </c>
    </row>
    <row r="267" spans="1:14" x14ac:dyDescent="0.2">
      <c r="A267" s="22"/>
      <c r="B267" s="4">
        <v>100</v>
      </c>
      <c r="C267" s="4">
        <v>8</v>
      </c>
      <c r="D267" s="33">
        <v>2.15</v>
      </c>
      <c r="E267" s="23">
        <v>1.55</v>
      </c>
      <c r="F267" s="23">
        <f t="shared" si="271"/>
        <v>2.15</v>
      </c>
      <c r="G267" s="23">
        <f t="shared" si="272"/>
        <v>1.55</v>
      </c>
      <c r="H267" s="4">
        <f t="shared" si="273"/>
        <v>3.8630000000000001E-3</v>
      </c>
      <c r="I267" s="2">
        <f t="shared" si="274"/>
        <v>4.1428393700787387E-2</v>
      </c>
      <c r="J267" s="4">
        <f t="shared" si="275"/>
        <v>9.4491261299212592E-2</v>
      </c>
      <c r="K267" s="4">
        <f t="shared" si="276"/>
        <v>0.13591965499999997</v>
      </c>
      <c r="L267" s="13">
        <f t="shared" si="277"/>
        <v>0.43843624406284243</v>
      </c>
      <c r="M267" s="3"/>
      <c r="N267" s="3"/>
    </row>
    <row r="268" spans="1:14" x14ac:dyDescent="0.2">
      <c r="A268" s="22">
        <v>488495</v>
      </c>
      <c r="B268" s="4">
        <v>100</v>
      </c>
      <c r="C268" s="4">
        <v>8</v>
      </c>
      <c r="D268" s="33">
        <v>1.9</v>
      </c>
      <c r="E268" s="23">
        <v>1.45</v>
      </c>
      <c r="F268" s="23">
        <f t="shared" si="271"/>
        <v>1.9</v>
      </c>
      <c r="G268" s="23">
        <f t="shared" si="272"/>
        <v>1.45</v>
      </c>
      <c r="H268" s="4">
        <f t="shared" si="273"/>
        <v>3.8630000000000001E-3</v>
      </c>
      <c r="I268" s="2">
        <f t="shared" si="274"/>
        <v>3.1071295275590546E-2</v>
      </c>
      <c r="J268" s="4">
        <f t="shared" si="275"/>
        <v>9.6079349724409471E-2</v>
      </c>
      <c r="K268" s="4">
        <f t="shared" si="276"/>
        <v>0.12715064500000001</v>
      </c>
      <c r="L268" s="13">
        <f t="shared" si="277"/>
        <v>0.32339202299676595</v>
      </c>
      <c r="M268" s="3">
        <f t="shared" ref="M268" si="288">AVERAGE(I268:I269)</f>
        <v>3.1071295275590546E-2</v>
      </c>
      <c r="N268" s="3">
        <f t="shared" ref="N268" si="289">AVERAGE(J268:J269)</f>
        <v>0.10046385472440947</v>
      </c>
    </row>
    <row r="269" spans="1:14" x14ac:dyDescent="0.2">
      <c r="A269" s="22"/>
      <c r="B269" s="4">
        <v>100</v>
      </c>
      <c r="C269" s="4">
        <v>8</v>
      </c>
      <c r="D269" s="33">
        <v>2</v>
      </c>
      <c r="E269" s="23">
        <v>1.55</v>
      </c>
      <c r="F269" s="23">
        <f t="shared" si="271"/>
        <v>2</v>
      </c>
      <c r="G269" s="23">
        <f t="shared" si="272"/>
        <v>1.55</v>
      </c>
      <c r="H269" s="4">
        <f t="shared" si="273"/>
        <v>3.8630000000000001E-3</v>
      </c>
      <c r="I269" s="2">
        <f t="shared" si="274"/>
        <v>3.1071295275590546E-2</v>
      </c>
      <c r="J269" s="4">
        <f t="shared" si="275"/>
        <v>0.10484835972440947</v>
      </c>
      <c r="K269" s="4">
        <f t="shared" si="276"/>
        <v>0.135919655</v>
      </c>
      <c r="L269" s="13">
        <f t="shared" si="277"/>
        <v>0.29634507737899235</v>
      </c>
      <c r="M269" s="3"/>
      <c r="N269" s="3"/>
    </row>
    <row r="270" spans="1:14" x14ac:dyDescent="0.2">
      <c r="A270" s="22">
        <v>488496</v>
      </c>
      <c r="B270" s="4">
        <v>100</v>
      </c>
      <c r="C270" s="4">
        <v>8</v>
      </c>
      <c r="D270" s="33">
        <v>4</v>
      </c>
      <c r="E270" s="23">
        <v>2.65</v>
      </c>
      <c r="F270" s="23">
        <f t="shared" si="271"/>
        <v>4</v>
      </c>
      <c r="G270" s="23">
        <f t="shared" si="272"/>
        <v>2.65</v>
      </c>
      <c r="H270" s="4">
        <f t="shared" si="273"/>
        <v>3.8630000000000001E-3</v>
      </c>
      <c r="I270" s="2">
        <f t="shared" si="274"/>
        <v>9.3213885826771675E-2</v>
      </c>
      <c r="J270" s="4">
        <f t="shared" si="275"/>
        <v>0.13916487917322831</v>
      </c>
      <c r="K270" s="4">
        <f t="shared" si="276"/>
        <v>0.23237876499999999</v>
      </c>
      <c r="L270" s="13">
        <f t="shared" si="277"/>
        <v>0.66980898040188575</v>
      </c>
      <c r="M270" s="3">
        <f t="shared" ref="M270" si="290">AVERAGE(I270:I271)</f>
        <v>8.9761519685039384E-2</v>
      </c>
      <c r="N270" s="3">
        <f t="shared" ref="N270" si="291">AVERAGE(J270:J271)</f>
        <v>0.13604048781496064</v>
      </c>
    </row>
    <row r="271" spans="1:14" x14ac:dyDescent="0.2">
      <c r="A271" s="22"/>
      <c r="B271" s="4">
        <v>100</v>
      </c>
      <c r="C271" s="4">
        <v>8</v>
      </c>
      <c r="D271" s="33">
        <v>3.75</v>
      </c>
      <c r="E271" s="23">
        <v>2.5</v>
      </c>
      <c r="F271" s="23">
        <f t="shared" si="271"/>
        <v>3.75</v>
      </c>
      <c r="G271" s="23">
        <f t="shared" si="272"/>
        <v>2.5</v>
      </c>
      <c r="H271" s="4">
        <f t="shared" si="273"/>
        <v>3.8630000000000001E-3</v>
      </c>
      <c r="I271" s="2">
        <f t="shared" si="274"/>
        <v>8.6309153543307093E-2</v>
      </c>
      <c r="J271" s="4">
        <f t="shared" si="275"/>
        <v>0.13291609645669297</v>
      </c>
      <c r="K271" s="4">
        <f t="shared" si="276"/>
        <v>0.21922525000000007</v>
      </c>
      <c r="L271" s="13">
        <f t="shared" si="277"/>
        <v>0.64935064935064912</v>
      </c>
      <c r="M271" s="3"/>
      <c r="N271" s="3"/>
    </row>
    <row r="272" spans="1:14" x14ac:dyDescent="0.2">
      <c r="A272" s="22">
        <v>488497</v>
      </c>
      <c r="B272" s="4">
        <v>100</v>
      </c>
      <c r="C272" s="4">
        <v>8</v>
      </c>
      <c r="D272" s="33">
        <v>5.55</v>
      </c>
      <c r="E272" s="23">
        <v>3.6</v>
      </c>
      <c r="F272" s="23">
        <f t="shared" si="271"/>
        <v>5.55</v>
      </c>
      <c r="G272" s="23">
        <f t="shared" si="272"/>
        <v>3.6</v>
      </c>
      <c r="H272" s="4">
        <f t="shared" si="273"/>
        <v>3.8630000000000001E-3</v>
      </c>
      <c r="I272" s="2">
        <f t="shared" si="274"/>
        <v>0.13464227952755903</v>
      </c>
      <c r="J272" s="4">
        <f t="shared" si="275"/>
        <v>0.181042080472441</v>
      </c>
      <c r="K272" s="4">
        <f t="shared" si="276"/>
        <v>0.31568436</v>
      </c>
      <c r="L272" s="13">
        <f t="shared" si="277"/>
        <v>0.7437070938215099</v>
      </c>
      <c r="M272" s="3">
        <f t="shared" ref="M272" si="292">AVERAGE(I272:I273)</f>
        <v>0.15363029330708661</v>
      </c>
      <c r="N272" s="3">
        <f t="shared" ref="N272" si="293">AVERAGE(J272:J273)</f>
        <v>0.16863082419291348</v>
      </c>
    </row>
    <row r="273" spans="1:14" x14ac:dyDescent="0.2">
      <c r="A273" s="22"/>
      <c r="B273" s="4">
        <v>100</v>
      </c>
      <c r="C273" s="4">
        <v>8</v>
      </c>
      <c r="D273" s="33">
        <v>6.25</v>
      </c>
      <c r="E273" s="23">
        <v>3.75</v>
      </c>
      <c r="F273" s="23">
        <f t="shared" si="271"/>
        <v>6.25</v>
      </c>
      <c r="G273" s="23">
        <f t="shared" si="272"/>
        <v>3.75</v>
      </c>
      <c r="H273" s="4">
        <f t="shared" si="273"/>
        <v>3.8630000000000001E-3</v>
      </c>
      <c r="I273" s="2">
        <f t="shared" si="274"/>
        <v>0.17261830708661419</v>
      </c>
      <c r="J273" s="4">
        <f t="shared" si="275"/>
        <v>0.15621956791338593</v>
      </c>
      <c r="K273" s="4">
        <f t="shared" si="276"/>
        <v>0.32883787500000011</v>
      </c>
      <c r="L273" s="13">
        <f t="shared" si="277"/>
        <v>1.1049723756906071</v>
      </c>
      <c r="M273" s="3"/>
      <c r="N273" s="3"/>
    </row>
    <row r="274" spans="1:14" x14ac:dyDescent="0.2">
      <c r="A274" s="22">
        <v>488498</v>
      </c>
      <c r="B274" s="4">
        <v>100</v>
      </c>
      <c r="C274" s="4">
        <v>7</v>
      </c>
      <c r="D274" s="33">
        <v>3.85</v>
      </c>
      <c r="E274" s="23">
        <v>2.4</v>
      </c>
      <c r="F274" s="23">
        <f t="shared" si="271"/>
        <v>3.85</v>
      </c>
      <c r="G274" s="23">
        <f t="shared" si="272"/>
        <v>2.4</v>
      </c>
      <c r="H274" s="4">
        <f t="shared" si="273"/>
        <v>9.7450000000000002E-3</v>
      </c>
      <c r="I274" s="2">
        <f t="shared" si="274"/>
        <v>0.25256431102362209</v>
      </c>
      <c r="J274" s="4">
        <f t="shared" si="275"/>
        <v>0.27834328897637794</v>
      </c>
      <c r="K274" s="4">
        <f t="shared" si="276"/>
        <v>0.53090760000000004</v>
      </c>
      <c r="L274" s="13">
        <f t="shared" si="277"/>
        <v>0.90738423028785997</v>
      </c>
      <c r="M274" s="3">
        <f t="shared" ref="M274" si="294">AVERAGE(I274:I275)</f>
        <v>0.25256431102362209</v>
      </c>
      <c r="N274" s="3">
        <f t="shared" ref="N274" si="295">AVERAGE(J274:J275)</f>
        <v>0.26728271397637793</v>
      </c>
    </row>
    <row r="275" spans="1:14" x14ac:dyDescent="0.2">
      <c r="A275" s="22"/>
      <c r="B275" s="4">
        <v>100</v>
      </c>
      <c r="C275" s="4">
        <v>7</v>
      </c>
      <c r="D275" s="33">
        <v>3.75</v>
      </c>
      <c r="E275" s="23">
        <v>2.2999999999999998</v>
      </c>
      <c r="F275" s="23">
        <f t="shared" si="271"/>
        <v>3.75</v>
      </c>
      <c r="G275" s="23">
        <f t="shared" si="272"/>
        <v>2.2999999999999998</v>
      </c>
      <c r="H275" s="4">
        <f t="shared" si="273"/>
        <v>9.7450000000000002E-3</v>
      </c>
      <c r="I275" s="2">
        <f t="shared" si="274"/>
        <v>0.25256431102362209</v>
      </c>
      <c r="J275" s="4">
        <f t="shared" si="275"/>
        <v>0.25622213897637791</v>
      </c>
      <c r="K275" s="4">
        <f t="shared" si="276"/>
        <v>0.50878645</v>
      </c>
      <c r="L275" s="13">
        <f t="shared" si="277"/>
        <v>0.98572399728076177</v>
      </c>
      <c r="M275" s="3"/>
      <c r="N275" s="3"/>
    </row>
    <row r="276" spans="1:14" x14ac:dyDescent="0.2">
      <c r="A276" s="22">
        <v>488499</v>
      </c>
      <c r="B276" s="4">
        <v>100</v>
      </c>
      <c r="C276" s="4">
        <v>7</v>
      </c>
      <c r="D276" s="33">
        <v>5.4</v>
      </c>
      <c r="E276" s="23">
        <v>3.1</v>
      </c>
      <c r="F276" s="23">
        <f t="shared" si="271"/>
        <v>5.4</v>
      </c>
      <c r="G276" s="23">
        <f t="shared" si="272"/>
        <v>3.1</v>
      </c>
      <c r="H276" s="4">
        <f t="shared" si="273"/>
        <v>9.7450000000000002E-3</v>
      </c>
      <c r="I276" s="2">
        <f t="shared" si="274"/>
        <v>0.40061925196850401</v>
      </c>
      <c r="J276" s="4">
        <f t="shared" si="275"/>
        <v>0.2851363980314961</v>
      </c>
      <c r="K276" s="4">
        <f t="shared" si="276"/>
        <v>0.68575565000000016</v>
      </c>
      <c r="L276" s="13">
        <f t="shared" si="277"/>
        <v>1.4050091631032378</v>
      </c>
      <c r="M276" s="3">
        <f t="shared" ref="M276" si="296">AVERAGE(I276:I277)</f>
        <v>0.39191013779527561</v>
      </c>
      <c r="N276" s="3">
        <f t="shared" ref="N276" si="297">AVERAGE(J276:J277)</f>
        <v>0.26619407470472445</v>
      </c>
    </row>
    <row r="277" spans="1:14" x14ac:dyDescent="0.2">
      <c r="A277" s="22"/>
      <c r="B277" s="4">
        <v>100</v>
      </c>
      <c r="C277" s="4">
        <v>7</v>
      </c>
      <c r="D277" s="33">
        <v>5.05</v>
      </c>
      <c r="E277" s="23">
        <v>2.85</v>
      </c>
      <c r="F277" s="23">
        <f t="shared" si="271"/>
        <v>5.05</v>
      </c>
      <c r="G277" s="23">
        <f t="shared" si="272"/>
        <v>2.85</v>
      </c>
      <c r="H277" s="4">
        <f t="shared" si="273"/>
        <v>9.7450000000000002E-3</v>
      </c>
      <c r="I277" s="2">
        <f t="shared" si="274"/>
        <v>0.38320102362204722</v>
      </c>
      <c r="J277" s="4">
        <f t="shared" si="275"/>
        <v>0.24725175137795286</v>
      </c>
      <c r="K277" s="4">
        <f t="shared" si="276"/>
        <v>0.63045277500000008</v>
      </c>
      <c r="L277" s="13">
        <f t="shared" si="277"/>
        <v>1.5498414934836202</v>
      </c>
      <c r="M277" s="3"/>
      <c r="N277" s="3"/>
    </row>
    <row r="278" spans="1:14" x14ac:dyDescent="0.2">
      <c r="A278" s="22">
        <v>488500</v>
      </c>
      <c r="B278" s="4">
        <v>100</v>
      </c>
      <c r="C278" s="4">
        <v>6</v>
      </c>
      <c r="D278" s="33">
        <v>2.75</v>
      </c>
      <c r="E278" s="23">
        <v>1.4</v>
      </c>
      <c r="F278" s="23">
        <f t="shared" si="271"/>
        <v>2.75</v>
      </c>
      <c r="G278" s="23">
        <f t="shared" si="272"/>
        <v>1.4</v>
      </c>
      <c r="H278" s="4">
        <f t="shared" si="273"/>
        <v>3.5767E-2</v>
      </c>
      <c r="I278" s="2">
        <f t="shared" si="274"/>
        <v>0.86305489370078747</v>
      </c>
      <c r="J278" s="4">
        <f t="shared" si="275"/>
        <v>0.27362036629921266</v>
      </c>
      <c r="K278" s="4">
        <f t="shared" si="276"/>
        <v>1.1366752600000001</v>
      </c>
      <c r="L278" s="13">
        <f t="shared" si="277"/>
        <v>3.1542056074766349</v>
      </c>
      <c r="M278" s="3">
        <f t="shared" ref="M278" si="298">AVERAGE(I278:I279)</f>
        <v>0.86305489370078747</v>
      </c>
      <c r="N278" s="3">
        <f t="shared" ref="N278" si="299">AVERAGE(J278:J279)</f>
        <v>0.27362036629921266</v>
      </c>
    </row>
    <row r="279" spans="1:14" x14ac:dyDescent="0.2">
      <c r="A279" s="22"/>
      <c r="B279" s="4">
        <v>100</v>
      </c>
      <c r="C279" s="4">
        <v>6</v>
      </c>
      <c r="D279" s="33">
        <v>2.75</v>
      </c>
      <c r="E279" s="23">
        <v>1.4</v>
      </c>
      <c r="F279" s="23">
        <f t="shared" si="271"/>
        <v>2.75</v>
      </c>
      <c r="G279" s="23">
        <f t="shared" si="272"/>
        <v>1.4</v>
      </c>
      <c r="H279" s="4">
        <f t="shared" si="273"/>
        <v>3.5767E-2</v>
      </c>
      <c r="I279" s="2">
        <f t="shared" si="274"/>
        <v>0.86305489370078747</v>
      </c>
      <c r="J279" s="4">
        <f t="shared" si="275"/>
        <v>0.27362036629921266</v>
      </c>
      <c r="K279" s="4">
        <f t="shared" si="276"/>
        <v>1.1366752600000001</v>
      </c>
      <c r="L279" s="13">
        <f t="shared" si="277"/>
        <v>3.1542056074766349</v>
      </c>
      <c r="M279" s="3"/>
      <c r="N279" s="3"/>
    </row>
    <row r="280" spans="1:14" x14ac:dyDescent="0.2">
      <c r="A280" s="22">
        <v>488501</v>
      </c>
      <c r="B280" s="4">
        <v>100</v>
      </c>
      <c r="C280" s="4">
        <v>6</v>
      </c>
      <c r="D280" s="33">
        <v>3</v>
      </c>
      <c r="E280" s="23">
        <v>1.45</v>
      </c>
      <c r="F280" s="23">
        <f t="shared" si="271"/>
        <v>3</v>
      </c>
      <c r="G280" s="23">
        <f t="shared" si="272"/>
        <v>1.45</v>
      </c>
      <c r="H280" s="4">
        <f t="shared" si="273"/>
        <v>3.5767E-2</v>
      </c>
      <c r="I280" s="2">
        <f t="shared" si="274"/>
        <v>0.99091487795275601</v>
      </c>
      <c r="J280" s="4">
        <f t="shared" si="275"/>
        <v>0.18635592704724421</v>
      </c>
      <c r="K280" s="4">
        <f t="shared" si="276"/>
        <v>1.1772708050000003</v>
      </c>
      <c r="L280" s="13">
        <f t="shared" si="277"/>
        <v>5.3173241852487108</v>
      </c>
      <c r="M280" s="3">
        <f t="shared" ref="M280" si="300">AVERAGE(I280:I281)</f>
        <v>0.97493237992125992</v>
      </c>
      <c r="N280" s="3">
        <f t="shared" ref="N280" si="301">AVERAGE(J280:J281)</f>
        <v>0.20233842507874022</v>
      </c>
    </row>
    <row r="281" spans="1:14" x14ac:dyDescent="0.2">
      <c r="A281" s="22"/>
      <c r="B281" s="4">
        <v>100</v>
      </c>
      <c r="C281" s="4">
        <v>6</v>
      </c>
      <c r="D281" s="33">
        <v>2.95</v>
      </c>
      <c r="E281" s="23">
        <v>1.45</v>
      </c>
      <c r="F281" s="23">
        <f t="shared" si="271"/>
        <v>2.95</v>
      </c>
      <c r="G281" s="23">
        <f t="shared" si="272"/>
        <v>1.45</v>
      </c>
      <c r="H281" s="4">
        <f t="shared" si="273"/>
        <v>3.5767E-2</v>
      </c>
      <c r="I281" s="2">
        <f t="shared" si="274"/>
        <v>0.95894988188976393</v>
      </c>
      <c r="J281" s="4">
        <f t="shared" si="275"/>
        <v>0.21832092311023626</v>
      </c>
      <c r="K281" s="4">
        <f t="shared" si="276"/>
        <v>1.1772708050000003</v>
      </c>
      <c r="L281" s="13">
        <f t="shared" si="277"/>
        <v>4.3923865300146412</v>
      </c>
      <c r="M281" s="3"/>
      <c r="N281" s="3"/>
    </row>
    <row r="282" spans="1:14" x14ac:dyDescent="0.2">
      <c r="A282" s="22">
        <v>488502</v>
      </c>
      <c r="B282" s="4">
        <v>100</v>
      </c>
      <c r="C282" s="4">
        <v>6</v>
      </c>
      <c r="D282" s="33">
        <v>2.85</v>
      </c>
      <c r="E282" s="23">
        <v>1.45</v>
      </c>
      <c r="F282" s="23">
        <f t="shared" si="271"/>
        <v>2.85</v>
      </c>
      <c r="G282" s="23">
        <f t="shared" si="272"/>
        <v>1.45</v>
      </c>
      <c r="H282" s="4">
        <f t="shared" si="273"/>
        <v>3.5767E-2</v>
      </c>
      <c r="I282" s="2">
        <f t="shared" si="274"/>
        <v>0.89501988976377977</v>
      </c>
      <c r="J282" s="4">
        <f t="shared" si="275"/>
        <v>0.28225091523622037</v>
      </c>
      <c r="K282" s="4">
        <f t="shared" si="276"/>
        <v>1.177270805</v>
      </c>
      <c r="L282" s="13">
        <f t="shared" si="277"/>
        <v>3.1710079275198209</v>
      </c>
      <c r="M282" s="3">
        <f t="shared" ref="M282" si="302">AVERAGE(I282:I283)</f>
        <v>0.92698488582677174</v>
      </c>
      <c r="N282" s="3">
        <f t="shared" ref="N282" si="303">AVERAGE(J282:J283)</f>
        <v>0.2299881466732282</v>
      </c>
    </row>
    <row r="283" spans="1:14" x14ac:dyDescent="0.2">
      <c r="A283" s="22"/>
      <c r="B283" s="4">
        <v>100</v>
      </c>
      <c r="C283" s="4">
        <v>6</v>
      </c>
      <c r="D283" s="33">
        <v>2.9</v>
      </c>
      <c r="E283" s="23">
        <v>1.4</v>
      </c>
      <c r="F283" s="23">
        <f t="shared" si="271"/>
        <v>2.9</v>
      </c>
      <c r="G283" s="23">
        <f t="shared" si="272"/>
        <v>1.4</v>
      </c>
      <c r="H283" s="4">
        <f t="shared" si="273"/>
        <v>3.5767E-2</v>
      </c>
      <c r="I283" s="2">
        <f t="shared" si="274"/>
        <v>0.95894988188976371</v>
      </c>
      <c r="J283" s="4">
        <f t="shared" si="275"/>
        <v>0.17772537811023603</v>
      </c>
      <c r="K283" s="4">
        <f t="shared" si="276"/>
        <v>1.1366752599999996</v>
      </c>
      <c r="L283" s="13">
        <f t="shared" si="277"/>
        <v>5.3956834532374156</v>
      </c>
      <c r="M283" s="3"/>
      <c r="N283" s="3"/>
    </row>
    <row r="284" spans="1:14" x14ac:dyDescent="0.2">
      <c r="A284" s="22">
        <v>488506</v>
      </c>
      <c r="B284" s="4">
        <v>100</v>
      </c>
      <c r="C284" s="4">
        <v>8</v>
      </c>
      <c r="D284" s="33">
        <v>1.1499999999999999</v>
      </c>
      <c r="E284" s="23">
        <v>0.75</v>
      </c>
      <c r="F284" s="23">
        <f t="shared" si="271"/>
        <v>1.1499999999999999</v>
      </c>
      <c r="G284" s="23">
        <f t="shared" si="272"/>
        <v>0.75</v>
      </c>
      <c r="H284" s="4">
        <f t="shared" ref="H284:H347" si="304">IF(C284=1,32.7101,IF(C284=2,8.14893,IF(C284=3,1.42818,IF(C284=4,0.44041,IF(C284=5,0.123026,IF(C284=6,0.035767,IF(C284=7,0.009745,0.003863)))))))</f>
        <v>3.8630000000000001E-3</v>
      </c>
      <c r="I284" s="2">
        <f t="shared" ref="I284:I347" si="305">H284*$A$3*(F284-G284)*1000/B284</f>
        <v>2.7618929133858265E-2</v>
      </c>
      <c r="J284" s="4">
        <f t="shared" ref="J284:J347" si="306">2.27*($A$3*G284-($A$3-1)*F284)*H284*1000/B284</f>
        <v>3.814864586614173E-2</v>
      </c>
      <c r="K284" s="4">
        <f t="shared" ref="K284:K347" si="307">(I284+J284)</f>
        <v>6.5767574999999995E-2</v>
      </c>
      <c r="L284" s="13">
        <f t="shared" ref="L284:L347" si="308">(I284/J284)</f>
        <v>0.72398190045248867</v>
      </c>
      <c r="M284" s="3">
        <f t="shared" ref="M284" si="309">AVERAGE(I284:I285)</f>
        <v>2.7618929133858265E-2</v>
      </c>
      <c r="N284" s="3">
        <f t="shared" ref="N284" si="310">AVERAGE(J284:J285)</f>
        <v>3.3764140866141726E-2</v>
      </c>
    </row>
    <row r="285" spans="1:14" x14ac:dyDescent="0.2">
      <c r="A285" s="22"/>
      <c r="B285" s="4">
        <v>100</v>
      </c>
      <c r="C285" s="4">
        <v>8</v>
      </c>
      <c r="D285" s="33">
        <v>1.05</v>
      </c>
      <c r="E285" s="23">
        <v>0.65</v>
      </c>
      <c r="F285" s="23">
        <f t="shared" si="271"/>
        <v>1.05</v>
      </c>
      <c r="G285" s="23">
        <f t="shared" si="272"/>
        <v>0.65</v>
      </c>
      <c r="H285" s="4">
        <f t="shared" si="304"/>
        <v>3.8630000000000001E-3</v>
      </c>
      <c r="I285" s="2">
        <f t="shared" si="305"/>
        <v>2.7618929133858269E-2</v>
      </c>
      <c r="J285" s="4">
        <f t="shared" si="306"/>
        <v>2.9379635866141725E-2</v>
      </c>
      <c r="K285" s="4">
        <f t="shared" si="307"/>
        <v>5.6998564999999994E-2</v>
      </c>
      <c r="L285" s="13">
        <f t="shared" si="308"/>
        <v>0.94007050528789682</v>
      </c>
      <c r="M285" s="3"/>
      <c r="N285" s="3"/>
    </row>
    <row r="286" spans="1:14" x14ac:dyDescent="0.2">
      <c r="A286" s="22">
        <v>488507</v>
      </c>
      <c r="B286" s="4">
        <v>100</v>
      </c>
      <c r="C286" s="4">
        <v>8</v>
      </c>
      <c r="D286" s="33">
        <v>0.85</v>
      </c>
      <c r="E286" s="23">
        <v>0.65</v>
      </c>
      <c r="F286" s="23">
        <f t="shared" si="271"/>
        <v>0.85</v>
      </c>
      <c r="G286" s="23">
        <f t="shared" si="272"/>
        <v>0.65</v>
      </c>
      <c r="H286" s="4">
        <f t="shared" si="304"/>
        <v>3.8630000000000001E-3</v>
      </c>
      <c r="I286" s="2">
        <f t="shared" si="305"/>
        <v>1.3809464566929133E-2</v>
      </c>
      <c r="J286" s="4">
        <f t="shared" si="306"/>
        <v>4.3189100433070865E-2</v>
      </c>
      <c r="K286" s="4">
        <f t="shared" si="307"/>
        <v>5.6998565000000001E-2</v>
      </c>
      <c r="L286" s="13">
        <f t="shared" si="308"/>
        <v>0.31974420463629094</v>
      </c>
      <c r="M286" s="3">
        <f t="shared" ref="M286" si="311">AVERAGE(I286:I287)</f>
        <v>1.8988013779527562E-2</v>
      </c>
      <c r="N286" s="3">
        <f t="shared" ref="N286" si="312">AVERAGE(J286:J287)</f>
        <v>4.0202803720472441E-2</v>
      </c>
    </row>
    <row r="287" spans="1:14" x14ac:dyDescent="0.2">
      <c r="A287" s="22"/>
      <c r="B287" s="4">
        <v>100</v>
      </c>
      <c r="C287" s="4">
        <v>8</v>
      </c>
      <c r="D287" s="33">
        <v>1.05</v>
      </c>
      <c r="E287" s="23">
        <v>0.7</v>
      </c>
      <c r="F287" s="23">
        <f t="shared" si="271"/>
        <v>1.05</v>
      </c>
      <c r="G287" s="23">
        <f t="shared" si="272"/>
        <v>0.7</v>
      </c>
      <c r="H287" s="4">
        <f t="shared" si="304"/>
        <v>3.8630000000000001E-3</v>
      </c>
      <c r="I287" s="2">
        <f t="shared" si="305"/>
        <v>2.4166562992125992E-2</v>
      </c>
      <c r="J287" s="4">
        <f t="shared" si="306"/>
        <v>3.721650700787401E-2</v>
      </c>
      <c r="K287" s="4">
        <f t="shared" si="307"/>
        <v>6.1383069999999998E-2</v>
      </c>
      <c r="L287" s="13">
        <f t="shared" si="308"/>
        <v>0.64935064935064968</v>
      </c>
      <c r="M287" s="3"/>
      <c r="N287" s="3"/>
    </row>
    <row r="288" spans="1:14" x14ac:dyDescent="0.2">
      <c r="A288" s="22">
        <v>488508</v>
      </c>
      <c r="B288" s="4">
        <v>100</v>
      </c>
      <c r="C288" s="4">
        <v>8</v>
      </c>
      <c r="D288" s="33">
        <v>1.25</v>
      </c>
      <c r="E288" s="23">
        <v>0.85</v>
      </c>
      <c r="F288" s="23">
        <f t="shared" si="271"/>
        <v>1.25</v>
      </c>
      <c r="G288" s="23">
        <f t="shared" si="272"/>
        <v>0.85</v>
      </c>
      <c r="H288" s="4">
        <f t="shared" si="304"/>
        <v>3.8630000000000001E-3</v>
      </c>
      <c r="I288" s="2">
        <f t="shared" si="305"/>
        <v>2.7618929133858269E-2</v>
      </c>
      <c r="J288" s="4">
        <f t="shared" si="306"/>
        <v>4.6917655866141744E-2</v>
      </c>
      <c r="K288" s="4">
        <f t="shared" si="307"/>
        <v>7.4536585000000016E-2</v>
      </c>
      <c r="L288" s="13">
        <f t="shared" si="308"/>
        <v>0.58866813833701237</v>
      </c>
      <c r="M288" s="3">
        <f t="shared" ref="M288" si="313">AVERAGE(I288:I289)</f>
        <v>2.9345112204724411E-2</v>
      </c>
      <c r="N288" s="3">
        <f t="shared" ref="N288" si="314">AVERAGE(J288:J289)</f>
        <v>4.5191472795275606E-2</v>
      </c>
    </row>
    <row r="289" spans="1:14" x14ac:dyDescent="0.2">
      <c r="A289" s="22"/>
      <c r="B289" s="4">
        <v>100</v>
      </c>
      <c r="C289" s="4">
        <v>8</v>
      </c>
      <c r="D289" s="33">
        <v>1.3</v>
      </c>
      <c r="E289" s="23">
        <v>0.85</v>
      </c>
      <c r="F289" s="23">
        <f t="shared" si="271"/>
        <v>1.3</v>
      </c>
      <c r="G289" s="23">
        <f t="shared" si="272"/>
        <v>0.85</v>
      </c>
      <c r="H289" s="4">
        <f t="shared" si="304"/>
        <v>3.8630000000000001E-3</v>
      </c>
      <c r="I289" s="2">
        <f t="shared" si="305"/>
        <v>3.1071295275590556E-2</v>
      </c>
      <c r="J289" s="4">
        <f t="shared" si="306"/>
        <v>4.346528972440946E-2</v>
      </c>
      <c r="K289" s="4">
        <f t="shared" si="307"/>
        <v>7.4536585000000016E-2</v>
      </c>
      <c r="L289" s="13">
        <f t="shared" si="308"/>
        <v>0.71485305798252574</v>
      </c>
      <c r="M289" s="3"/>
      <c r="N289" s="3"/>
    </row>
    <row r="290" spans="1:14" x14ac:dyDescent="0.2">
      <c r="A290" s="22">
        <v>488509</v>
      </c>
      <c r="B290" s="4">
        <v>100</v>
      </c>
      <c r="C290" s="4">
        <v>8</v>
      </c>
      <c r="D290" s="33">
        <v>1.75</v>
      </c>
      <c r="E290" s="23">
        <v>1.05</v>
      </c>
      <c r="F290" s="23">
        <f t="shared" si="271"/>
        <v>1.75</v>
      </c>
      <c r="G290" s="23">
        <f t="shared" si="272"/>
        <v>1.05</v>
      </c>
      <c r="H290" s="4">
        <f t="shared" si="304"/>
        <v>3.8630000000000001E-3</v>
      </c>
      <c r="I290" s="2">
        <f t="shared" si="305"/>
        <v>4.8333125984251969E-2</v>
      </c>
      <c r="J290" s="4">
        <f t="shared" si="306"/>
        <v>4.3741479015748048E-2</v>
      </c>
      <c r="K290" s="4">
        <f t="shared" si="307"/>
        <v>9.2074605000000018E-2</v>
      </c>
      <c r="L290" s="13">
        <f t="shared" si="308"/>
        <v>1.1049723756906074</v>
      </c>
      <c r="M290" s="3">
        <f t="shared" ref="M290" si="315">AVERAGE(I290:I291)</f>
        <v>3.9702210629921263E-2</v>
      </c>
      <c r="N290" s="3">
        <f t="shared" ref="N290" si="316">AVERAGE(J290:J291)</f>
        <v>4.5795636870078753E-2</v>
      </c>
    </row>
    <row r="291" spans="1:14" x14ac:dyDescent="0.2">
      <c r="A291" s="22"/>
      <c r="B291" s="4">
        <v>100</v>
      </c>
      <c r="C291" s="4">
        <v>8</v>
      </c>
      <c r="D291" s="33">
        <v>1.35</v>
      </c>
      <c r="E291" s="23">
        <v>0.9</v>
      </c>
      <c r="F291" s="23">
        <f t="shared" si="271"/>
        <v>1.35</v>
      </c>
      <c r="G291" s="23">
        <f t="shared" si="272"/>
        <v>0.9</v>
      </c>
      <c r="H291" s="4">
        <f t="shared" si="304"/>
        <v>3.8630000000000001E-3</v>
      </c>
      <c r="I291" s="2">
        <f t="shared" si="305"/>
        <v>3.1071295275590556E-2</v>
      </c>
      <c r="J291" s="4">
        <f t="shared" si="306"/>
        <v>4.7849794724409457E-2</v>
      </c>
      <c r="K291" s="4">
        <f t="shared" si="307"/>
        <v>7.8921090000000013E-2</v>
      </c>
      <c r="L291" s="13">
        <f t="shared" si="308"/>
        <v>0.64935064935064934</v>
      </c>
      <c r="M291" s="3"/>
      <c r="N291" s="3"/>
    </row>
    <row r="292" spans="1:14" x14ac:dyDescent="0.2">
      <c r="A292" s="22">
        <v>488510</v>
      </c>
      <c r="B292" s="4">
        <v>100</v>
      </c>
      <c r="C292" s="4">
        <v>8</v>
      </c>
      <c r="D292" s="33">
        <v>1.9</v>
      </c>
      <c r="E292" s="23">
        <v>1.1499999999999999</v>
      </c>
      <c r="F292" s="23">
        <f t="shared" si="271"/>
        <v>1.9</v>
      </c>
      <c r="G292" s="23">
        <f t="shared" si="272"/>
        <v>1.1499999999999999</v>
      </c>
      <c r="H292" s="4">
        <f t="shared" si="304"/>
        <v>3.8630000000000001E-3</v>
      </c>
      <c r="I292" s="2">
        <f t="shared" si="305"/>
        <v>5.1785492125984253E-2</v>
      </c>
      <c r="J292" s="4">
        <f t="shared" si="306"/>
        <v>4.9058122874015737E-2</v>
      </c>
      <c r="K292" s="4">
        <f t="shared" si="307"/>
        <v>0.100843615</v>
      </c>
      <c r="L292" s="13">
        <f t="shared" si="308"/>
        <v>1.0555946516537653</v>
      </c>
      <c r="M292" s="3">
        <f t="shared" ref="M292" si="317">AVERAGE(I292:I293)</f>
        <v>5.6964041338582669E-2</v>
      </c>
      <c r="N292" s="3">
        <f t="shared" ref="N292" si="318">AVERAGE(J292:J293)</f>
        <v>5.4840836161417314E-2</v>
      </c>
    </row>
    <row r="293" spans="1:14" x14ac:dyDescent="0.2">
      <c r="A293" s="22"/>
      <c r="B293" s="4">
        <v>100</v>
      </c>
      <c r="C293" s="4">
        <v>8</v>
      </c>
      <c r="D293" s="33">
        <v>2.2999999999999998</v>
      </c>
      <c r="E293" s="23">
        <v>1.4</v>
      </c>
      <c r="F293" s="23">
        <f t="shared" si="271"/>
        <v>2.2999999999999998</v>
      </c>
      <c r="G293" s="23">
        <f t="shared" si="272"/>
        <v>1.4</v>
      </c>
      <c r="H293" s="4">
        <f t="shared" si="304"/>
        <v>3.8630000000000001E-3</v>
      </c>
      <c r="I293" s="2">
        <f t="shared" si="305"/>
        <v>6.2142590551181091E-2</v>
      </c>
      <c r="J293" s="4">
        <f t="shared" si="306"/>
        <v>6.0623549448818898E-2</v>
      </c>
      <c r="K293" s="4">
        <f t="shared" si="307"/>
        <v>0.12276614</v>
      </c>
      <c r="L293" s="13">
        <f t="shared" si="308"/>
        <v>1.0250569476082003</v>
      </c>
      <c r="M293" s="3"/>
      <c r="N293" s="3"/>
    </row>
    <row r="294" spans="1:14" x14ac:dyDescent="0.2">
      <c r="A294" s="22">
        <v>488511</v>
      </c>
      <c r="B294" s="4">
        <v>100</v>
      </c>
      <c r="C294" s="4">
        <v>6</v>
      </c>
      <c r="D294" s="33">
        <v>2.75</v>
      </c>
      <c r="E294" s="23">
        <v>1.3</v>
      </c>
      <c r="F294" s="23">
        <f t="shared" si="271"/>
        <v>2.75</v>
      </c>
      <c r="G294" s="23">
        <f t="shared" si="272"/>
        <v>1.3</v>
      </c>
      <c r="H294" s="4">
        <f t="shared" si="304"/>
        <v>3.5767E-2</v>
      </c>
      <c r="I294" s="2">
        <f t="shared" si="305"/>
        <v>0.92698488582677174</v>
      </c>
      <c r="J294" s="4">
        <f t="shared" si="306"/>
        <v>0.12849928417322842</v>
      </c>
      <c r="K294" s="4">
        <f t="shared" si="307"/>
        <v>1.0554841700000002</v>
      </c>
      <c r="L294" s="13">
        <f t="shared" si="308"/>
        <v>7.2139303482587032</v>
      </c>
      <c r="M294" s="3">
        <f t="shared" ref="M294" si="319">AVERAGE(I294:I295)</f>
        <v>0.92698488582677174</v>
      </c>
      <c r="N294" s="3">
        <f t="shared" ref="N294" si="320">AVERAGE(J294:J295)</f>
        <v>0.12849928417322842</v>
      </c>
    </row>
    <row r="295" spans="1:14" x14ac:dyDescent="0.2">
      <c r="A295" s="22"/>
      <c r="B295" s="4">
        <v>100</v>
      </c>
      <c r="C295" s="4">
        <v>6</v>
      </c>
      <c r="D295" s="33">
        <v>2.75</v>
      </c>
      <c r="E295" s="23">
        <v>1.3</v>
      </c>
      <c r="F295" s="23">
        <f t="shared" si="271"/>
        <v>2.75</v>
      </c>
      <c r="G295" s="23">
        <f t="shared" si="272"/>
        <v>1.3</v>
      </c>
      <c r="H295" s="4">
        <f t="shared" si="304"/>
        <v>3.5767E-2</v>
      </c>
      <c r="I295" s="2">
        <f t="shared" si="305"/>
        <v>0.92698488582677174</v>
      </c>
      <c r="J295" s="4">
        <f t="shared" si="306"/>
        <v>0.12849928417322842</v>
      </c>
      <c r="K295" s="4">
        <f t="shared" si="307"/>
        <v>1.0554841700000002</v>
      </c>
      <c r="L295" s="13">
        <f t="shared" si="308"/>
        <v>7.2139303482587032</v>
      </c>
      <c r="M295" s="3"/>
      <c r="N295" s="3"/>
    </row>
    <row r="296" spans="1:14" x14ac:dyDescent="0.2">
      <c r="A296" s="22">
        <v>488512</v>
      </c>
      <c r="B296" s="4">
        <v>100</v>
      </c>
      <c r="C296" s="4">
        <v>6</v>
      </c>
      <c r="D296" s="33">
        <v>4.75</v>
      </c>
      <c r="E296" s="23">
        <v>2.2999999999999998</v>
      </c>
      <c r="F296" s="23">
        <f t="shared" si="271"/>
        <v>4.75</v>
      </c>
      <c r="G296" s="23">
        <f t="shared" si="272"/>
        <v>2.2999999999999998</v>
      </c>
      <c r="H296" s="4">
        <f t="shared" si="304"/>
        <v>3.5767E-2</v>
      </c>
      <c r="I296" s="2">
        <f t="shared" si="305"/>
        <v>1.5662848070866144</v>
      </c>
      <c r="J296" s="4">
        <f t="shared" si="306"/>
        <v>0.30111026291338561</v>
      </c>
      <c r="K296" s="4">
        <f t="shared" si="307"/>
        <v>1.8673950700000002</v>
      </c>
      <c r="L296" s="13">
        <f t="shared" si="308"/>
        <v>5.2016985138004292</v>
      </c>
      <c r="M296" s="3">
        <f t="shared" ref="M296" si="321">AVERAGE(I296:I297)</f>
        <v>1.5822673051181102</v>
      </c>
      <c r="N296" s="3">
        <f t="shared" ref="N296" si="322">AVERAGE(J296:J297)</f>
        <v>0.30542553738188982</v>
      </c>
    </row>
    <row r="297" spans="1:14" x14ac:dyDescent="0.2">
      <c r="A297" s="22"/>
      <c r="B297" s="4">
        <v>100</v>
      </c>
      <c r="C297" s="4">
        <v>6</v>
      </c>
      <c r="D297" s="33">
        <v>4.8499999999999996</v>
      </c>
      <c r="E297" s="23">
        <v>2.35</v>
      </c>
      <c r="F297" s="23">
        <f t="shared" si="271"/>
        <v>4.8499999999999996</v>
      </c>
      <c r="G297" s="23">
        <f t="shared" si="272"/>
        <v>2.35</v>
      </c>
      <c r="H297" s="4">
        <f t="shared" si="304"/>
        <v>3.5767E-2</v>
      </c>
      <c r="I297" s="2">
        <f t="shared" si="305"/>
        <v>1.5982498031496062</v>
      </c>
      <c r="J297" s="4">
        <f t="shared" si="306"/>
        <v>0.30974081185039409</v>
      </c>
      <c r="K297" s="4">
        <f t="shared" si="307"/>
        <v>1.9079906150000003</v>
      </c>
      <c r="L297" s="13">
        <f t="shared" si="308"/>
        <v>5.1599587203302306</v>
      </c>
      <c r="M297" s="3"/>
      <c r="N297" s="3"/>
    </row>
    <row r="298" spans="1:14" x14ac:dyDescent="0.2">
      <c r="A298" s="22">
        <v>488513</v>
      </c>
      <c r="B298" s="4">
        <v>100</v>
      </c>
      <c r="C298" s="4">
        <v>6</v>
      </c>
      <c r="D298" s="33">
        <v>4.1500000000000004</v>
      </c>
      <c r="E298" s="23">
        <v>2</v>
      </c>
      <c r="F298" s="23">
        <f t="shared" si="271"/>
        <v>4.1500000000000004</v>
      </c>
      <c r="G298" s="23">
        <f t="shared" si="272"/>
        <v>2</v>
      </c>
      <c r="H298" s="4">
        <f t="shared" si="304"/>
        <v>3.5767E-2</v>
      </c>
      <c r="I298" s="2">
        <f t="shared" si="305"/>
        <v>1.374494830708662</v>
      </c>
      <c r="J298" s="4">
        <f t="shared" si="306"/>
        <v>0.24932696929133852</v>
      </c>
      <c r="K298" s="4">
        <f t="shared" si="307"/>
        <v>1.6238218000000004</v>
      </c>
      <c r="L298" s="13">
        <f t="shared" si="308"/>
        <v>5.5128205128205163</v>
      </c>
      <c r="M298" s="3">
        <f t="shared" ref="M298" si="323">AVERAGE(I298:I299)</f>
        <v>1.3425298346456698</v>
      </c>
      <c r="N298" s="3">
        <f t="shared" ref="N298" si="324">AVERAGE(J298:J299)</f>
        <v>0.2406964203543307</v>
      </c>
    </row>
    <row r="299" spans="1:14" x14ac:dyDescent="0.2">
      <c r="A299" s="22"/>
      <c r="B299" s="4">
        <v>100</v>
      </c>
      <c r="C299" s="4">
        <v>6</v>
      </c>
      <c r="D299" s="33">
        <v>3.95</v>
      </c>
      <c r="E299" s="23">
        <v>1.9</v>
      </c>
      <c r="F299" s="23">
        <f t="shared" si="271"/>
        <v>3.95</v>
      </c>
      <c r="G299" s="23">
        <f t="shared" si="272"/>
        <v>1.9</v>
      </c>
      <c r="H299" s="4">
        <f t="shared" si="304"/>
        <v>3.5767E-2</v>
      </c>
      <c r="I299" s="2">
        <f t="shared" si="305"/>
        <v>1.3105648385826774</v>
      </c>
      <c r="J299" s="4">
        <f t="shared" si="306"/>
        <v>0.23206587141732288</v>
      </c>
      <c r="K299" s="4">
        <f t="shared" si="307"/>
        <v>1.5426307100000003</v>
      </c>
      <c r="L299" s="13">
        <f t="shared" si="308"/>
        <v>5.6473829201101928</v>
      </c>
      <c r="M299" s="3"/>
      <c r="N299" s="3"/>
    </row>
    <row r="300" spans="1:14" x14ac:dyDescent="0.2">
      <c r="A300" s="22">
        <v>488514</v>
      </c>
      <c r="B300" s="4">
        <v>100</v>
      </c>
      <c r="C300" s="4">
        <v>6</v>
      </c>
      <c r="D300" s="33">
        <v>4.3499999999999996</v>
      </c>
      <c r="E300" s="23">
        <v>2.0499999999999998</v>
      </c>
      <c r="F300" s="23">
        <f t="shared" si="271"/>
        <v>4.3499999999999996</v>
      </c>
      <c r="G300" s="23">
        <f t="shared" si="272"/>
        <v>2.0499999999999998</v>
      </c>
      <c r="H300" s="4">
        <f t="shared" si="304"/>
        <v>3.5767E-2</v>
      </c>
      <c r="I300" s="2">
        <f t="shared" si="305"/>
        <v>1.4703898188976379</v>
      </c>
      <c r="J300" s="4">
        <f t="shared" si="306"/>
        <v>0.19402752610236249</v>
      </c>
      <c r="K300" s="4">
        <f t="shared" si="307"/>
        <v>1.6644173450000004</v>
      </c>
      <c r="L300" s="13">
        <f t="shared" si="308"/>
        <v>7.5782537067545199</v>
      </c>
      <c r="M300" s="3">
        <f t="shared" ref="M300" si="325">AVERAGE(I300:I301)</f>
        <v>1.3585123326771655</v>
      </c>
      <c r="N300" s="3">
        <f t="shared" ref="N300" si="326">AVERAGE(J300:J301)</f>
        <v>0.20441614982283493</v>
      </c>
    </row>
    <row r="301" spans="1:14" x14ac:dyDescent="0.2">
      <c r="A301" s="22"/>
      <c r="B301" s="4">
        <v>100</v>
      </c>
      <c r="C301" s="4">
        <v>6</v>
      </c>
      <c r="D301" s="33">
        <v>3.75</v>
      </c>
      <c r="E301" s="23">
        <v>1.8</v>
      </c>
      <c r="F301" s="23">
        <f t="shared" si="271"/>
        <v>3.75</v>
      </c>
      <c r="G301" s="23">
        <f t="shared" si="272"/>
        <v>1.8</v>
      </c>
      <c r="H301" s="4">
        <f t="shared" si="304"/>
        <v>3.5767E-2</v>
      </c>
      <c r="I301" s="2">
        <f t="shared" si="305"/>
        <v>1.246634846456693</v>
      </c>
      <c r="J301" s="4">
        <f t="shared" si="306"/>
        <v>0.21480477354330738</v>
      </c>
      <c r="K301" s="4">
        <f t="shared" si="307"/>
        <v>1.4614396200000004</v>
      </c>
      <c r="L301" s="13">
        <f t="shared" si="308"/>
        <v>5.8035714285714208</v>
      </c>
      <c r="M301" s="3"/>
      <c r="N301" s="3"/>
    </row>
    <row r="302" spans="1:14" x14ac:dyDescent="0.2">
      <c r="A302" s="22">
        <v>488518</v>
      </c>
      <c r="B302" s="4">
        <v>100</v>
      </c>
      <c r="C302" s="4">
        <v>8</v>
      </c>
      <c r="D302" s="33">
        <v>2.65</v>
      </c>
      <c r="E302" s="23">
        <v>1.55</v>
      </c>
      <c r="F302" s="23">
        <f t="shared" si="271"/>
        <v>2.65</v>
      </c>
      <c r="G302" s="23">
        <f t="shared" si="272"/>
        <v>1.55</v>
      </c>
      <c r="H302" s="4">
        <f t="shared" si="304"/>
        <v>3.8630000000000001E-3</v>
      </c>
      <c r="I302" s="2">
        <f t="shared" si="305"/>
        <v>7.5952055118110234E-2</v>
      </c>
      <c r="J302" s="4">
        <f t="shared" si="306"/>
        <v>5.9967599881889766E-2</v>
      </c>
      <c r="K302" s="4">
        <f t="shared" si="307"/>
        <v>0.135919655</v>
      </c>
      <c r="L302" s="13">
        <f t="shared" si="308"/>
        <v>1.2665515256188831</v>
      </c>
      <c r="M302" s="3">
        <f t="shared" ref="M302" si="327">AVERAGE(I302:I303)</f>
        <v>7.4225872047244096E-2</v>
      </c>
      <c r="N302" s="3">
        <f t="shared" ref="N302" si="328">AVERAGE(J302:J303)</f>
        <v>6.6078287952755915E-2</v>
      </c>
    </row>
    <row r="303" spans="1:14" x14ac:dyDescent="0.2">
      <c r="A303" s="22"/>
      <c r="B303" s="4">
        <v>100</v>
      </c>
      <c r="C303" s="4">
        <v>8</v>
      </c>
      <c r="D303" s="33">
        <v>2.7</v>
      </c>
      <c r="E303" s="23">
        <v>1.65</v>
      </c>
      <c r="F303" s="23">
        <f t="shared" si="271"/>
        <v>2.7</v>
      </c>
      <c r="G303" s="23">
        <f t="shared" si="272"/>
        <v>1.65</v>
      </c>
      <c r="H303" s="4">
        <f t="shared" si="304"/>
        <v>3.8630000000000001E-3</v>
      </c>
      <c r="I303" s="2">
        <f t="shared" si="305"/>
        <v>7.2499688976377971E-2</v>
      </c>
      <c r="J303" s="4">
        <f t="shared" si="306"/>
        <v>7.2188976023622051E-2</v>
      </c>
      <c r="K303" s="4">
        <f t="shared" si="307"/>
        <v>0.14468866500000002</v>
      </c>
      <c r="L303" s="13">
        <f t="shared" si="308"/>
        <v>1.004304160688666</v>
      </c>
      <c r="M303" s="3"/>
      <c r="N303" s="3"/>
    </row>
    <row r="304" spans="1:14" x14ac:dyDescent="0.2">
      <c r="A304" s="22">
        <v>488519</v>
      </c>
      <c r="B304" s="4">
        <v>100</v>
      </c>
      <c r="C304" s="4">
        <v>8</v>
      </c>
      <c r="D304" s="33">
        <v>1.75</v>
      </c>
      <c r="E304" s="23">
        <v>1.05</v>
      </c>
      <c r="F304" s="23">
        <f t="shared" si="271"/>
        <v>1.75</v>
      </c>
      <c r="G304" s="23">
        <f t="shared" si="272"/>
        <v>1.05</v>
      </c>
      <c r="H304" s="4">
        <f t="shared" si="304"/>
        <v>3.8630000000000001E-3</v>
      </c>
      <c r="I304" s="2">
        <f t="shared" si="305"/>
        <v>4.8333125984251969E-2</v>
      </c>
      <c r="J304" s="4">
        <f t="shared" si="306"/>
        <v>4.3741479015748048E-2</v>
      </c>
      <c r="K304" s="4">
        <f t="shared" si="307"/>
        <v>9.2074605000000018E-2</v>
      </c>
      <c r="L304" s="13">
        <f t="shared" si="308"/>
        <v>1.1049723756906074</v>
      </c>
      <c r="M304" s="3">
        <f t="shared" ref="M304" si="329">AVERAGE(I304:I305)</f>
        <v>5.523785826771653E-2</v>
      </c>
      <c r="N304" s="3">
        <f t="shared" ref="N304" si="330">AVERAGE(J304:J305)</f>
        <v>3.4644494232283482E-2</v>
      </c>
    </row>
    <row r="305" spans="1:14" x14ac:dyDescent="0.2">
      <c r="A305" s="22"/>
      <c r="B305" s="4">
        <v>100</v>
      </c>
      <c r="C305" s="4">
        <v>8</v>
      </c>
      <c r="D305" s="33">
        <v>1.9</v>
      </c>
      <c r="E305" s="23">
        <v>1</v>
      </c>
      <c r="F305" s="23">
        <f t="shared" si="271"/>
        <v>1.9</v>
      </c>
      <c r="G305" s="23">
        <f t="shared" si="272"/>
        <v>1</v>
      </c>
      <c r="H305" s="4">
        <f t="shared" si="304"/>
        <v>3.8630000000000001E-3</v>
      </c>
      <c r="I305" s="2">
        <f t="shared" si="305"/>
        <v>6.2142590551181091E-2</v>
      </c>
      <c r="J305" s="4">
        <f t="shared" si="306"/>
        <v>2.5547509448818912E-2</v>
      </c>
      <c r="K305" s="4">
        <f t="shared" si="307"/>
        <v>8.7690100000000007E-2</v>
      </c>
      <c r="L305" s="13">
        <f t="shared" si="308"/>
        <v>2.4324324324324307</v>
      </c>
      <c r="M305" s="3"/>
      <c r="N305" s="3"/>
    </row>
    <row r="306" spans="1:14" x14ac:dyDescent="0.2">
      <c r="A306" s="22">
        <v>488520</v>
      </c>
      <c r="B306" s="4">
        <v>100</v>
      </c>
      <c r="C306" s="4">
        <v>8</v>
      </c>
      <c r="D306" s="33">
        <v>5.15</v>
      </c>
      <c r="E306" s="23">
        <v>2.75</v>
      </c>
      <c r="F306" s="23">
        <f t="shared" si="271"/>
        <v>5.15</v>
      </c>
      <c r="G306" s="23">
        <f t="shared" si="272"/>
        <v>2.75</v>
      </c>
      <c r="H306" s="4">
        <f t="shared" si="304"/>
        <v>3.8630000000000001E-3</v>
      </c>
      <c r="I306" s="2">
        <f t="shared" si="305"/>
        <v>0.16571357480314963</v>
      </c>
      <c r="J306" s="4">
        <f t="shared" si="306"/>
        <v>7.5434200196850376E-2</v>
      </c>
      <c r="K306" s="4">
        <f t="shared" si="307"/>
        <v>0.24114777500000001</v>
      </c>
      <c r="L306" s="13">
        <f t="shared" si="308"/>
        <v>2.1967963386727698</v>
      </c>
      <c r="M306" s="3">
        <f t="shared" ref="M306" si="331">AVERAGE(I306:I307)</f>
        <v>0.16398739173228347</v>
      </c>
      <c r="N306" s="3">
        <f t="shared" ref="N306" si="332">AVERAGE(J306:J307)</f>
        <v>7.716038326771657E-2</v>
      </c>
    </row>
    <row r="307" spans="1:14" x14ac:dyDescent="0.2">
      <c r="A307" s="22"/>
      <c r="B307" s="4">
        <v>100</v>
      </c>
      <c r="C307" s="4">
        <v>8</v>
      </c>
      <c r="D307" s="33">
        <v>5.0999999999999996</v>
      </c>
      <c r="E307" s="23">
        <v>2.75</v>
      </c>
      <c r="F307" s="23">
        <f t="shared" si="271"/>
        <v>5.0999999999999996</v>
      </c>
      <c r="G307" s="23">
        <f t="shared" si="272"/>
        <v>2.75</v>
      </c>
      <c r="H307" s="4">
        <f t="shared" si="304"/>
        <v>3.8630000000000001E-3</v>
      </c>
      <c r="I307" s="2">
        <f t="shared" si="305"/>
        <v>0.1622612086614173</v>
      </c>
      <c r="J307" s="4">
        <f t="shared" si="306"/>
        <v>7.888656633858275E-2</v>
      </c>
      <c r="K307" s="4">
        <f t="shared" si="307"/>
        <v>0.24114777500000006</v>
      </c>
      <c r="L307" s="13">
        <f t="shared" si="308"/>
        <v>2.0568927789934333</v>
      </c>
      <c r="M307" s="3"/>
      <c r="N307" s="3"/>
    </row>
    <row r="308" spans="1:14" x14ac:dyDescent="0.2">
      <c r="A308" s="22">
        <v>488521</v>
      </c>
      <c r="B308" s="4">
        <v>100</v>
      </c>
      <c r="C308" s="4">
        <v>6</v>
      </c>
      <c r="D308" s="33">
        <v>2.35</v>
      </c>
      <c r="E308" s="23">
        <v>1.1000000000000001</v>
      </c>
      <c r="F308" s="23">
        <f t="shared" si="271"/>
        <v>2.35</v>
      </c>
      <c r="G308" s="23">
        <f t="shared" si="272"/>
        <v>1.1000000000000001</v>
      </c>
      <c r="H308" s="4">
        <f t="shared" si="304"/>
        <v>3.5767E-2</v>
      </c>
      <c r="I308" s="2">
        <f t="shared" si="305"/>
        <v>0.7991249015748032</v>
      </c>
      <c r="J308" s="4">
        <f t="shared" si="306"/>
        <v>9.3977088425197072E-2</v>
      </c>
      <c r="K308" s="4">
        <f t="shared" si="307"/>
        <v>0.89310199000000023</v>
      </c>
      <c r="L308" s="13">
        <f t="shared" si="308"/>
        <v>8.5034013605441974</v>
      </c>
      <c r="M308" s="3">
        <f t="shared" ref="M308" si="333">AVERAGE(I308:I309)</f>
        <v>0.783142403543307</v>
      </c>
      <c r="N308" s="3">
        <f t="shared" ref="N308" si="334">AVERAGE(J308:J309)</f>
        <v>0.15055513145669305</v>
      </c>
    </row>
    <row r="309" spans="1:14" x14ac:dyDescent="0.2">
      <c r="A309" s="22"/>
      <c r="B309" s="4">
        <v>100</v>
      </c>
      <c r="C309" s="4">
        <v>6</v>
      </c>
      <c r="D309" s="33">
        <v>2.4</v>
      </c>
      <c r="E309" s="23">
        <v>1.2</v>
      </c>
      <c r="F309" s="23">
        <f t="shared" si="271"/>
        <v>2.4</v>
      </c>
      <c r="G309" s="23">
        <f t="shared" si="272"/>
        <v>1.2</v>
      </c>
      <c r="H309" s="4">
        <f t="shared" si="304"/>
        <v>3.5767E-2</v>
      </c>
      <c r="I309" s="2">
        <f t="shared" si="305"/>
        <v>0.7671599055118109</v>
      </c>
      <c r="J309" s="4">
        <f t="shared" si="306"/>
        <v>0.20713317448818905</v>
      </c>
      <c r="K309" s="4">
        <f t="shared" si="307"/>
        <v>0.97429307999999992</v>
      </c>
      <c r="L309" s="13">
        <f t="shared" si="308"/>
        <v>3.7037037037037019</v>
      </c>
      <c r="M309" s="3"/>
      <c r="N309" s="3"/>
    </row>
    <row r="310" spans="1:14" x14ac:dyDescent="0.2">
      <c r="A310" s="22">
        <v>488522</v>
      </c>
      <c r="B310" s="4">
        <v>100</v>
      </c>
      <c r="C310" s="4">
        <v>6</v>
      </c>
      <c r="D310" s="33">
        <v>5.05</v>
      </c>
      <c r="E310" s="23">
        <v>2.4500000000000002</v>
      </c>
      <c r="F310" s="23">
        <f t="shared" si="271"/>
        <v>5.05</v>
      </c>
      <c r="G310" s="23">
        <f t="shared" si="272"/>
        <v>2.4500000000000002</v>
      </c>
      <c r="H310" s="4">
        <f t="shared" si="304"/>
        <v>3.5767E-2</v>
      </c>
      <c r="I310" s="2">
        <f t="shared" si="305"/>
        <v>1.6621797952755903</v>
      </c>
      <c r="J310" s="4">
        <f t="shared" si="306"/>
        <v>0.32700190972441007</v>
      </c>
      <c r="K310" s="4">
        <f t="shared" si="307"/>
        <v>1.9891817050000005</v>
      </c>
      <c r="L310" s="13">
        <f t="shared" si="308"/>
        <v>5.0830889540566861</v>
      </c>
      <c r="M310" s="3">
        <f t="shared" ref="M310" si="335">AVERAGE(I310:I311)</f>
        <v>1.6461972972440944</v>
      </c>
      <c r="N310" s="3">
        <f t="shared" ref="N310" si="336">AVERAGE(J310:J311)</f>
        <v>0.28209109025590573</v>
      </c>
    </row>
    <row r="311" spans="1:14" x14ac:dyDescent="0.2">
      <c r="A311" s="22"/>
      <c r="B311" s="4">
        <v>100</v>
      </c>
      <c r="C311" s="4">
        <v>6</v>
      </c>
      <c r="D311" s="33">
        <v>4.8499999999999996</v>
      </c>
      <c r="E311" s="23">
        <v>2.2999999999999998</v>
      </c>
      <c r="F311" s="23">
        <f t="shared" si="271"/>
        <v>4.8499999999999996</v>
      </c>
      <c r="G311" s="23">
        <f t="shared" si="272"/>
        <v>2.2999999999999998</v>
      </c>
      <c r="H311" s="4">
        <f t="shared" si="304"/>
        <v>3.5767E-2</v>
      </c>
      <c r="I311" s="2">
        <f t="shared" si="305"/>
        <v>1.6302147992125984</v>
      </c>
      <c r="J311" s="4">
        <f t="shared" si="306"/>
        <v>0.23718027078740142</v>
      </c>
      <c r="K311" s="4">
        <f t="shared" si="307"/>
        <v>1.8673950699999997</v>
      </c>
      <c r="L311" s="13">
        <f t="shared" si="308"/>
        <v>6.8733153638814057</v>
      </c>
      <c r="M311" s="3"/>
      <c r="N311" s="3"/>
    </row>
    <row r="312" spans="1:14" x14ac:dyDescent="0.2">
      <c r="A312" s="22">
        <v>488523</v>
      </c>
      <c r="B312" s="4">
        <v>100</v>
      </c>
      <c r="C312" s="4">
        <v>6</v>
      </c>
      <c r="D312" s="33">
        <v>4.6500000000000004</v>
      </c>
      <c r="E312" s="23">
        <v>2.25</v>
      </c>
      <c r="F312" s="23">
        <f t="shared" si="271"/>
        <v>4.6500000000000004</v>
      </c>
      <c r="G312" s="23">
        <f t="shared" si="272"/>
        <v>2.25</v>
      </c>
      <c r="H312" s="4">
        <f t="shared" si="304"/>
        <v>3.5767E-2</v>
      </c>
      <c r="I312" s="2">
        <f t="shared" si="305"/>
        <v>1.5343198110236222</v>
      </c>
      <c r="J312" s="4">
        <f t="shared" si="306"/>
        <v>0.29247971397637751</v>
      </c>
      <c r="K312" s="4">
        <f t="shared" si="307"/>
        <v>1.8267995249999998</v>
      </c>
      <c r="L312" s="13">
        <f t="shared" si="308"/>
        <v>5.2459016393442708</v>
      </c>
      <c r="M312" s="3">
        <f t="shared" ref="M312" si="337">AVERAGE(I312:I313)</f>
        <v>1.5183373129921258</v>
      </c>
      <c r="N312" s="3">
        <f t="shared" ref="N312" si="338">AVERAGE(J312:J313)</f>
        <v>0.28816443950787418</v>
      </c>
    </row>
    <row r="313" spans="1:14" x14ac:dyDescent="0.2">
      <c r="A313" s="22"/>
      <c r="B313" s="4">
        <v>100</v>
      </c>
      <c r="C313" s="4">
        <v>6</v>
      </c>
      <c r="D313" s="33">
        <v>4.55</v>
      </c>
      <c r="E313" s="23">
        <v>2.2000000000000002</v>
      </c>
      <c r="F313" s="23">
        <f t="shared" si="271"/>
        <v>4.55</v>
      </c>
      <c r="G313" s="23">
        <f t="shared" si="272"/>
        <v>2.2000000000000002</v>
      </c>
      <c r="H313" s="4">
        <f t="shared" si="304"/>
        <v>3.5767E-2</v>
      </c>
      <c r="I313" s="2">
        <f t="shared" si="305"/>
        <v>1.5023548149606296</v>
      </c>
      <c r="J313" s="4">
        <f t="shared" si="306"/>
        <v>0.2838491650393708</v>
      </c>
      <c r="K313" s="4">
        <f t="shared" si="307"/>
        <v>1.7862039800000005</v>
      </c>
      <c r="L313" s="13">
        <f t="shared" si="308"/>
        <v>5.2927927927927785</v>
      </c>
      <c r="M313" s="3"/>
      <c r="N313" s="3"/>
    </row>
    <row r="314" spans="1:14" x14ac:dyDescent="0.2">
      <c r="A314" s="22">
        <v>488524</v>
      </c>
      <c r="B314" s="4">
        <v>100</v>
      </c>
      <c r="C314" s="4">
        <v>6</v>
      </c>
      <c r="D314" s="33">
        <v>4.45</v>
      </c>
      <c r="E314" s="23">
        <v>2.1</v>
      </c>
      <c r="F314" s="23">
        <f t="shared" si="271"/>
        <v>4.45</v>
      </c>
      <c r="G314" s="23">
        <f t="shared" si="272"/>
        <v>2.1</v>
      </c>
      <c r="H314" s="4">
        <f t="shared" si="304"/>
        <v>3.5767E-2</v>
      </c>
      <c r="I314" s="2">
        <f t="shared" si="305"/>
        <v>1.5023548149606298</v>
      </c>
      <c r="J314" s="4">
        <f t="shared" si="306"/>
        <v>0.20265807503936994</v>
      </c>
      <c r="K314" s="4">
        <f t="shared" si="307"/>
        <v>1.7050128899999999</v>
      </c>
      <c r="L314" s="13">
        <f t="shared" si="308"/>
        <v>7.4132492113564714</v>
      </c>
      <c r="M314" s="3">
        <f t="shared" ref="M314" si="339">AVERAGE(I314:I315)</f>
        <v>1.534319811023622</v>
      </c>
      <c r="N314" s="3">
        <f t="shared" ref="N314" si="340">AVERAGE(J314:J315)</f>
        <v>0.21128862397637793</v>
      </c>
    </row>
    <row r="315" spans="1:14" x14ac:dyDescent="0.2">
      <c r="A315" s="22"/>
      <c r="B315" s="4">
        <v>100</v>
      </c>
      <c r="C315" s="4">
        <v>6</v>
      </c>
      <c r="D315" s="33">
        <v>4.6500000000000004</v>
      </c>
      <c r="E315" s="23">
        <v>2.2000000000000002</v>
      </c>
      <c r="F315" s="23">
        <f t="shared" si="271"/>
        <v>4.6500000000000004</v>
      </c>
      <c r="G315" s="23">
        <f t="shared" si="272"/>
        <v>2.2000000000000002</v>
      </c>
      <c r="H315" s="4">
        <f t="shared" si="304"/>
        <v>3.5767E-2</v>
      </c>
      <c r="I315" s="2">
        <f t="shared" si="305"/>
        <v>1.5662848070866144</v>
      </c>
      <c r="J315" s="4">
        <f t="shared" si="306"/>
        <v>0.21991917291338589</v>
      </c>
      <c r="K315" s="4">
        <f t="shared" si="307"/>
        <v>1.7862039800000002</v>
      </c>
      <c r="L315" s="13">
        <f t="shared" si="308"/>
        <v>7.1220930232558128</v>
      </c>
      <c r="M315" s="3"/>
      <c r="N315" s="3"/>
    </row>
    <row r="316" spans="1:14" x14ac:dyDescent="0.2">
      <c r="A316" s="22">
        <v>488525</v>
      </c>
      <c r="B316" s="4">
        <v>100</v>
      </c>
      <c r="C316" s="4">
        <v>6</v>
      </c>
      <c r="D316" s="33">
        <v>4.45</v>
      </c>
      <c r="E316" s="23">
        <v>2.1</v>
      </c>
      <c r="F316" s="23">
        <f t="shared" si="271"/>
        <v>4.45</v>
      </c>
      <c r="G316" s="23">
        <f t="shared" si="272"/>
        <v>2.1</v>
      </c>
      <c r="H316" s="4">
        <f t="shared" si="304"/>
        <v>3.5767E-2</v>
      </c>
      <c r="I316" s="2">
        <f t="shared" si="305"/>
        <v>1.5023548149606298</v>
      </c>
      <c r="J316" s="4">
        <f t="shared" si="306"/>
        <v>0.20265807503936994</v>
      </c>
      <c r="K316" s="4">
        <f t="shared" si="307"/>
        <v>1.7050128899999999</v>
      </c>
      <c r="L316" s="13">
        <f t="shared" si="308"/>
        <v>7.4132492113564714</v>
      </c>
      <c r="M316" s="3">
        <f t="shared" ref="M316" si="341">AVERAGE(I316:I317)</f>
        <v>1.4703898188976379</v>
      </c>
      <c r="N316" s="3">
        <f t="shared" ref="N316" si="342">AVERAGE(J316:J317)</f>
        <v>0.19402752610236215</v>
      </c>
    </row>
    <row r="317" spans="1:14" x14ac:dyDescent="0.2">
      <c r="A317" s="22"/>
      <c r="B317" s="4">
        <v>100</v>
      </c>
      <c r="C317" s="4">
        <v>6</v>
      </c>
      <c r="D317" s="33">
        <v>4.25</v>
      </c>
      <c r="E317" s="23">
        <v>2</v>
      </c>
      <c r="F317" s="23">
        <f t="shared" si="271"/>
        <v>4.25</v>
      </c>
      <c r="G317" s="23">
        <f t="shared" si="272"/>
        <v>2</v>
      </c>
      <c r="H317" s="4">
        <f t="shared" si="304"/>
        <v>3.5767E-2</v>
      </c>
      <c r="I317" s="2">
        <f t="shared" si="305"/>
        <v>1.4384248228346459</v>
      </c>
      <c r="J317" s="4">
        <f t="shared" si="306"/>
        <v>0.18539697716535436</v>
      </c>
      <c r="K317" s="4">
        <f t="shared" si="307"/>
        <v>1.6238218000000002</v>
      </c>
      <c r="L317" s="13">
        <f t="shared" si="308"/>
        <v>7.7586206896551726</v>
      </c>
      <c r="M317" s="3"/>
      <c r="N317" s="3"/>
    </row>
    <row r="318" spans="1:14" x14ac:dyDescent="0.2">
      <c r="A318" s="22">
        <v>488527</v>
      </c>
      <c r="B318" s="4">
        <v>100</v>
      </c>
      <c r="C318" s="4">
        <v>8</v>
      </c>
      <c r="D318" s="33">
        <v>2.1</v>
      </c>
      <c r="E318" s="23">
        <v>1.2</v>
      </c>
      <c r="F318" s="23">
        <f t="shared" si="271"/>
        <v>2.1</v>
      </c>
      <c r="G318" s="23">
        <f t="shared" si="272"/>
        <v>1.2</v>
      </c>
      <c r="H318" s="4">
        <f t="shared" si="304"/>
        <v>3.8630000000000001E-3</v>
      </c>
      <c r="I318" s="2">
        <f t="shared" si="305"/>
        <v>6.2142590551181112E-2</v>
      </c>
      <c r="J318" s="4">
        <f t="shared" si="306"/>
        <v>4.3085529448818889E-2</v>
      </c>
      <c r="K318" s="4">
        <f t="shared" si="307"/>
        <v>0.10522812000000001</v>
      </c>
      <c r="L318" s="13">
        <f t="shared" si="308"/>
        <v>1.4423076923076927</v>
      </c>
      <c r="M318" s="3">
        <f t="shared" ref="M318" si="343">AVERAGE(I318:I319)</f>
        <v>6.904732283464568E-2</v>
      </c>
      <c r="N318" s="3">
        <f t="shared" ref="N318" si="344">AVERAGE(J318:J319)</f>
        <v>4.275755466535433E-2</v>
      </c>
    </row>
    <row r="319" spans="1:14" x14ac:dyDescent="0.2">
      <c r="A319" s="22"/>
      <c r="B319" s="4">
        <v>100</v>
      </c>
      <c r="C319" s="4">
        <v>8</v>
      </c>
      <c r="D319" s="33">
        <v>2.4500000000000002</v>
      </c>
      <c r="E319" s="23">
        <v>1.35</v>
      </c>
      <c r="F319" s="23">
        <f t="shared" si="271"/>
        <v>2.4500000000000002</v>
      </c>
      <c r="G319" s="23">
        <f t="shared" si="272"/>
        <v>1.35</v>
      </c>
      <c r="H319" s="4">
        <f t="shared" si="304"/>
        <v>3.8630000000000001E-3</v>
      </c>
      <c r="I319" s="2">
        <f t="shared" si="305"/>
        <v>7.5952055118110248E-2</v>
      </c>
      <c r="J319" s="4">
        <f t="shared" si="306"/>
        <v>4.2429579881889772E-2</v>
      </c>
      <c r="K319" s="4">
        <f t="shared" si="307"/>
        <v>0.11838163500000001</v>
      </c>
      <c r="L319" s="13">
        <f t="shared" si="308"/>
        <v>1.790073230268511</v>
      </c>
      <c r="M319" s="3"/>
      <c r="N319" s="3"/>
    </row>
    <row r="320" spans="1:14" x14ac:dyDescent="0.2">
      <c r="A320" s="22">
        <v>488528</v>
      </c>
      <c r="B320" s="4">
        <v>100</v>
      </c>
      <c r="C320" s="4">
        <v>8</v>
      </c>
      <c r="D320" s="33">
        <v>2.65</v>
      </c>
      <c r="E320" s="23">
        <v>1.55</v>
      </c>
      <c r="F320" s="23">
        <f t="shared" si="271"/>
        <v>2.65</v>
      </c>
      <c r="G320" s="23">
        <f t="shared" si="272"/>
        <v>1.55</v>
      </c>
      <c r="H320" s="4">
        <f t="shared" si="304"/>
        <v>3.8630000000000001E-3</v>
      </c>
      <c r="I320" s="2">
        <f t="shared" si="305"/>
        <v>7.5952055118110234E-2</v>
      </c>
      <c r="J320" s="4">
        <f t="shared" si="306"/>
        <v>5.9967599881889766E-2</v>
      </c>
      <c r="K320" s="4">
        <f t="shared" si="307"/>
        <v>0.135919655</v>
      </c>
      <c r="L320" s="13">
        <f t="shared" si="308"/>
        <v>1.2665515256188831</v>
      </c>
      <c r="M320" s="3">
        <f t="shared" ref="M320" si="345">AVERAGE(I320:I321)</f>
        <v>7.0773505905511819E-2</v>
      </c>
      <c r="N320" s="3">
        <f t="shared" ref="N320" si="346">AVERAGE(J320:J321)</f>
        <v>5.4184886594488182E-2</v>
      </c>
    </row>
    <row r="321" spans="1:14" x14ac:dyDescent="0.2">
      <c r="A321" s="22"/>
      <c r="B321" s="4">
        <v>100</v>
      </c>
      <c r="C321" s="4">
        <v>8</v>
      </c>
      <c r="D321" s="33">
        <v>2.25</v>
      </c>
      <c r="E321" s="23">
        <v>1.3</v>
      </c>
      <c r="F321" s="23">
        <f t="shared" si="271"/>
        <v>2.25</v>
      </c>
      <c r="G321" s="23">
        <f t="shared" si="272"/>
        <v>1.3</v>
      </c>
      <c r="H321" s="4">
        <f t="shared" si="304"/>
        <v>3.8630000000000001E-3</v>
      </c>
      <c r="I321" s="2">
        <f t="shared" si="305"/>
        <v>6.5594956692913389E-2</v>
      </c>
      <c r="J321" s="4">
        <f t="shared" si="306"/>
        <v>4.8402173307086606E-2</v>
      </c>
      <c r="K321" s="4">
        <f t="shared" si="307"/>
        <v>0.11399713</v>
      </c>
      <c r="L321" s="13">
        <f t="shared" si="308"/>
        <v>1.3552068473609133</v>
      </c>
      <c r="M321" s="3"/>
      <c r="N321" s="3"/>
    </row>
    <row r="322" spans="1:14" x14ac:dyDescent="0.2">
      <c r="A322" s="22">
        <v>488529</v>
      </c>
      <c r="B322" s="4">
        <v>100</v>
      </c>
      <c r="C322" s="4">
        <v>6</v>
      </c>
      <c r="D322" s="33">
        <v>4.25</v>
      </c>
      <c r="E322" s="23">
        <v>2</v>
      </c>
      <c r="F322" s="23">
        <f t="shared" si="271"/>
        <v>4.25</v>
      </c>
      <c r="G322" s="23">
        <f t="shared" si="272"/>
        <v>2</v>
      </c>
      <c r="H322" s="4">
        <f t="shared" si="304"/>
        <v>3.5767E-2</v>
      </c>
      <c r="I322" s="2">
        <f t="shared" si="305"/>
        <v>1.4384248228346459</v>
      </c>
      <c r="J322" s="4">
        <f t="shared" si="306"/>
        <v>0.18539697716535436</v>
      </c>
      <c r="K322" s="4">
        <f t="shared" si="307"/>
        <v>1.6238218000000002</v>
      </c>
      <c r="L322" s="13">
        <f t="shared" si="308"/>
        <v>7.7586206896551726</v>
      </c>
      <c r="M322" s="3">
        <f t="shared" ref="M322" si="347">AVERAGE(I322:I323)</f>
        <v>1.5023548149606301</v>
      </c>
      <c r="N322" s="3">
        <f t="shared" ref="N322" si="348">AVERAGE(J322:J323)</f>
        <v>0.16206253003937027</v>
      </c>
    </row>
    <row r="323" spans="1:14" x14ac:dyDescent="0.2">
      <c r="A323" s="22"/>
      <c r="B323" s="4">
        <v>100</v>
      </c>
      <c r="C323" s="4">
        <v>6</v>
      </c>
      <c r="D323" s="33">
        <v>4.55</v>
      </c>
      <c r="E323" s="23">
        <v>2.1</v>
      </c>
      <c r="F323" s="23">
        <f t="shared" si="271"/>
        <v>4.55</v>
      </c>
      <c r="G323" s="23">
        <f t="shared" si="272"/>
        <v>2.1</v>
      </c>
      <c r="H323" s="4">
        <f t="shared" si="304"/>
        <v>3.5767E-2</v>
      </c>
      <c r="I323" s="2">
        <f t="shared" si="305"/>
        <v>1.5662848070866142</v>
      </c>
      <c r="J323" s="4">
        <f t="shared" si="306"/>
        <v>0.13872808291338617</v>
      </c>
      <c r="K323" s="4">
        <f t="shared" si="307"/>
        <v>1.7050128900000003</v>
      </c>
      <c r="L323" s="13">
        <f t="shared" si="308"/>
        <v>11.290322580645133</v>
      </c>
      <c r="M323" s="3"/>
      <c r="N323" s="3"/>
    </row>
    <row r="324" spans="1:14" x14ac:dyDescent="0.2">
      <c r="A324" s="22">
        <v>488530</v>
      </c>
      <c r="B324" s="4">
        <v>100</v>
      </c>
      <c r="C324" s="4">
        <v>6</v>
      </c>
      <c r="D324" s="33">
        <v>5.2</v>
      </c>
      <c r="E324" s="23">
        <v>2.4500000000000002</v>
      </c>
      <c r="F324" s="23">
        <f t="shared" si="271"/>
        <v>5.2</v>
      </c>
      <c r="G324" s="23">
        <f t="shared" si="272"/>
        <v>2.4500000000000002</v>
      </c>
      <c r="H324" s="4">
        <f t="shared" si="304"/>
        <v>3.5767E-2</v>
      </c>
      <c r="I324" s="2">
        <f t="shared" si="305"/>
        <v>1.7580747834645671</v>
      </c>
      <c r="J324" s="4">
        <f t="shared" si="306"/>
        <v>0.23110692153543347</v>
      </c>
      <c r="K324" s="4">
        <f t="shared" si="307"/>
        <v>1.9891817050000007</v>
      </c>
      <c r="L324" s="13">
        <f t="shared" si="308"/>
        <v>7.6071922544951471</v>
      </c>
      <c r="M324" s="3">
        <f t="shared" ref="M324" si="349">AVERAGE(I324:I325)</f>
        <v>1.7740572814960631</v>
      </c>
      <c r="N324" s="3">
        <f t="shared" ref="N324" si="350">AVERAGE(J324:J325)</f>
        <v>0.2151244235039374</v>
      </c>
    </row>
    <row r="325" spans="1:14" x14ac:dyDescent="0.2">
      <c r="A325" s="22"/>
      <c r="B325" s="4">
        <v>100</v>
      </c>
      <c r="C325" s="4">
        <v>6</v>
      </c>
      <c r="D325" s="33">
        <v>5.25</v>
      </c>
      <c r="E325" s="23">
        <v>2.4500000000000002</v>
      </c>
      <c r="F325" s="23">
        <f t="shared" si="271"/>
        <v>5.25</v>
      </c>
      <c r="G325" s="23">
        <f t="shared" si="272"/>
        <v>2.4500000000000002</v>
      </c>
      <c r="H325" s="4">
        <f t="shared" si="304"/>
        <v>3.5767E-2</v>
      </c>
      <c r="I325" s="2">
        <f t="shared" si="305"/>
        <v>1.7900397795275591</v>
      </c>
      <c r="J325" s="4">
        <f t="shared" si="306"/>
        <v>0.19914192547244133</v>
      </c>
      <c r="K325" s="4">
        <f t="shared" si="307"/>
        <v>1.9891817050000005</v>
      </c>
      <c r="L325" s="13">
        <f t="shared" si="308"/>
        <v>8.9887640449438031</v>
      </c>
      <c r="M325" s="3"/>
      <c r="N325" s="3"/>
    </row>
    <row r="326" spans="1:14" x14ac:dyDescent="0.2">
      <c r="A326" s="22">
        <v>488531</v>
      </c>
      <c r="B326" s="4">
        <v>100</v>
      </c>
      <c r="C326" s="4">
        <v>6</v>
      </c>
      <c r="D326" s="33">
        <v>5.6</v>
      </c>
      <c r="E326" s="23">
        <v>2.65</v>
      </c>
      <c r="F326" s="23">
        <f t="shared" si="271"/>
        <v>5.6</v>
      </c>
      <c r="G326" s="23">
        <f t="shared" si="272"/>
        <v>2.65</v>
      </c>
      <c r="H326" s="4">
        <f t="shared" si="304"/>
        <v>3.5767E-2</v>
      </c>
      <c r="I326" s="2">
        <f t="shared" si="305"/>
        <v>1.8859347677165355</v>
      </c>
      <c r="J326" s="4">
        <f t="shared" si="306"/>
        <v>0.26562911728346461</v>
      </c>
      <c r="K326" s="4">
        <f t="shared" si="307"/>
        <v>2.1515638849999998</v>
      </c>
      <c r="L326" s="13">
        <f t="shared" si="308"/>
        <v>7.0998796630565577</v>
      </c>
      <c r="M326" s="3">
        <f t="shared" ref="M326" si="351">AVERAGE(I326:I327)</f>
        <v>1.9178997637795274</v>
      </c>
      <c r="N326" s="3">
        <f t="shared" ref="N326" si="352">AVERAGE(J326:J327)</f>
        <v>0.27425966622047238</v>
      </c>
    </row>
    <row r="327" spans="1:14" x14ac:dyDescent="0.2">
      <c r="A327" s="22"/>
      <c r="B327" s="4">
        <v>100</v>
      </c>
      <c r="C327" s="4">
        <v>6</v>
      </c>
      <c r="D327" s="33">
        <v>5.8</v>
      </c>
      <c r="E327" s="23">
        <v>2.75</v>
      </c>
      <c r="F327" s="23">
        <f t="shared" si="271"/>
        <v>5.8</v>
      </c>
      <c r="G327" s="23">
        <f t="shared" si="272"/>
        <v>2.75</v>
      </c>
      <c r="H327" s="4">
        <f t="shared" si="304"/>
        <v>3.5767E-2</v>
      </c>
      <c r="I327" s="2">
        <f t="shared" si="305"/>
        <v>1.9498647598425196</v>
      </c>
      <c r="J327" s="4">
        <f t="shared" si="306"/>
        <v>0.2828902151574802</v>
      </c>
      <c r="K327" s="4">
        <f t="shared" si="307"/>
        <v>2.2327549749999998</v>
      </c>
      <c r="L327" s="13">
        <f t="shared" si="308"/>
        <v>6.8926553672316411</v>
      </c>
      <c r="M327" s="3"/>
      <c r="N327" s="3"/>
    </row>
    <row r="328" spans="1:14" x14ac:dyDescent="0.2">
      <c r="A328" s="22">
        <v>488532</v>
      </c>
      <c r="B328" s="4">
        <v>100</v>
      </c>
      <c r="C328" s="4">
        <v>6</v>
      </c>
      <c r="D328" s="33">
        <v>4.2</v>
      </c>
      <c r="E328" s="23">
        <v>2.0499999999999998</v>
      </c>
      <c r="F328" s="23">
        <f t="shared" si="271"/>
        <v>4.2</v>
      </c>
      <c r="G328" s="23">
        <f t="shared" si="272"/>
        <v>2.0499999999999998</v>
      </c>
      <c r="H328" s="4">
        <f t="shared" si="304"/>
        <v>3.5767E-2</v>
      </c>
      <c r="I328" s="2">
        <f t="shared" si="305"/>
        <v>1.374494830708662</v>
      </c>
      <c r="J328" s="4">
        <f t="shared" si="306"/>
        <v>0.28992251429133836</v>
      </c>
      <c r="K328" s="4">
        <f t="shared" si="307"/>
        <v>1.6644173450000004</v>
      </c>
      <c r="L328" s="13">
        <f t="shared" si="308"/>
        <v>4.7409040793825854</v>
      </c>
      <c r="M328" s="3">
        <f t="shared" ref="M328" si="353">AVERAGE(I328:I329)</f>
        <v>1.4224423248031499</v>
      </c>
      <c r="N328" s="3">
        <f t="shared" ref="N328" si="354">AVERAGE(J328:J329)</f>
        <v>0.28257056519685009</v>
      </c>
    </row>
    <row r="329" spans="1:14" x14ac:dyDescent="0.2">
      <c r="A329" s="22"/>
      <c r="B329" s="4">
        <v>100</v>
      </c>
      <c r="C329" s="4">
        <v>6</v>
      </c>
      <c r="D329" s="33">
        <v>4.45</v>
      </c>
      <c r="E329" s="23">
        <v>2.15</v>
      </c>
      <c r="F329" s="23">
        <f t="shared" si="271"/>
        <v>4.45</v>
      </c>
      <c r="G329" s="23">
        <f t="shared" si="272"/>
        <v>2.15</v>
      </c>
      <c r="H329" s="4">
        <f t="shared" si="304"/>
        <v>3.5767E-2</v>
      </c>
      <c r="I329" s="2">
        <f t="shared" si="305"/>
        <v>1.4703898188976379</v>
      </c>
      <c r="J329" s="4">
        <f t="shared" si="306"/>
        <v>0.27521861610236187</v>
      </c>
      <c r="K329" s="4">
        <f t="shared" si="307"/>
        <v>1.7456084349999998</v>
      </c>
      <c r="L329" s="13">
        <f t="shared" si="308"/>
        <v>5.3426248548199835</v>
      </c>
      <c r="M329" s="3"/>
      <c r="N329" s="3"/>
    </row>
    <row r="330" spans="1:14" x14ac:dyDescent="0.2">
      <c r="A330" s="22">
        <v>488533</v>
      </c>
      <c r="B330" s="4">
        <v>100</v>
      </c>
      <c r="C330" s="4">
        <v>6</v>
      </c>
      <c r="D330" s="33">
        <v>4.25</v>
      </c>
      <c r="E330" s="23">
        <v>2.0499999999999998</v>
      </c>
      <c r="F330" s="23">
        <f t="shared" si="271"/>
        <v>4.25</v>
      </c>
      <c r="G330" s="23">
        <f t="shared" si="272"/>
        <v>2.0499999999999998</v>
      </c>
      <c r="H330" s="4">
        <f t="shared" si="304"/>
        <v>3.5767E-2</v>
      </c>
      <c r="I330" s="2">
        <f t="shared" si="305"/>
        <v>1.4064598267716539</v>
      </c>
      <c r="J330" s="4">
        <f t="shared" si="306"/>
        <v>0.25795751822834628</v>
      </c>
      <c r="K330" s="4">
        <f t="shared" si="307"/>
        <v>1.6644173450000002</v>
      </c>
      <c r="L330" s="13">
        <f t="shared" si="308"/>
        <v>5.4522924411400302</v>
      </c>
      <c r="M330" s="3">
        <f t="shared" ref="M330" si="355">AVERAGE(I330:I331)</f>
        <v>1.3744948307086615</v>
      </c>
      <c r="N330" s="3">
        <f t="shared" ref="N330" si="356">AVERAGE(J330:J331)</f>
        <v>0.24932696929133852</v>
      </c>
    </row>
    <row r="331" spans="1:14" x14ac:dyDescent="0.2">
      <c r="A331" s="22"/>
      <c r="B331" s="4">
        <v>100</v>
      </c>
      <c r="C331" s="4">
        <v>6</v>
      </c>
      <c r="D331" s="33">
        <v>4.05</v>
      </c>
      <c r="E331" s="23">
        <v>1.95</v>
      </c>
      <c r="F331" s="23">
        <f t="shared" si="271"/>
        <v>4.05</v>
      </c>
      <c r="G331" s="23">
        <f t="shared" si="272"/>
        <v>1.95</v>
      </c>
      <c r="H331" s="4">
        <f t="shared" si="304"/>
        <v>3.5767E-2</v>
      </c>
      <c r="I331" s="2">
        <f t="shared" si="305"/>
        <v>1.3425298346456691</v>
      </c>
      <c r="J331" s="4">
        <f t="shared" si="306"/>
        <v>0.24069642035433073</v>
      </c>
      <c r="K331" s="4">
        <f t="shared" si="307"/>
        <v>1.5832262549999998</v>
      </c>
      <c r="L331" s="13">
        <f t="shared" si="308"/>
        <v>5.577689243027887</v>
      </c>
      <c r="M331" s="3"/>
      <c r="N331" s="3"/>
    </row>
    <row r="332" spans="1:14" x14ac:dyDescent="0.2">
      <c r="A332" s="22">
        <v>488534</v>
      </c>
      <c r="B332" s="4">
        <v>100</v>
      </c>
      <c r="C332" s="4">
        <v>6</v>
      </c>
      <c r="D332" s="33">
        <v>4.05</v>
      </c>
      <c r="E332" s="23">
        <v>1.95</v>
      </c>
      <c r="F332" s="23">
        <f t="shared" si="271"/>
        <v>4.05</v>
      </c>
      <c r="G332" s="23">
        <f t="shared" si="272"/>
        <v>1.95</v>
      </c>
      <c r="H332" s="4">
        <f t="shared" si="304"/>
        <v>3.5767E-2</v>
      </c>
      <c r="I332" s="2">
        <f t="shared" si="305"/>
        <v>1.3425298346456691</v>
      </c>
      <c r="J332" s="4">
        <f t="shared" si="306"/>
        <v>0.24069642035433073</v>
      </c>
      <c r="K332" s="4">
        <f t="shared" si="307"/>
        <v>1.5832262549999998</v>
      </c>
      <c r="L332" s="13">
        <f t="shared" si="308"/>
        <v>5.577689243027887</v>
      </c>
      <c r="M332" s="3">
        <f t="shared" ref="M332" si="357">AVERAGE(I332:I333)</f>
        <v>1.3585123326771651</v>
      </c>
      <c r="N332" s="3">
        <f t="shared" ref="N332" si="358">AVERAGE(J332:J333)</f>
        <v>0.22471392232283469</v>
      </c>
    </row>
    <row r="333" spans="1:14" x14ac:dyDescent="0.2">
      <c r="A333" s="22"/>
      <c r="B333" s="4">
        <v>100</v>
      </c>
      <c r="C333" s="4">
        <v>6</v>
      </c>
      <c r="D333" s="33">
        <v>4.0999999999999996</v>
      </c>
      <c r="E333" s="23">
        <v>1.95</v>
      </c>
      <c r="F333" s="23">
        <f t="shared" si="271"/>
        <v>4.0999999999999996</v>
      </c>
      <c r="G333" s="23">
        <f t="shared" si="272"/>
        <v>1.95</v>
      </c>
      <c r="H333" s="4">
        <f t="shared" si="304"/>
        <v>3.5767E-2</v>
      </c>
      <c r="I333" s="2">
        <f t="shared" si="305"/>
        <v>1.3744948307086611</v>
      </c>
      <c r="J333" s="4">
        <f t="shared" si="306"/>
        <v>0.20873142429133865</v>
      </c>
      <c r="K333" s="4">
        <f t="shared" si="307"/>
        <v>1.5832262549999998</v>
      </c>
      <c r="L333" s="13">
        <f t="shared" si="308"/>
        <v>6.5849923430321553</v>
      </c>
      <c r="M333" s="3"/>
      <c r="N333" s="3"/>
    </row>
    <row r="334" spans="1:14" x14ac:dyDescent="0.2">
      <c r="A334" s="22">
        <v>488535</v>
      </c>
      <c r="B334" s="4">
        <v>100</v>
      </c>
      <c r="C334" s="4">
        <v>6</v>
      </c>
      <c r="D334" s="33">
        <v>4.3499999999999996</v>
      </c>
      <c r="E334" s="23">
        <v>2.0499999999999998</v>
      </c>
      <c r="F334" s="23">
        <f t="shared" si="271"/>
        <v>4.3499999999999996</v>
      </c>
      <c r="G334" s="23">
        <f t="shared" si="272"/>
        <v>2.0499999999999998</v>
      </c>
      <c r="H334" s="4">
        <f t="shared" si="304"/>
        <v>3.5767E-2</v>
      </c>
      <c r="I334" s="2">
        <f t="shared" si="305"/>
        <v>1.4703898188976379</v>
      </c>
      <c r="J334" s="4">
        <f t="shared" si="306"/>
        <v>0.19402752610236249</v>
      </c>
      <c r="K334" s="4">
        <f t="shared" si="307"/>
        <v>1.6644173450000004</v>
      </c>
      <c r="L334" s="13">
        <f t="shared" si="308"/>
        <v>7.5782537067545199</v>
      </c>
      <c r="M334" s="3">
        <f t="shared" ref="M334" si="359">AVERAGE(I334:I335)</f>
        <v>1.4863723169291339</v>
      </c>
      <c r="N334" s="3">
        <f t="shared" ref="N334" si="360">AVERAGE(J334:J335)</f>
        <v>0.21864057307086615</v>
      </c>
    </row>
    <row r="335" spans="1:14" x14ac:dyDescent="0.2">
      <c r="A335" s="22"/>
      <c r="B335" s="4">
        <v>100</v>
      </c>
      <c r="C335" s="4">
        <v>6</v>
      </c>
      <c r="D335" s="33">
        <v>4.5</v>
      </c>
      <c r="E335" s="23">
        <v>2.15</v>
      </c>
      <c r="F335" s="23">
        <f t="shared" si="271"/>
        <v>4.5</v>
      </c>
      <c r="G335" s="23">
        <f t="shared" si="272"/>
        <v>2.15</v>
      </c>
      <c r="H335" s="4">
        <f t="shared" si="304"/>
        <v>3.5767E-2</v>
      </c>
      <c r="I335" s="2">
        <f t="shared" si="305"/>
        <v>1.5023548149606298</v>
      </c>
      <c r="J335" s="4">
        <f t="shared" si="306"/>
        <v>0.24325362003936982</v>
      </c>
      <c r="K335" s="4">
        <f t="shared" si="307"/>
        <v>1.7456084349999996</v>
      </c>
      <c r="L335" s="13">
        <f t="shared" si="308"/>
        <v>6.1760840998686</v>
      </c>
      <c r="M335" s="3"/>
      <c r="N335" s="3"/>
    </row>
    <row r="336" spans="1:14" x14ac:dyDescent="0.2">
      <c r="A336" s="22">
        <v>488538</v>
      </c>
      <c r="B336" s="4">
        <v>100</v>
      </c>
      <c r="C336" s="4">
        <v>8</v>
      </c>
      <c r="D336" s="33">
        <v>2.75</v>
      </c>
      <c r="E336" s="23">
        <v>1.65</v>
      </c>
      <c r="F336" s="23">
        <f t="shared" si="271"/>
        <v>2.75</v>
      </c>
      <c r="G336" s="23">
        <f t="shared" si="272"/>
        <v>1.65</v>
      </c>
      <c r="H336" s="4">
        <f t="shared" si="304"/>
        <v>3.8630000000000001E-3</v>
      </c>
      <c r="I336" s="2">
        <f t="shared" si="305"/>
        <v>7.5952055118110248E-2</v>
      </c>
      <c r="J336" s="4">
        <f t="shared" si="306"/>
        <v>6.8736609881889774E-2</v>
      </c>
      <c r="K336" s="4">
        <f t="shared" si="307"/>
        <v>0.14468866500000002</v>
      </c>
      <c r="L336" s="13">
        <f t="shared" si="308"/>
        <v>1.1049723756906078</v>
      </c>
      <c r="M336" s="3">
        <f t="shared" ref="M336" si="361">AVERAGE(I336:I337)</f>
        <v>8.6309153543307093E-2</v>
      </c>
      <c r="N336" s="3">
        <f t="shared" ref="N336" si="362">AVERAGE(J336:J337)</f>
        <v>5.3995006456692918E-2</v>
      </c>
    </row>
    <row r="337" spans="1:14" x14ac:dyDescent="0.2">
      <c r="A337" s="22"/>
      <c r="B337" s="4">
        <v>100</v>
      </c>
      <c r="C337" s="4">
        <v>8</v>
      </c>
      <c r="D337" s="33">
        <v>2.95</v>
      </c>
      <c r="E337" s="23">
        <v>1.55</v>
      </c>
      <c r="F337" s="23">
        <f t="shared" si="271"/>
        <v>2.95</v>
      </c>
      <c r="G337" s="23">
        <f t="shared" si="272"/>
        <v>1.55</v>
      </c>
      <c r="H337" s="4">
        <f t="shared" si="304"/>
        <v>3.8630000000000001E-3</v>
      </c>
      <c r="I337" s="2">
        <f t="shared" si="305"/>
        <v>9.6666251968503952E-2</v>
      </c>
      <c r="J337" s="4">
        <f t="shared" si="306"/>
        <v>3.9253403031496069E-2</v>
      </c>
      <c r="K337" s="4">
        <f t="shared" si="307"/>
        <v>0.13591965500000003</v>
      </c>
      <c r="L337" s="13">
        <f t="shared" si="308"/>
        <v>2.4626209322779244</v>
      </c>
      <c r="M337" s="3"/>
      <c r="N337" s="3"/>
    </row>
    <row r="338" spans="1:14" x14ac:dyDescent="0.2">
      <c r="A338" s="22">
        <v>488539</v>
      </c>
      <c r="B338" s="4">
        <v>100</v>
      </c>
      <c r="C338" s="4">
        <v>8</v>
      </c>
      <c r="D338" s="33">
        <v>2.4</v>
      </c>
      <c r="E338" s="23">
        <v>1.45</v>
      </c>
      <c r="F338" s="23">
        <f t="shared" si="271"/>
        <v>2.4</v>
      </c>
      <c r="G338" s="23">
        <f t="shared" si="272"/>
        <v>1.45</v>
      </c>
      <c r="H338" s="4">
        <f t="shared" si="304"/>
        <v>3.8630000000000001E-3</v>
      </c>
      <c r="I338" s="2">
        <f t="shared" si="305"/>
        <v>6.5594956692913389E-2</v>
      </c>
      <c r="J338" s="4">
        <f t="shared" si="306"/>
        <v>6.1555688307086624E-2</v>
      </c>
      <c r="K338" s="4">
        <f t="shared" si="307"/>
        <v>0.12715064500000001</v>
      </c>
      <c r="L338" s="13">
        <f t="shared" si="308"/>
        <v>1.0656197420078519</v>
      </c>
      <c r="M338" s="3">
        <f t="shared" ref="M338" si="363">AVERAGE(I338:I339)</f>
        <v>9.1487702755905523E-2</v>
      </c>
      <c r="N338" s="3">
        <f t="shared" ref="N338" si="364">AVERAGE(J338:J339)</f>
        <v>6.1969972244094493E-2</v>
      </c>
    </row>
    <row r="339" spans="1:14" x14ac:dyDescent="0.2">
      <c r="A339" s="22"/>
      <c r="B339" s="4">
        <v>100</v>
      </c>
      <c r="C339" s="4">
        <v>8</v>
      </c>
      <c r="D339" s="33">
        <v>3.75</v>
      </c>
      <c r="E339" s="23">
        <v>2.0499999999999998</v>
      </c>
      <c r="F339" s="23">
        <f t="shared" si="271"/>
        <v>3.75</v>
      </c>
      <c r="G339" s="23">
        <f t="shared" si="272"/>
        <v>2.0499999999999998</v>
      </c>
      <c r="H339" s="4">
        <f t="shared" si="304"/>
        <v>3.8630000000000001E-3</v>
      </c>
      <c r="I339" s="2">
        <f t="shared" si="305"/>
        <v>0.11738044881889766</v>
      </c>
      <c r="J339" s="4">
        <f t="shared" si="306"/>
        <v>6.2384256181102361E-2</v>
      </c>
      <c r="K339" s="4">
        <f t="shared" si="307"/>
        <v>0.17976470500000002</v>
      </c>
      <c r="L339" s="13">
        <f t="shared" si="308"/>
        <v>1.881571665744328</v>
      </c>
      <c r="M339" s="3"/>
      <c r="N339" s="3"/>
    </row>
    <row r="340" spans="1:14" x14ac:dyDescent="0.2">
      <c r="A340" s="22">
        <v>488540</v>
      </c>
      <c r="B340" s="4">
        <v>100</v>
      </c>
      <c r="C340" s="4">
        <v>8</v>
      </c>
      <c r="D340" s="33">
        <v>3.95</v>
      </c>
      <c r="E340" s="23">
        <v>2.35</v>
      </c>
      <c r="F340" s="23">
        <f t="shared" si="271"/>
        <v>3.95</v>
      </c>
      <c r="G340" s="23">
        <f t="shared" si="272"/>
        <v>2.35</v>
      </c>
      <c r="H340" s="4">
        <f t="shared" si="304"/>
        <v>3.8630000000000001E-3</v>
      </c>
      <c r="I340" s="2">
        <f t="shared" si="305"/>
        <v>0.11047571653543307</v>
      </c>
      <c r="J340" s="4">
        <f t="shared" si="306"/>
        <v>9.5596018464566945E-2</v>
      </c>
      <c r="K340" s="4">
        <f t="shared" si="307"/>
        <v>0.20607173500000003</v>
      </c>
      <c r="L340" s="13">
        <f t="shared" si="308"/>
        <v>1.1556518598772119</v>
      </c>
      <c r="M340" s="3">
        <f t="shared" ref="M340" si="365">AVERAGE(I340:I341)</f>
        <v>0.12255899803149609</v>
      </c>
      <c r="N340" s="3">
        <f t="shared" ref="N340" si="366">AVERAGE(J340:J341)</f>
        <v>9.8858504468503944E-2</v>
      </c>
    </row>
    <row r="341" spans="1:14" x14ac:dyDescent="0.2">
      <c r="A341" s="22"/>
      <c r="B341" s="4">
        <v>100</v>
      </c>
      <c r="C341" s="4">
        <v>8</v>
      </c>
      <c r="D341" s="33">
        <v>4.6500000000000004</v>
      </c>
      <c r="E341" s="23">
        <v>2.7</v>
      </c>
      <c r="F341" s="23">
        <f t="shared" si="271"/>
        <v>4.6500000000000004</v>
      </c>
      <c r="G341" s="23">
        <f t="shared" si="272"/>
        <v>2.7</v>
      </c>
      <c r="H341" s="4">
        <f t="shared" si="304"/>
        <v>3.8630000000000001E-3</v>
      </c>
      <c r="I341" s="2">
        <f t="shared" si="305"/>
        <v>0.13464227952755908</v>
      </c>
      <c r="J341" s="4">
        <f t="shared" si="306"/>
        <v>0.10212099047244093</v>
      </c>
      <c r="K341" s="4">
        <f t="shared" si="307"/>
        <v>0.23676327000000003</v>
      </c>
      <c r="L341" s="13">
        <f t="shared" si="308"/>
        <v>1.318458417849899</v>
      </c>
      <c r="M341" s="3"/>
      <c r="N341" s="3"/>
    </row>
    <row r="342" spans="1:14" x14ac:dyDescent="0.2">
      <c r="A342" s="22">
        <v>488541</v>
      </c>
      <c r="B342" s="4">
        <v>100</v>
      </c>
      <c r="C342" s="4">
        <v>6</v>
      </c>
      <c r="D342" s="33">
        <v>6.1</v>
      </c>
      <c r="E342" s="23">
        <v>2.8</v>
      </c>
      <c r="F342" s="23">
        <f t="shared" si="271"/>
        <v>6.1</v>
      </c>
      <c r="G342" s="23">
        <f t="shared" si="272"/>
        <v>2.8</v>
      </c>
      <c r="H342" s="4">
        <f t="shared" si="304"/>
        <v>3.5767E-2</v>
      </c>
      <c r="I342" s="2">
        <f t="shared" si="305"/>
        <v>2.1096897401574806</v>
      </c>
      <c r="J342" s="4">
        <f t="shared" si="306"/>
        <v>0.1636607798425197</v>
      </c>
      <c r="K342" s="4">
        <f t="shared" si="307"/>
        <v>2.2733505200000002</v>
      </c>
      <c r="L342" s="13">
        <f t="shared" si="308"/>
        <v>12.890625</v>
      </c>
      <c r="M342" s="3">
        <f t="shared" ref="M342" si="367">AVERAGE(I342:I343)</f>
        <v>2.0937072421259844</v>
      </c>
      <c r="N342" s="3">
        <f t="shared" ref="N342" si="368">AVERAGE(J342:J343)</f>
        <v>0.24053659537401623</v>
      </c>
    </row>
    <row r="343" spans="1:14" x14ac:dyDescent="0.2">
      <c r="A343" s="22"/>
      <c r="B343" s="4">
        <v>100</v>
      </c>
      <c r="C343" s="4">
        <v>6</v>
      </c>
      <c r="D343" s="33">
        <v>6.2</v>
      </c>
      <c r="E343" s="23">
        <v>2.95</v>
      </c>
      <c r="F343" s="23">
        <f t="shared" si="271"/>
        <v>6.2</v>
      </c>
      <c r="G343" s="23">
        <f t="shared" si="272"/>
        <v>2.95</v>
      </c>
      <c r="H343" s="4">
        <f t="shared" si="304"/>
        <v>3.5767E-2</v>
      </c>
      <c r="I343" s="2">
        <f t="shared" si="305"/>
        <v>2.0777247440944882</v>
      </c>
      <c r="J343" s="4">
        <f t="shared" si="306"/>
        <v>0.31741241090551275</v>
      </c>
      <c r="K343" s="4">
        <f t="shared" si="307"/>
        <v>2.3951371550000009</v>
      </c>
      <c r="L343" s="13">
        <f t="shared" si="308"/>
        <v>6.5458207452164965</v>
      </c>
      <c r="M343" s="3"/>
      <c r="N343" s="3"/>
    </row>
    <row r="344" spans="1:14" x14ac:dyDescent="0.2">
      <c r="A344" s="22">
        <v>488542</v>
      </c>
      <c r="B344" s="4">
        <v>100</v>
      </c>
      <c r="C344" s="4">
        <v>6</v>
      </c>
      <c r="D344" s="33">
        <v>3.95</v>
      </c>
      <c r="E344" s="23">
        <v>1.85</v>
      </c>
      <c r="F344" s="23">
        <f t="shared" si="271"/>
        <v>3.95</v>
      </c>
      <c r="G344" s="23">
        <f t="shared" si="272"/>
        <v>1.85</v>
      </c>
      <c r="H344" s="4">
        <f t="shared" si="304"/>
        <v>3.5767E-2</v>
      </c>
      <c r="I344" s="2">
        <f t="shared" si="305"/>
        <v>1.3425298346456693</v>
      </c>
      <c r="J344" s="4">
        <f t="shared" si="306"/>
        <v>0.15950533035433101</v>
      </c>
      <c r="K344" s="4">
        <f t="shared" si="307"/>
        <v>1.5020351650000003</v>
      </c>
      <c r="L344" s="13">
        <f t="shared" si="308"/>
        <v>8.4168336673346538</v>
      </c>
      <c r="M344" s="3">
        <f t="shared" ref="M344" si="369">AVERAGE(I344:I345)</f>
        <v>1.4224423248031497</v>
      </c>
      <c r="N344" s="3">
        <f t="shared" ref="N344" si="370">AVERAGE(J344:J345)</f>
        <v>0.16078393019685036</v>
      </c>
    </row>
    <row r="345" spans="1:14" x14ac:dyDescent="0.2">
      <c r="A345" s="22"/>
      <c r="B345" s="4">
        <v>100</v>
      </c>
      <c r="C345" s="4">
        <v>6</v>
      </c>
      <c r="D345" s="33">
        <v>4.4000000000000004</v>
      </c>
      <c r="E345" s="23">
        <v>2.0499999999999998</v>
      </c>
      <c r="F345" s="23">
        <f t="shared" si="271"/>
        <v>4.4000000000000004</v>
      </c>
      <c r="G345" s="23">
        <f t="shared" si="272"/>
        <v>2.0499999999999998</v>
      </c>
      <c r="H345" s="4">
        <f t="shared" si="304"/>
        <v>3.5767E-2</v>
      </c>
      <c r="I345" s="2">
        <f t="shared" si="305"/>
        <v>1.5023548149606301</v>
      </c>
      <c r="J345" s="4">
        <f t="shared" si="306"/>
        <v>0.16206253003936971</v>
      </c>
      <c r="K345" s="4">
        <f t="shared" si="307"/>
        <v>1.6644173449999997</v>
      </c>
      <c r="L345" s="13">
        <f t="shared" si="308"/>
        <v>9.2702169625246764</v>
      </c>
      <c r="M345" s="3"/>
      <c r="N345" s="3"/>
    </row>
    <row r="346" spans="1:14" x14ac:dyDescent="0.2">
      <c r="A346" s="22">
        <v>488543</v>
      </c>
      <c r="B346" s="4">
        <v>100</v>
      </c>
      <c r="C346" s="4">
        <v>6</v>
      </c>
      <c r="D346" s="33">
        <v>5.65</v>
      </c>
      <c r="E346" s="23">
        <v>2.8</v>
      </c>
      <c r="F346" s="23">
        <f t="shared" si="271"/>
        <v>5.65</v>
      </c>
      <c r="G346" s="23">
        <f t="shared" si="272"/>
        <v>2.8</v>
      </c>
      <c r="H346" s="4">
        <f t="shared" si="304"/>
        <v>3.5767E-2</v>
      </c>
      <c r="I346" s="2">
        <f t="shared" si="305"/>
        <v>1.8220047755905517</v>
      </c>
      <c r="J346" s="4">
        <f t="shared" si="306"/>
        <v>0.4513457444094483</v>
      </c>
      <c r="K346" s="4">
        <f t="shared" si="307"/>
        <v>2.2733505200000002</v>
      </c>
      <c r="L346" s="13">
        <f t="shared" si="308"/>
        <v>4.0368271954674277</v>
      </c>
      <c r="M346" s="3">
        <f t="shared" ref="M346" si="371">AVERAGE(I346:I347)</f>
        <v>1.8859347677165359</v>
      </c>
      <c r="N346" s="3">
        <f t="shared" ref="N346" si="372">AVERAGE(J346:J347)</f>
        <v>0.42801129728346438</v>
      </c>
    </row>
    <row r="347" spans="1:14" x14ac:dyDescent="0.2">
      <c r="A347" s="22"/>
      <c r="B347" s="4">
        <v>100</v>
      </c>
      <c r="C347" s="4">
        <v>6</v>
      </c>
      <c r="D347" s="33">
        <v>5.95</v>
      </c>
      <c r="E347" s="23">
        <v>2.9</v>
      </c>
      <c r="F347" s="23">
        <f t="shared" si="271"/>
        <v>5.95</v>
      </c>
      <c r="G347" s="23">
        <f t="shared" si="272"/>
        <v>2.9</v>
      </c>
      <c r="H347" s="4">
        <f t="shared" si="304"/>
        <v>3.5767E-2</v>
      </c>
      <c r="I347" s="2">
        <f t="shared" si="305"/>
        <v>1.9498647598425201</v>
      </c>
      <c r="J347" s="4">
        <f t="shared" si="306"/>
        <v>0.40467685015748045</v>
      </c>
      <c r="K347" s="4">
        <f t="shared" si="307"/>
        <v>2.3545416100000005</v>
      </c>
      <c r="L347" s="13">
        <f t="shared" si="308"/>
        <v>4.8183254344391777</v>
      </c>
      <c r="M347" s="3"/>
      <c r="N347" s="3"/>
    </row>
    <row r="348" spans="1:14" x14ac:dyDescent="0.2">
      <c r="A348" s="22">
        <v>488544</v>
      </c>
      <c r="B348" s="4">
        <v>100</v>
      </c>
      <c r="C348" s="4">
        <v>6</v>
      </c>
      <c r="D348" s="33">
        <v>6</v>
      </c>
      <c r="E348" s="23">
        <v>2.85</v>
      </c>
      <c r="F348" s="23">
        <f t="shared" si="271"/>
        <v>6</v>
      </c>
      <c r="G348" s="23">
        <f t="shared" si="272"/>
        <v>2.85</v>
      </c>
      <c r="H348" s="4">
        <f t="shared" ref="H348:H411" si="373">IF(C348=1,32.7101,IF(C348=2,8.14893,IF(C348=3,1.42818,IF(C348=4,0.44041,IF(C348=5,0.123026,IF(C348=6,0.035767,IF(C348=7,0.009745,0.003863)))))))</f>
        <v>3.5767E-2</v>
      </c>
      <c r="I348" s="2">
        <f t="shared" ref="I348:I411" si="374">H348*$A$3*(F348-G348)*1000/B348</f>
        <v>2.0137947519685038</v>
      </c>
      <c r="J348" s="4">
        <f t="shared" ref="J348:J411" si="375">2.27*($A$3*G348-($A$3-1)*F348)*H348*1000/B348</f>
        <v>0.30015131303149645</v>
      </c>
      <c r="K348" s="4">
        <f t="shared" ref="K348:K411" si="376">(I348+J348)</f>
        <v>2.3139460650000001</v>
      </c>
      <c r="L348" s="13">
        <f t="shared" ref="L348:L411" si="377">(I348/J348)</f>
        <v>6.7092651757188406</v>
      </c>
      <c r="M348" s="3">
        <f t="shared" ref="M348" si="378">AVERAGE(I348:I349)</f>
        <v>1.9818297559055118</v>
      </c>
      <c r="N348" s="3">
        <f t="shared" ref="N348" si="379">AVERAGE(J348:J349)</f>
        <v>0.4742007165944887</v>
      </c>
    </row>
    <row r="349" spans="1:14" x14ac:dyDescent="0.2">
      <c r="A349" s="22"/>
      <c r="B349" s="4">
        <v>100</v>
      </c>
      <c r="C349" s="4">
        <v>6</v>
      </c>
      <c r="D349" s="33">
        <v>6.25</v>
      </c>
      <c r="E349" s="30">
        <v>3.2</v>
      </c>
      <c r="F349" s="23">
        <f t="shared" si="271"/>
        <v>6.25</v>
      </c>
      <c r="G349" s="23">
        <f t="shared" si="272"/>
        <v>3.2</v>
      </c>
      <c r="H349" s="4">
        <f t="shared" si="373"/>
        <v>3.5767E-2</v>
      </c>
      <c r="I349" s="2">
        <f t="shared" si="374"/>
        <v>1.9498647598425196</v>
      </c>
      <c r="J349" s="4">
        <f t="shared" si="375"/>
        <v>0.64825012015748096</v>
      </c>
      <c r="K349" s="4">
        <f t="shared" si="376"/>
        <v>2.5981148800000007</v>
      </c>
      <c r="L349" s="13">
        <f t="shared" si="377"/>
        <v>3.0078895463510817</v>
      </c>
      <c r="M349" s="3"/>
      <c r="N349" s="3"/>
    </row>
    <row r="350" spans="1:14" x14ac:dyDescent="0.2">
      <c r="A350" s="22">
        <v>488545</v>
      </c>
      <c r="B350" s="4">
        <v>100</v>
      </c>
      <c r="C350" s="4">
        <v>6</v>
      </c>
      <c r="D350" s="33">
        <v>4</v>
      </c>
      <c r="E350" s="23">
        <v>1.85</v>
      </c>
      <c r="F350" s="23">
        <f t="shared" si="271"/>
        <v>4</v>
      </c>
      <c r="G350" s="23">
        <f t="shared" si="272"/>
        <v>1.85</v>
      </c>
      <c r="H350" s="4">
        <f t="shared" si="373"/>
        <v>3.5767E-2</v>
      </c>
      <c r="I350" s="2">
        <f t="shared" si="374"/>
        <v>1.3744948307086617</v>
      </c>
      <c r="J350" s="4">
        <f t="shared" si="375"/>
        <v>0.12754033429133893</v>
      </c>
      <c r="K350" s="4">
        <f t="shared" si="376"/>
        <v>1.5020351650000006</v>
      </c>
      <c r="L350" s="13">
        <f t="shared" si="377"/>
        <v>10.776942355889698</v>
      </c>
      <c r="M350" s="3">
        <f t="shared" ref="M350" si="380">AVERAGE(I350:I351)</f>
        <v>1.3904773287401577</v>
      </c>
      <c r="N350" s="3">
        <f t="shared" ref="N350" si="381">AVERAGE(J350:J351)</f>
        <v>0.13185560875984281</v>
      </c>
    </row>
    <row r="351" spans="1:14" x14ac:dyDescent="0.2">
      <c r="A351" s="22"/>
      <c r="B351" s="4">
        <v>100</v>
      </c>
      <c r="C351" s="4">
        <v>6</v>
      </c>
      <c r="D351" s="33">
        <v>4.0999999999999996</v>
      </c>
      <c r="E351" s="23">
        <v>1.9</v>
      </c>
      <c r="F351" s="23">
        <f t="shared" si="271"/>
        <v>4.0999999999999996</v>
      </c>
      <c r="G351" s="23">
        <f t="shared" si="272"/>
        <v>1.9</v>
      </c>
      <c r="H351" s="4">
        <f t="shared" si="373"/>
        <v>3.5767E-2</v>
      </c>
      <c r="I351" s="2">
        <f t="shared" si="374"/>
        <v>1.4064598267716537</v>
      </c>
      <c r="J351" s="4">
        <f t="shared" si="375"/>
        <v>0.13617088322834672</v>
      </c>
      <c r="K351" s="4">
        <f t="shared" si="376"/>
        <v>1.5426307100000005</v>
      </c>
      <c r="L351" s="13">
        <f t="shared" si="377"/>
        <v>10.328638497652562</v>
      </c>
      <c r="M351" s="3"/>
      <c r="N351" s="3"/>
    </row>
    <row r="352" spans="1:14" x14ac:dyDescent="0.2">
      <c r="A352" s="22">
        <v>488546</v>
      </c>
      <c r="B352" s="4">
        <v>100</v>
      </c>
      <c r="C352" s="4">
        <v>6</v>
      </c>
      <c r="D352" s="33">
        <v>3.95</v>
      </c>
      <c r="E352" s="23">
        <v>1.8</v>
      </c>
      <c r="F352" s="23">
        <f t="shared" si="271"/>
        <v>3.95</v>
      </c>
      <c r="G352" s="23">
        <f t="shared" si="272"/>
        <v>1.8</v>
      </c>
      <c r="H352" s="4">
        <f t="shared" si="373"/>
        <v>3.5767E-2</v>
      </c>
      <c r="I352" s="2">
        <f t="shared" si="374"/>
        <v>1.374494830708662</v>
      </c>
      <c r="J352" s="4">
        <f t="shared" si="375"/>
        <v>8.6944789291338698E-2</v>
      </c>
      <c r="K352" s="4">
        <f t="shared" si="376"/>
        <v>1.4614396200000006</v>
      </c>
      <c r="L352" s="13">
        <f t="shared" si="377"/>
        <v>15.80882352941175</v>
      </c>
      <c r="M352" s="3">
        <f t="shared" ref="M352" si="382">AVERAGE(I352:I353)</f>
        <v>1.3585123326771655</v>
      </c>
      <c r="N352" s="3">
        <f t="shared" ref="N352" si="383">AVERAGE(J352:J353)</f>
        <v>0.10292728732283474</v>
      </c>
    </row>
    <row r="353" spans="1:14" x14ac:dyDescent="0.2">
      <c r="A353" s="22"/>
      <c r="B353" s="4">
        <v>100</v>
      </c>
      <c r="C353" s="4">
        <v>6</v>
      </c>
      <c r="D353" s="33">
        <v>3.9</v>
      </c>
      <c r="E353" s="23">
        <v>1.8</v>
      </c>
      <c r="F353" s="23">
        <f t="shared" si="271"/>
        <v>3.9</v>
      </c>
      <c r="G353" s="23">
        <f t="shared" si="272"/>
        <v>1.8</v>
      </c>
      <c r="H353" s="4">
        <f t="shared" si="373"/>
        <v>3.5767E-2</v>
      </c>
      <c r="I353" s="2">
        <f t="shared" si="374"/>
        <v>1.3425298346456691</v>
      </c>
      <c r="J353" s="4">
        <f t="shared" si="375"/>
        <v>0.11890978535433078</v>
      </c>
      <c r="K353" s="4">
        <f t="shared" si="376"/>
        <v>1.4614396199999999</v>
      </c>
      <c r="L353" s="13">
        <f t="shared" si="377"/>
        <v>11.290322580645153</v>
      </c>
      <c r="M353" s="3"/>
      <c r="N353" s="3"/>
    </row>
    <row r="354" spans="1:14" x14ac:dyDescent="0.2">
      <c r="A354" s="32">
        <v>488253</v>
      </c>
      <c r="B354" s="4">
        <v>100</v>
      </c>
      <c r="C354" s="4">
        <v>6</v>
      </c>
      <c r="D354" s="33">
        <v>3.55</v>
      </c>
      <c r="E354" s="23">
        <v>1.65</v>
      </c>
      <c r="F354" s="23">
        <f t="shared" si="271"/>
        <v>3.55</v>
      </c>
      <c r="G354" s="23">
        <f t="shared" si="272"/>
        <v>1.65</v>
      </c>
      <c r="H354" s="4">
        <f t="shared" si="373"/>
        <v>3.5767E-2</v>
      </c>
      <c r="I354" s="2">
        <f t="shared" si="374"/>
        <v>1.2146698503937008</v>
      </c>
      <c r="J354" s="4">
        <f t="shared" si="375"/>
        <v>0.12498313460629949</v>
      </c>
      <c r="K354" s="4">
        <f t="shared" si="376"/>
        <v>1.3396529850000003</v>
      </c>
      <c r="L354" s="13">
        <f t="shared" si="377"/>
        <v>9.7186700767263208</v>
      </c>
      <c r="M354" s="3">
        <f t="shared" ref="M354" si="384">AVERAGE(I354:I355)</f>
        <v>1.1986873523622048</v>
      </c>
      <c r="N354" s="3">
        <f t="shared" ref="N354" si="385">AVERAGE(J354:J355)</f>
        <v>0.10037008763779549</v>
      </c>
    </row>
    <row r="355" spans="1:14" x14ac:dyDescent="0.2">
      <c r="A355" s="22"/>
      <c r="B355" s="4">
        <v>100</v>
      </c>
      <c r="C355" s="4">
        <v>6</v>
      </c>
      <c r="D355" s="33">
        <v>3.4</v>
      </c>
      <c r="E355" s="23">
        <v>1.55</v>
      </c>
      <c r="F355" s="23">
        <f t="shared" si="271"/>
        <v>3.4</v>
      </c>
      <c r="G355" s="23">
        <f t="shared" si="272"/>
        <v>1.55</v>
      </c>
      <c r="H355" s="4">
        <f t="shared" si="373"/>
        <v>3.5767E-2</v>
      </c>
      <c r="I355" s="2">
        <f t="shared" si="374"/>
        <v>1.1827048543307086</v>
      </c>
      <c r="J355" s="4">
        <f t="shared" si="375"/>
        <v>7.5757040669291495E-2</v>
      </c>
      <c r="K355" s="4">
        <f t="shared" si="376"/>
        <v>1.2584618950000002</v>
      </c>
      <c r="L355" s="13">
        <f t="shared" si="377"/>
        <v>15.611814345991528</v>
      </c>
      <c r="M355" s="3"/>
      <c r="N355" s="3"/>
    </row>
    <row r="356" spans="1:14" x14ac:dyDescent="0.2">
      <c r="A356" s="22">
        <v>488549</v>
      </c>
      <c r="B356" s="4">
        <v>100</v>
      </c>
      <c r="C356" s="4">
        <v>8</v>
      </c>
      <c r="D356" s="33">
        <v>1.6</v>
      </c>
      <c r="E356" s="23">
        <v>1</v>
      </c>
      <c r="F356" s="23">
        <f t="shared" si="271"/>
        <v>1.6</v>
      </c>
      <c r="G356" s="23">
        <f t="shared" si="272"/>
        <v>1</v>
      </c>
      <c r="H356" s="4">
        <f t="shared" si="373"/>
        <v>3.8630000000000001E-3</v>
      </c>
      <c r="I356" s="2">
        <f t="shared" si="374"/>
        <v>4.1428393700787408E-2</v>
      </c>
      <c r="J356" s="4">
        <f t="shared" si="375"/>
        <v>4.6261706299212599E-2</v>
      </c>
      <c r="K356" s="4">
        <f t="shared" si="376"/>
        <v>8.7690100000000007E-2</v>
      </c>
      <c r="L356" s="13">
        <f t="shared" si="377"/>
        <v>0.89552238805970164</v>
      </c>
      <c r="M356" s="3">
        <f t="shared" ref="M356" si="386">AVERAGE(I356:I357)</f>
        <v>5.3511675196850406E-2</v>
      </c>
      <c r="N356" s="3">
        <f t="shared" ref="N356" si="387">AVERAGE(J356:J357)</f>
        <v>5.1716444803149603E-2</v>
      </c>
    </row>
    <row r="357" spans="1:14" x14ac:dyDescent="0.2">
      <c r="A357" s="22"/>
      <c r="B357" s="4">
        <v>100</v>
      </c>
      <c r="C357" s="4">
        <v>8</v>
      </c>
      <c r="D357" s="33">
        <v>2.35</v>
      </c>
      <c r="E357" s="23">
        <v>1.4</v>
      </c>
      <c r="F357" s="23">
        <f t="shared" si="271"/>
        <v>2.35</v>
      </c>
      <c r="G357" s="23">
        <f t="shared" si="272"/>
        <v>1.4</v>
      </c>
      <c r="H357" s="4">
        <f t="shared" si="373"/>
        <v>3.8630000000000001E-3</v>
      </c>
      <c r="I357" s="2">
        <f t="shared" si="374"/>
        <v>6.5594956692913403E-2</v>
      </c>
      <c r="J357" s="4">
        <f t="shared" si="375"/>
        <v>5.7171183307086607E-2</v>
      </c>
      <c r="K357" s="4">
        <f t="shared" si="376"/>
        <v>0.12276614000000001</v>
      </c>
      <c r="L357" s="13">
        <f t="shared" si="377"/>
        <v>1.1473429951690826</v>
      </c>
      <c r="M357" s="3"/>
      <c r="N357" s="3"/>
    </row>
    <row r="358" spans="1:14" x14ac:dyDescent="0.2">
      <c r="A358" s="22">
        <v>488550</v>
      </c>
      <c r="B358" s="4">
        <v>100</v>
      </c>
      <c r="C358" s="4">
        <v>8</v>
      </c>
      <c r="D358" s="33">
        <v>2.1</v>
      </c>
      <c r="E358" s="23">
        <v>1.35</v>
      </c>
      <c r="F358" s="23">
        <f t="shared" si="271"/>
        <v>2.1</v>
      </c>
      <c r="G358" s="23">
        <f t="shared" si="272"/>
        <v>1.35</v>
      </c>
      <c r="H358" s="4">
        <f t="shared" si="373"/>
        <v>3.8630000000000001E-3</v>
      </c>
      <c r="I358" s="2">
        <f t="shared" si="374"/>
        <v>5.1785492125984253E-2</v>
      </c>
      <c r="J358" s="4">
        <f t="shared" si="375"/>
        <v>6.659614287401576E-2</v>
      </c>
      <c r="K358" s="4">
        <f t="shared" si="376"/>
        <v>0.11838163500000001</v>
      </c>
      <c r="L358" s="13">
        <f t="shared" si="377"/>
        <v>0.77760497667185058</v>
      </c>
      <c r="M358" s="3">
        <f t="shared" ref="M358" si="388">AVERAGE(I358:I359)</f>
        <v>5.3511675196850406E-2</v>
      </c>
      <c r="N358" s="3">
        <f t="shared" ref="N358" si="389">AVERAGE(J358:J359)</f>
        <v>6.7062212303149599E-2</v>
      </c>
    </row>
    <row r="359" spans="1:14" x14ac:dyDescent="0.2">
      <c r="A359" s="22"/>
      <c r="B359" s="4">
        <v>100</v>
      </c>
      <c r="C359" s="4">
        <v>8</v>
      </c>
      <c r="D359" s="33">
        <v>2.2000000000000002</v>
      </c>
      <c r="E359" s="23">
        <v>1.4</v>
      </c>
      <c r="F359" s="23">
        <f t="shared" si="271"/>
        <v>2.2000000000000002</v>
      </c>
      <c r="G359" s="23">
        <f t="shared" si="272"/>
        <v>1.4</v>
      </c>
      <c r="H359" s="4">
        <f t="shared" si="373"/>
        <v>3.8630000000000001E-3</v>
      </c>
      <c r="I359" s="2">
        <f t="shared" si="374"/>
        <v>5.5237858267716551E-2</v>
      </c>
      <c r="J359" s="4">
        <f t="shared" si="375"/>
        <v>6.7528281732283438E-2</v>
      </c>
      <c r="K359" s="4">
        <f t="shared" si="376"/>
        <v>0.12276614</v>
      </c>
      <c r="L359" s="13">
        <f t="shared" si="377"/>
        <v>0.81799591002045047</v>
      </c>
      <c r="M359" s="3"/>
      <c r="N359" s="3"/>
    </row>
    <row r="360" spans="1:14" x14ac:dyDescent="0.2">
      <c r="A360" s="22">
        <v>488551</v>
      </c>
      <c r="B360" s="4">
        <v>100</v>
      </c>
      <c r="C360" s="4">
        <v>8</v>
      </c>
      <c r="D360" s="33">
        <v>1.85</v>
      </c>
      <c r="E360" s="23">
        <v>1.35</v>
      </c>
      <c r="F360" s="23">
        <f t="shared" si="271"/>
        <v>1.85</v>
      </c>
      <c r="G360" s="23">
        <f t="shared" si="272"/>
        <v>1.35</v>
      </c>
      <c r="H360" s="4">
        <f t="shared" si="373"/>
        <v>3.8630000000000001E-3</v>
      </c>
      <c r="I360" s="2">
        <f t="shared" si="374"/>
        <v>3.452366141732284E-2</v>
      </c>
      <c r="J360" s="4">
        <f t="shared" si="375"/>
        <v>8.3857973582677173E-2</v>
      </c>
      <c r="K360" s="4">
        <f t="shared" si="376"/>
        <v>0.11838163500000001</v>
      </c>
      <c r="L360" s="13">
        <f t="shared" si="377"/>
        <v>0.41169205434335121</v>
      </c>
      <c r="M360" s="3">
        <f t="shared" ref="M360" si="390">AVERAGE(I360:I361)</f>
        <v>3.2797478346456695E-2</v>
      </c>
      <c r="N360" s="3">
        <f t="shared" ref="N360" si="391">AVERAGE(J360:J361)</f>
        <v>8.3391904153543306E-2</v>
      </c>
    </row>
    <row r="361" spans="1:14" x14ac:dyDescent="0.2">
      <c r="A361" s="22"/>
      <c r="B361" s="4">
        <v>100</v>
      </c>
      <c r="C361" s="4">
        <v>8</v>
      </c>
      <c r="D361" s="33">
        <v>1.75</v>
      </c>
      <c r="E361" s="23">
        <v>1.3</v>
      </c>
      <c r="F361" s="23">
        <f t="shared" si="271"/>
        <v>1.75</v>
      </c>
      <c r="G361" s="23">
        <f t="shared" si="272"/>
        <v>1.3</v>
      </c>
      <c r="H361" s="4">
        <f t="shared" si="373"/>
        <v>3.8630000000000001E-3</v>
      </c>
      <c r="I361" s="2">
        <f t="shared" si="374"/>
        <v>3.1071295275590546E-2</v>
      </c>
      <c r="J361" s="4">
        <f t="shared" si="375"/>
        <v>8.2925834724409453E-2</v>
      </c>
      <c r="K361" s="4">
        <f t="shared" si="376"/>
        <v>0.11399713</v>
      </c>
      <c r="L361" s="13">
        <f t="shared" si="377"/>
        <v>0.37468776019983341</v>
      </c>
      <c r="M361" s="3"/>
      <c r="N361" s="3"/>
    </row>
    <row r="362" spans="1:14" x14ac:dyDescent="0.2">
      <c r="A362" s="22">
        <v>488552</v>
      </c>
      <c r="B362" s="4">
        <v>100</v>
      </c>
      <c r="C362" s="4">
        <v>8</v>
      </c>
      <c r="D362" s="33">
        <v>2.2999999999999998</v>
      </c>
      <c r="E362" s="23">
        <v>1.6</v>
      </c>
      <c r="F362" s="23">
        <f t="shared" si="271"/>
        <v>2.2999999999999998</v>
      </c>
      <c r="G362" s="23">
        <f t="shared" si="272"/>
        <v>1.6</v>
      </c>
      <c r="H362" s="4">
        <f t="shared" si="373"/>
        <v>3.8630000000000001E-3</v>
      </c>
      <c r="I362" s="2">
        <f t="shared" si="374"/>
        <v>4.8333125984251948E-2</v>
      </c>
      <c r="J362" s="4">
        <f t="shared" si="375"/>
        <v>9.1971034015748063E-2</v>
      </c>
      <c r="K362" s="4">
        <f t="shared" si="376"/>
        <v>0.14030416000000001</v>
      </c>
      <c r="L362" s="13">
        <f t="shared" si="377"/>
        <v>0.52552552552552512</v>
      </c>
      <c r="M362" s="3">
        <f t="shared" ref="M362" si="392">AVERAGE(I362:I363)</f>
        <v>5.3511675196850378E-2</v>
      </c>
      <c r="N362" s="3">
        <f t="shared" ref="N362" si="393">AVERAGE(J362:J363)</f>
        <v>9.1176989803149644E-2</v>
      </c>
    </row>
    <row r="363" spans="1:14" x14ac:dyDescent="0.2">
      <c r="A363" s="22"/>
      <c r="B363" s="4">
        <v>100</v>
      </c>
      <c r="C363" s="4">
        <v>8</v>
      </c>
      <c r="D363" s="33">
        <v>2.5499999999999998</v>
      </c>
      <c r="E363" s="23">
        <v>1.7</v>
      </c>
      <c r="F363" s="23">
        <f t="shared" si="271"/>
        <v>2.5499999999999998</v>
      </c>
      <c r="G363" s="23">
        <f t="shared" si="272"/>
        <v>1.7</v>
      </c>
      <c r="H363" s="4">
        <f t="shared" si="373"/>
        <v>3.8630000000000001E-3</v>
      </c>
      <c r="I363" s="2">
        <f t="shared" si="374"/>
        <v>5.8690224409448807E-2</v>
      </c>
      <c r="J363" s="4">
        <f t="shared" si="375"/>
        <v>9.0382945590551225E-2</v>
      </c>
      <c r="K363" s="4">
        <f t="shared" si="376"/>
        <v>0.14907317000000003</v>
      </c>
      <c r="L363" s="13">
        <f t="shared" si="377"/>
        <v>0.6493506493506489</v>
      </c>
      <c r="M363" s="3"/>
      <c r="N363" s="3"/>
    </row>
    <row r="364" spans="1:14" x14ac:dyDescent="0.2">
      <c r="A364" s="22">
        <v>488553</v>
      </c>
      <c r="B364" s="4">
        <v>100</v>
      </c>
      <c r="C364" s="4">
        <v>8</v>
      </c>
      <c r="D364" s="33">
        <v>4.8499999999999996</v>
      </c>
      <c r="E364" s="23">
        <v>2.85</v>
      </c>
      <c r="F364" s="23">
        <f t="shared" si="271"/>
        <v>4.8499999999999996</v>
      </c>
      <c r="G364" s="23">
        <f t="shared" si="272"/>
        <v>2.85</v>
      </c>
      <c r="H364" s="4">
        <f t="shared" si="373"/>
        <v>3.8630000000000001E-3</v>
      </c>
      <c r="I364" s="2">
        <f t="shared" si="374"/>
        <v>0.1380946456692913</v>
      </c>
      <c r="J364" s="4">
        <f t="shared" si="375"/>
        <v>0.11182213933070873</v>
      </c>
      <c r="K364" s="4">
        <f t="shared" si="376"/>
        <v>0.24991678500000003</v>
      </c>
      <c r="L364" s="13">
        <f t="shared" si="377"/>
        <v>1.2349490583513421</v>
      </c>
      <c r="M364" s="3">
        <f t="shared" ref="M364" si="394">AVERAGE(I364:I365)</f>
        <v>0.13118991338582675</v>
      </c>
      <c r="N364" s="3">
        <f t="shared" ref="N364" si="395">AVERAGE(J364:J365)</f>
        <v>0.10557335661417327</v>
      </c>
    </row>
    <row r="365" spans="1:14" x14ac:dyDescent="0.2">
      <c r="A365" s="22"/>
      <c r="B365" s="4">
        <v>100</v>
      </c>
      <c r="C365" s="4">
        <v>8</v>
      </c>
      <c r="D365" s="33">
        <v>4.3499999999999996</v>
      </c>
      <c r="E365" s="23">
        <v>2.5499999999999998</v>
      </c>
      <c r="F365" s="23">
        <f t="shared" si="271"/>
        <v>4.3499999999999996</v>
      </c>
      <c r="G365" s="23">
        <f t="shared" si="272"/>
        <v>2.5499999999999998</v>
      </c>
      <c r="H365" s="4">
        <f t="shared" si="373"/>
        <v>3.8630000000000001E-3</v>
      </c>
      <c r="I365" s="2">
        <f t="shared" si="374"/>
        <v>0.12428518110236218</v>
      </c>
      <c r="J365" s="4">
        <f t="shared" si="375"/>
        <v>9.9324573897637838E-2</v>
      </c>
      <c r="K365" s="4">
        <f t="shared" si="376"/>
        <v>0.22360975500000002</v>
      </c>
      <c r="L365" s="13">
        <f t="shared" si="377"/>
        <v>1.2513034410844621</v>
      </c>
      <c r="M365" s="3"/>
      <c r="N365" s="3"/>
    </row>
    <row r="366" spans="1:14" x14ac:dyDescent="0.2">
      <c r="A366" s="22">
        <v>488554</v>
      </c>
      <c r="B366" s="4">
        <v>100</v>
      </c>
      <c r="C366" s="4">
        <v>6</v>
      </c>
      <c r="D366" s="33">
        <v>7</v>
      </c>
      <c r="E366" s="23">
        <v>3.25</v>
      </c>
      <c r="F366" s="23">
        <f t="shared" si="271"/>
        <v>7</v>
      </c>
      <c r="G366" s="23">
        <f t="shared" si="272"/>
        <v>3.25</v>
      </c>
      <c r="H366" s="4">
        <f t="shared" si="373"/>
        <v>3.5767E-2</v>
      </c>
      <c r="I366" s="2">
        <f t="shared" si="374"/>
        <v>2.3973747047244096</v>
      </c>
      <c r="J366" s="4">
        <f t="shared" si="375"/>
        <v>0.24133572027559122</v>
      </c>
      <c r="K366" s="4">
        <f t="shared" si="376"/>
        <v>2.6387104250000006</v>
      </c>
      <c r="L366" s="13">
        <f t="shared" si="377"/>
        <v>9.9337748344370596</v>
      </c>
      <c r="M366" s="3">
        <f t="shared" ref="M366" si="396">AVERAGE(I366:I367)</f>
        <v>2.4133572027559058</v>
      </c>
      <c r="N366" s="3">
        <f t="shared" ref="N366" si="397">AVERAGE(J366:J367)</f>
        <v>0.22535322224409518</v>
      </c>
    </row>
    <row r="367" spans="1:14" x14ac:dyDescent="0.2">
      <c r="A367" s="22"/>
      <c r="B367" s="4">
        <v>100</v>
      </c>
      <c r="C367" s="4">
        <v>6</v>
      </c>
      <c r="D367" s="33">
        <v>7.05</v>
      </c>
      <c r="E367" s="23">
        <v>3.25</v>
      </c>
      <c r="F367" s="23">
        <f t="shared" si="271"/>
        <v>7.05</v>
      </c>
      <c r="G367" s="23">
        <f t="shared" si="272"/>
        <v>3.25</v>
      </c>
      <c r="H367" s="4">
        <f t="shared" si="373"/>
        <v>3.5767E-2</v>
      </c>
      <c r="I367" s="2">
        <f t="shared" si="374"/>
        <v>2.4293397007874016</v>
      </c>
      <c r="J367" s="4">
        <f t="shared" si="375"/>
        <v>0.20937072421259914</v>
      </c>
      <c r="K367" s="4">
        <f t="shared" si="376"/>
        <v>2.6387104250000006</v>
      </c>
      <c r="L367" s="13">
        <f t="shared" si="377"/>
        <v>11.603053435114465</v>
      </c>
      <c r="M367" s="3"/>
      <c r="N367" s="3"/>
    </row>
    <row r="368" spans="1:14" x14ac:dyDescent="0.2">
      <c r="A368" s="22">
        <v>488555</v>
      </c>
      <c r="B368" s="4">
        <v>100</v>
      </c>
      <c r="C368" s="4">
        <v>6</v>
      </c>
      <c r="D368" s="33">
        <v>5.3</v>
      </c>
      <c r="E368" s="23">
        <v>2.5</v>
      </c>
      <c r="F368" s="23">
        <f t="shared" si="271"/>
        <v>5.3</v>
      </c>
      <c r="G368" s="23">
        <f t="shared" si="272"/>
        <v>2.5</v>
      </c>
      <c r="H368" s="4">
        <f t="shared" si="373"/>
        <v>3.5767E-2</v>
      </c>
      <c r="I368" s="2">
        <f t="shared" si="374"/>
        <v>1.7900397795275591</v>
      </c>
      <c r="J368" s="4">
        <f t="shared" si="375"/>
        <v>0.23973747047244121</v>
      </c>
      <c r="K368" s="4">
        <f t="shared" si="376"/>
        <v>2.0297772500000004</v>
      </c>
      <c r="L368" s="13">
        <f t="shared" si="377"/>
        <v>7.4666666666666588</v>
      </c>
      <c r="M368" s="3">
        <f t="shared" ref="M368" si="398">AVERAGE(I368:I369)</f>
        <v>1.7740572814960629</v>
      </c>
      <c r="N368" s="3">
        <f t="shared" ref="N368" si="399">AVERAGE(J368:J369)</f>
        <v>0.29631551350393714</v>
      </c>
    </row>
    <row r="369" spans="1:14" x14ac:dyDescent="0.2">
      <c r="A369" s="22"/>
      <c r="B369" s="4">
        <v>100</v>
      </c>
      <c r="C369" s="4">
        <v>6</v>
      </c>
      <c r="D369" s="33">
        <v>5.35</v>
      </c>
      <c r="E369" s="23">
        <v>2.6</v>
      </c>
      <c r="F369" s="23">
        <f t="shared" si="271"/>
        <v>5.35</v>
      </c>
      <c r="G369" s="23">
        <f t="shared" si="272"/>
        <v>2.6</v>
      </c>
      <c r="H369" s="4">
        <f t="shared" si="373"/>
        <v>3.5767E-2</v>
      </c>
      <c r="I369" s="2">
        <f t="shared" si="374"/>
        <v>1.7580747834645669</v>
      </c>
      <c r="J369" s="4">
        <f t="shared" si="375"/>
        <v>0.35289355653543303</v>
      </c>
      <c r="K369" s="4">
        <f t="shared" si="376"/>
        <v>2.1109683399999999</v>
      </c>
      <c r="L369" s="13">
        <f t="shared" si="377"/>
        <v>4.9818840579710146</v>
      </c>
      <c r="M369" s="3"/>
      <c r="N369" s="3"/>
    </row>
    <row r="370" spans="1:14" x14ac:dyDescent="0.2">
      <c r="A370" s="22">
        <v>488556</v>
      </c>
      <c r="B370" s="4">
        <v>100</v>
      </c>
      <c r="C370" s="4">
        <v>6</v>
      </c>
      <c r="D370" s="33">
        <v>3.15</v>
      </c>
      <c r="E370" s="23">
        <v>1.5</v>
      </c>
      <c r="F370" s="23">
        <f t="shared" si="271"/>
        <v>3.15</v>
      </c>
      <c r="G370" s="23">
        <f t="shared" si="272"/>
        <v>1.5</v>
      </c>
      <c r="H370" s="4">
        <f t="shared" si="373"/>
        <v>3.5767E-2</v>
      </c>
      <c r="I370" s="2">
        <f t="shared" si="374"/>
        <v>1.0548448700787403</v>
      </c>
      <c r="J370" s="4">
        <f t="shared" si="375"/>
        <v>0.16302147992125993</v>
      </c>
      <c r="K370" s="4">
        <f t="shared" si="376"/>
        <v>1.2178663500000002</v>
      </c>
      <c r="L370" s="13">
        <f t="shared" si="377"/>
        <v>6.4705882352941151</v>
      </c>
      <c r="M370" s="3">
        <f t="shared" ref="M370" si="400">AVERAGE(I370:I371)</f>
        <v>1.0708273681102363</v>
      </c>
      <c r="N370" s="3">
        <f t="shared" ref="N370" si="401">AVERAGE(J370:J371)</f>
        <v>0.16733675438976381</v>
      </c>
    </row>
    <row r="371" spans="1:14" x14ac:dyDescent="0.2">
      <c r="A371" s="22"/>
      <c r="B371" s="4">
        <v>100</v>
      </c>
      <c r="C371" s="4">
        <v>6</v>
      </c>
      <c r="D371" s="33">
        <v>3.25</v>
      </c>
      <c r="E371" s="23">
        <v>1.55</v>
      </c>
      <c r="F371" s="23">
        <f t="shared" si="271"/>
        <v>3.25</v>
      </c>
      <c r="G371" s="23">
        <f t="shared" si="272"/>
        <v>1.55</v>
      </c>
      <c r="H371" s="4">
        <f t="shared" si="373"/>
        <v>3.5767E-2</v>
      </c>
      <c r="I371" s="2">
        <f t="shared" si="374"/>
        <v>1.0868098661417323</v>
      </c>
      <c r="J371" s="4">
        <f t="shared" si="375"/>
        <v>0.17165202885826769</v>
      </c>
      <c r="K371" s="4">
        <f t="shared" si="376"/>
        <v>1.2584618949999999</v>
      </c>
      <c r="L371" s="13">
        <f t="shared" si="377"/>
        <v>6.3314711359404106</v>
      </c>
      <c r="M371" s="3"/>
      <c r="N371" s="3"/>
    </row>
    <row r="372" spans="1:14" x14ac:dyDescent="0.2">
      <c r="A372" s="22">
        <v>488557</v>
      </c>
      <c r="B372" s="4">
        <v>100</v>
      </c>
      <c r="C372" s="4">
        <v>6</v>
      </c>
      <c r="D372" s="33">
        <v>2.75</v>
      </c>
      <c r="E372" s="23">
        <v>1.3</v>
      </c>
      <c r="F372" s="23">
        <f t="shared" si="271"/>
        <v>2.75</v>
      </c>
      <c r="G372" s="23">
        <f t="shared" si="272"/>
        <v>1.3</v>
      </c>
      <c r="H372" s="4">
        <f t="shared" si="373"/>
        <v>3.5767E-2</v>
      </c>
      <c r="I372" s="2">
        <f t="shared" si="374"/>
        <v>0.92698488582677174</v>
      </c>
      <c r="J372" s="4">
        <f t="shared" si="375"/>
        <v>0.12849928417322842</v>
      </c>
      <c r="K372" s="4">
        <f t="shared" si="376"/>
        <v>1.0554841700000002</v>
      </c>
      <c r="L372" s="13">
        <f t="shared" si="377"/>
        <v>7.2139303482587032</v>
      </c>
      <c r="M372" s="3">
        <f t="shared" ref="M372" si="402">AVERAGE(I372:I373)</f>
        <v>0.95894988188976371</v>
      </c>
      <c r="N372" s="3">
        <f t="shared" ref="N372" si="403">AVERAGE(J372:J373)</f>
        <v>0.11683206061023628</v>
      </c>
    </row>
    <row r="373" spans="1:14" x14ac:dyDescent="0.2">
      <c r="A373" s="22"/>
      <c r="B373" s="4">
        <v>100</v>
      </c>
      <c r="C373" s="4">
        <v>6</v>
      </c>
      <c r="D373" s="33">
        <v>2.9</v>
      </c>
      <c r="E373" s="23">
        <v>1.35</v>
      </c>
      <c r="F373" s="23">
        <f t="shared" si="271"/>
        <v>2.9</v>
      </c>
      <c r="G373" s="23">
        <f t="shared" si="272"/>
        <v>1.35</v>
      </c>
      <c r="H373" s="4">
        <f t="shared" si="373"/>
        <v>3.5767E-2</v>
      </c>
      <c r="I373" s="2">
        <f t="shared" si="374"/>
        <v>0.99091487795275579</v>
      </c>
      <c r="J373" s="4">
        <f t="shared" si="375"/>
        <v>0.10516483704724414</v>
      </c>
      <c r="K373" s="4">
        <f t="shared" si="376"/>
        <v>1.0960797149999999</v>
      </c>
      <c r="L373" s="13">
        <f t="shared" si="377"/>
        <v>9.4224924012158002</v>
      </c>
      <c r="M373" s="3"/>
      <c r="N373" s="3"/>
    </row>
    <row r="374" spans="1:14" x14ac:dyDescent="0.2">
      <c r="A374" s="22">
        <v>488559</v>
      </c>
      <c r="B374" s="4">
        <v>100</v>
      </c>
      <c r="C374" s="4">
        <v>8</v>
      </c>
      <c r="D374" s="34">
        <v>4.25</v>
      </c>
      <c r="E374" s="23">
        <v>2.6</v>
      </c>
      <c r="F374" s="23">
        <f t="shared" si="271"/>
        <v>4.25</v>
      </c>
      <c r="G374" s="23">
        <f t="shared" si="272"/>
        <v>2.6</v>
      </c>
      <c r="H374" s="4">
        <f t="shared" si="373"/>
        <v>3.8630000000000001E-3</v>
      </c>
      <c r="I374" s="2">
        <f t="shared" si="374"/>
        <v>0.11392808267716535</v>
      </c>
      <c r="J374" s="4">
        <f t="shared" si="375"/>
        <v>0.11406617732283462</v>
      </c>
      <c r="K374" s="4">
        <f t="shared" si="376"/>
        <v>0.22799425999999998</v>
      </c>
      <c r="L374" s="13">
        <f t="shared" si="377"/>
        <v>0.99878934624697358</v>
      </c>
      <c r="M374" s="3">
        <f t="shared" ref="M374" si="404">AVERAGE(I374:I375)</f>
        <v>8.8035336614173218E-2</v>
      </c>
      <c r="N374" s="3">
        <f t="shared" ref="N374" si="405">AVERAGE(J374:J375)</f>
        <v>9.8306125885826781E-2</v>
      </c>
    </row>
    <row r="375" spans="1:14" x14ac:dyDescent="0.2">
      <c r="A375" s="22"/>
      <c r="B375" s="4">
        <v>100</v>
      </c>
      <c r="C375" s="4">
        <v>8</v>
      </c>
      <c r="D375" s="33">
        <v>2.5499999999999998</v>
      </c>
      <c r="E375" s="23">
        <v>1.65</v>
      </c>
      <c r="F375" s="23">
        <f t="shared" si="271"/>
        <v>2.5499999999999998</v>
      </c>
      <c r="G375" s="23">
        <f t="shared" si="272"/>
        <v>1.65</v>
      </c>
      <c r="H375" s="4">
        <f t="shared" si="373"/>
        <v>3.8630000000000001E-3</v>
      </c>
      <c r="I375" s="2">
        <f t="shared" si="374"/>
        <v>6.2142590551181091E-2</v>
      </c>
      <c r="J375" s="4">
        <f t="shared" si="375"/>
        <v>8.2546074448818937E-2</v>
      </c>
      <c r="K375" s="4">
        <f t="shared" si="376"/>
        <v>0.14468866500000002</v>
      </c>
      <c r="L375" s="13">
        <f t="shared" si="377"/>
        <v>0.75282308657465447</v>
      </c>
      <c r="M375" s="3"/>
      <c r="N375" s="3"/>
    </row>
    <row r="376" spans="1:14" x14ac:dyDescent="0.2">
      <c r="A376" s="22">
        <v>488560</v>
      </c>
      <c r="B376" s="4">
        <v>100</v>
      </c>
      <c r="C376" s="4">
        <v>8</v>
      </c>
      <c r="D376" s="33">
        <v>3</v>
      </c>
      <c r="E376" s="23">
        <v>1.85</v>
      </c>
      <c r="F376" s="23">
        <f t="shared" si="271"/>
        <v>3</v>
      </c>
      <c r="G376" s="23">
        <f t="shared" si="272"/>
        <v>1.85</v>
      </c>
      <c r="H376" s="4">
        <f t="shared" si="373"/>
        <v>3.8630000000000001E-3</v>
      </c>
      <c r="I376" s="2">
        <f t="shared" si="374"/>
        <v>7.9404421259842511E-2</v>
      </c>
      <c r="J376" s="4">
        <f t="shared" si="375"/>
        <v>8.2822263740157512E-2</v>
      </c>
      <c r="K376" s="4">
        <f t="shared" si="376"/>
        <v>0.16222668500000004</v>
      </c>
      <c r="L376" s="13">
        <f t="shared" si="377"/>
        <v>0.95873280533555605</v>
      </c>
      <c r="M376" s="3">
        <f t="shared" ref="M376" si="406">AVERAGE(I376:I377)</f>
        <v>8.2856787401574802E-2</v>
      </c>
      <c r="N376" s="3">
        <f t="shared" ref="N376" si="407">AVERAGE(J376:J377)</f>
        <v>9.2523412598425211E-2</v>
      </c>
    </row>
    <row r="377" spans="1:14" x14ac:dyDescent="0.2">
      <c r="A377" s="22"/>
      <c r="B377" s="4">
        <v>100</v>
      </c>
      <c r="C377" s="4">
        <v>8</v>
      </c>
      <c r="D377" s="33">
        <v>3.4</v>
      </c>
      <c r="E377" s="23">
        <v>2.15</v>
      </c>
      <c r="F377" s="23">
        <f t="shared" si="271"/>
        <v>3.4</v>
      </c>
      <c r="G377" s="23">
        <f t="shared" si="272"/>
        <v>2.15</v>
      </c>
      <c r="H377" s="4">
        <f t="shared" si="373"/>
        <v>3.8630000000000001E-3</v>
      </c>
      <c r="I377" s="2">
        <f t="shared" si="374"/>
        <v>8.6309153543307093E-2</v>
      </c>
      <c r="J377" s="4">
        <f t="shared" si="375"/>
        <v>0.10222456145669291</v>
      </c>
      <c r="K377" s="4">
        <f t="shared" si="376"/>
        <v>0.18853371499999999</v>
      </c>
      <c r="L377" s="13">
        <f t="shared" si="377"/>
        <v>0.84430935494765291</v>
      </c>
      <c r="M377" s="3"/>
      <c r="N377" s="3"/>
    </row>
    <row r="378" spans="1:14" x14ac:dyDescent="0.2">
      <c r="A378" s="22">
        <v>488561</v>
      </c>
      <c r="B378" s="4">
        <v>100</v>
      </c>
      <c r="C378" s="4">
        <v>8</v>
      </c>
      <c r="D378" s="33">
        <v>3.35</v>
      </c>
      <c r="E378" s="23">
        <v>2.25</v>
      </c>
      <c r="F378" s="23">
        <f t="shared" si="271"/>
        <v>3.35</v>
      </c>
      <c r="G378" s="23">
        <f t="shared" si="272"/>
        <v>2.25</v>
      </c>
      <c r="H378" s="4">
        <f t="shared" si="373"/>
        <v>3.8630000000000001E-3</v>
      </c>
      <c r="I378" s="2">
        <f t="shared" si="374"/>
        <v>7.5952055118110248E-2</v>
      </c>
      <c r="J378" s="4">
        <f t="shared" si="375"/>
        <v>0.12135066988188975</v>
      </c>
      <c r="K378" s="4">
        <f t="shared" si="376"/>
        <v>0.19730272500000001</v>
      </c>
      <c r="L378" s="13">
        <f t="shared" si="377"/>
        <v>0.62588904694167868</v>
      </c>
      <c r="M378" s="3">
        <f t="shared" ref="M378" si="408">AVERAGE(I378:I379)</f>
        <v>6.3868773622047237E-2</v>
      </c>
      <c r="N378" s="3">
        <f t="shared" ref="N378" si="409">AVERAGE(J378:J379)</f>
        <v>0.11370367887795277</v>
      </c>
    </row>
    <row r="379" spans="1:14" x14ac:dyDescent="0.2">
      <c r="A379" s="22"/>
      <c r="B379" s="4">
        <v>100</v>
      </c>
      <c r="C379" s="4">
        <v>8</v>
      </c>
      <c r="D379" s="33">
        <v>2.5499999999999998</v>
      </c>
      <c r="E379" s="23">
        <v>1.8</v>
      </c>
      <c r="F379" s="23">
        <f t="shared" si="271"/>
        <v>2.5499999999999998</v>
      </c>
      <c r="G379" s="23">
        <f t="shared" si="272"/>
        <v>1.8</v>
      </c>
      <c r="H379" s="4">
        <f t="shared" si="373"/>
        <v>3.8630000000000001E-3</v>
      </c>
      <c r="I379" s="2">
        <f t="shared" si="374"/>
        <v>5.1785492125984239E-2</v>
      </c>
      <c r="J379" s="4">
        <f t="shared" si="375"/>
        <v>0.10605668787401579</v>
      </c>
      <c r="K379" s="4">
        <f t="shared" si="376"/>
        <v>0.15784218000000003</v>
      </c>
      <c r="L379" s="13">
        <f t="shared" si="377"/>
        <v>0.48828124999999972</v>
      </c>
      <c r="M379" s="3"/>
      <c r="N379" s="3"/>
    </row>
    <row r="380" spans="1:14" x14ac:dyDescent="0.2">
      <c r="A380" s="22">
        <v>488562</v>
      </c>
      <c r="B380" s="4">
        <v>100</v>
      </c>
      <c r="C380" s="4">
        <v>8</v>
      </c>
      <c r="D380" s="33">
        <v>4.4000000000000004</v>
      </c>
      <c r="E380" s="23">
        <v>2.65</v>
      </c>
      <c r="F380" s="23">
        <f t="shared" si="271"/>
        <v>4.4000000000000004</v>
      </c>
      <c r="G380" s="23">
        <f t="shared" si="272"/>
        <v>2.65</v>
      </c>
      <c r="H380" s="4">
        <f t="shared" si="373"/>
        <v>3.8630000000000001E-3</v>
      </c>
      <c r="I380" s="2">
        <f t="shared" si="374"/>
        <v>0.12083281496062996</v>
      </c>
      <c r="J380" s="4">
        <f t="shared" si="375"/>
        <v>0.11154595003937003</v>
      </c>
      <c r="K380" s="4">
        <f t="shared" si="376"/>
        <v>0.23237876499999999</v>
      </c>
      <c r="L380" s="13">
        <f t="shared" si="377"/>
        <v>1.0832559579077694</v>
      </c>
      <c r="M380" s="3">
        <f t="shared" ref="M380" si="410">AVERAGE(I380:I381)</f>
        <v>0.13464227952755908</v>
      </c>
      <c r="N380" s="3">
        <f t="shared" ref="N380" si="411">AVERAGE(J380:J381)</f>
        <v>0.10869774797244092</v>
      </c>
    </row>
    <row r="381" spans="1:14" x14ac:dyDescent="0.2">
      <c r="A381" s="22"/>
      <c r="B381" s="4">
        <v>100</v>
      </c>
      <c r="C381" s="4">
        <v>8</v>
      </c>
      <c r="D381" s="33">
        <v>5.05</v>
      </c>
      <c r="E381" s="23">
        <v>2.9</v>
      </c>
      <c r="F381" s="23">
        <f t="shared" si="271"/>
        <v>5.05</v>
      </c>
      <c r="G381" s="23">
        <f t="shared" si="272"/>
        <v>2.9</v>
      </c>
      <c r="H381" s="4">
        <f t="shared" si="373"/>
        <v>3.8630000000000001E-3</v>
      </c>
      <c r="I381" s="2">
        <f t="shared" si="374"/>
        <v>0.14845174409448819</v>
      </c>
      <c r="J381" s="4">
        <f t="shared" si="375"/>
        <v>0.10584954590551182</v>
      </c>
      <c r="K381" s="4">
        <f t="shared" si="376"/>
        <v>0.25430129000000001</v>
      </c>
      <c r="L381" s="13">
        <f t="shared" si="377"/>
        <v>1.4024787997390735</v>
      </c>
      <c r="M381" s="3"/>
      <c r="N381" s="3"/>
    </row>
    <row r="382" spans="1:14" x14ac:dyDescent="0.2">
      <c r="A382" s="22">
        <v>488563</v>
      </c>
      <c r="B382" s="4">
        <v>100</v>
      </c>
      <c r="C382" s="4">
        <v>6</v>
      </c>
      <c r="D382" s="33">
        <v>5.7</v>
      </c>
      <c r="E382" s="23">
        <v>2.85</v>
      </c>
      <c r="F382" s="23">
        <f t="shared" si="271"/>
        <v>5.7</v>
      </c>
      <c r="G382" s="23">
        <f t="shared" si="272"/>
        <v>2.85</v>
      </c>
      <c r="H382" s="4">
        <f t="shared" si="373"/>
        <v>3.5767E-2</v>
      </c>
      <c r="I382" s="2">
        <f t="shared" si="374"/>
        <v>1.8220047755905515</v>
      </c>
      <c r="J382" s="4">
        <f t="shared" si="375"/>
        <v>0.49194128940944887</v>
      </c>
      <c r="K382" s="4">
        <f t="shared" si="376"/>
        <v>2.3139460650000006</v>
      </c>
      <c r="L382" s="13">
        <f t="shared" si="377"/>
        <v>3.7037037037037042</v>
      </c>
      <c r="M382" s="3">
        <f t="shared" ref="M382" si="412">AVERAGE(I382:I383)</f>
        <v>1.8220047755905513</v>
      </c>
      <c r="N382" s="3">
        <f t="shared" ref="N382" si="413">AVERAGE(J382:J383)</f>
        <v>0.4310479719094491</v>
      </c>
    </row>
    <row r="383" spans="1:14" x14ac:dyDescent="0.2">
      <c r="A383" s="22"/>
      <c r="B383" s="4">
        <v>100</v>
      </c>
      <c r="C383" s="4">
        <v>6</v>
      </c>
      <c r="D383" s="33">
        <v>5.55</v>
      </c>
      <c r="E383" s="23">
        <v>2.7</v>
      </c>
      <c r="F383" s="23">
        <f t="shared" si="271"/>
        <v>5.55</v>
      </c>
      <c r="G383" s="23">
        <f t="shared" si="272"/>
        <v>2.7</v>
      </c>
      <c r="H383" s="4">
        <f t="shared" si="373"/>
        <v>3.5767E-2</v>
      </c>
      <c r="I383" s="2">
        <f t="shared" si="374"/>
        <v>1.8220047755905511</v>
      </c>
      <c r="J383" s="4">
        <f t="shared" si="375"/>
        <v>0.37015465440944939</v>
      </c>
      <c r="K383" s="4">
        <f t="shared" si="376"/>
        <v>2.1921594300000002</v>
      </c>
      <c r="L383" s="13">
        <f t="shared" si="377"/>
        <v>4.9222797927461057</v>
      </c>
      <c r="M383" s="3"/>
      <c r="N383" s="3"/>
    </row>
    <row r="384" spans="1:14" x14ac:dyDescent="0.2">
      <c r="A384" s="22">
        <v>488564</v>
      </c>
      <c r="B384" s="4">
        <v>100</v>
      </c>
      <c r="C384" s="4">
        <v>6</v>
      </c>
      <c r="D384" s="33">
        <v>3.15</v>
      </c>
      <c r="E384" s="23">
        <v>1.5</v>
      </c>
      <c r="F384" s="23">
        <f t="shared" si="271"/>
        <v>3.15</v>
      </c>
      <c r="G384" s="23">
        <f t="shared" si="272"/>
        <v>1.5</v>
      </c>
      <c r="H384" s="4">
        <f t="shared" si="373"/>
        <v>3.5767E-2</v>
      </c>
      <c r="I384" s="2">
        <f t="shared" si="374"/>
        <v>1.0548448700787403</v>
      </c>
      <c r="J384" s="4">
        <f t="shared" si="375"/>
        <v>0.16302147992125993</v>
      </c>
      <c r="K384" s="4">
        <f t="shared" si="376"/>
        <v>1.2178663500000002</v>
      </c>
      <c r="L384" s="13">
        <f t="shared" si="377"/>
        <v>6.4705882352941151</v>
      </c>
      <c r="M384" s="3">
        <f t="shared" ref="M384" si="414">AVERAGE(I384:I385)</f>
        <v>1.0868098661417323</v>
      </c>
      <c r="N384" s="3">
        <f t="shared" ref="N384" si="415">AVERAGE(J384:J385)</f>
        <v>0.19194980135826781</v>
      </c>
    </row>
    <row r="385" spans="1:14" x14ac:dyDescent="0.2">
      <c r="A385" s="22"/>
      <c r="B385" s="4">
        <v>100</v>
      </c>
      <c r="C385" s="4">
        <v>6</v>
      </c>
      <c r="D385" s="33">
        <v>3.4</v>
      </c>
      <c r="E385" s="23">
        <v>1.65</v>
      </c>
      <c r="F385" s="23">
        <f t="shared" si="271"/>
        <v>3.4</v>
      </c>
      <c r="G385" s="23">
        <f t="shared" si="272"/>
        <v>1.65</v>
      </c>
      <c r="H385" s="4">
        <f t="shared" si="373"/>
        <v>3.5767E-2</v>
      </c>
      <c r="I385" s="2">
        <f t="shared" si="374"/>
        <v>1.1187748622047244</v>
      </c>
      <c r="J385" s="4">
        <f t="shared" si="375"/>
        <v>0.22087812279527569</v>
      </c>
      <c r="K385" s="4">
        <f t="shared" si="376"/>
        <v>1.3396529850000001</v>
      </c>
      <c r="L385" s="13">
        <f t="shared" si="377"/>
        <v>5.065123010130244</v>
      </c>
      <c r="M385" s="3"/>
      <c r="N385" s="3"/>
    </row>
    <row r="386" spans="1:14" x14ac:dyDescent="0.2">
      <c r="A386" s="22">
        <v>488565</v>
      </c>
      <c r="B386" s="4">
        <v>100</v>
      </c>
      <c r="C386" s="4">
        <v>6</v>
      </c>
      <c r="D386" s="33">
        <v>2.2000000000000002</v>
      </c>
      <c r="E386" s="23">
        <v>1.05</v>
      </c>
      <c r="F386" s="23">
        <f t="shared" si="271"/>
        <v>2.2000000000000002</v>
      </c>
      <c r="G386" s="23">
        <f t="shared" si="272"/>
        <v>1.05</v>
      </c>
      <c r="H386" s="4">
        <f t="shared" si="373"/>
        <v>3.5767E-2</v>
      </c>
      <c r="I386" s="2">
        <f t="shared" si="374"/>
        <v>0.73519490944881893</v>
      </c>
      <c r="J386" s="4">
        <f t="shared" si="375"/>
        <v>0.117311535551181</v>
      </c>
      <c r="K386" s="4">
        <f t="shared" si="376"/>
        <v>0.85250644499999995</v>
      </c>
      <c r="L386" s="13">
        <f t="shared" si="377"/>
        <v>6.2670299727520495</v>
      </c>
      <c r="M386" s="3">
        <f t="shared" ref="M386" si="416">AVERAGE(I386:I387)</f>
        <v>0.73519490944881893</v>
      </c>
      <c r="N386" s="3">
        <f t="shared" ref="N386" si="417">AVERAGE(J386:J387)</f>
        <v>0.117311535551181</v>
      </c>
    </row>
    <row r="387" spans="1:14" x14ac:dyDescent="0.2">
      <c r="A387" s="22"/>
      <c r="B387" s="4">
        <v>100</v>
      </c>
      <c r="C387" s="4">
        <v>6</v>
      </c>
      <c r="D387" s="33">
        <v>2.2000000000000002</v>
      </c>
      <c r="E387" s="23">
        <v>1.05</v>
      </c>
      <c r="F387" s="23">
        <f t="shared" si="271"/>
        <v>2.2000000000000002</v>
      </c>
      <c r="G387" s="23">
        <f t="shared" si="272"/>
        <v>1.05</v>
      </c>
      <c r="H387" s="4">
        <f t="shared" si="373"/>
        <v>3.5767E-2</v>
      </c>
      <c r="I387" s="2">
        <f t="shared" si="374"/>
        <v>0.73519490944881893</v>
      </c>
      <c r="J387" s="4">
        <f t="shared" si="375"/>
        <v>0.117311535551181</v>
      </c>
      <c r="K387" s="4">
        <f t="shared" si="376"/>
        <v>0.85250644499999995</v>
      </c>
      <c r="L387" s="13">
        <f t="shared" si="377"/>
        <v>6.2670299727520495</v>
      </c>
      <c r="M387" s="3"/>
      <c r="N387" s="3"/>
    </row>
    <row r="388" spans="1:14" x14ac:dyDescent="0.2">
      <c r="A388" s="22">
        <v>488566</v>
      </c>
      <c r="B388" s="4">
        <v>100</v>
      </c>
      <c r="C388" s="4">
        <v>7</v>
      </c>
      <c r="D388" s="33">
        <v>5.8</v>
      </c>
      <c r="E388" s="23">
        <v>2.8</v>
      </c>
      <c r="F388" s="23">
        <f t="shared" si="271"/>
        <v>5.8</v>
      </c>
      <c r="G388" s="23">
        <f t="shared" si="272"/>
        <v>2.8</v>
      </c>
      <c r="H388" s="4">
        <f t="shared" si="373"/>
        <v>9.7450000000000002E-3</v>
      </c>
      <c r="I388" s="2">
        <f t="shared" si="374"/>
        <v>0.52254685039370086</v>
      </c>
      <c r="J388" s="4">
        <f t="shared" si="375"/>
        <v>9.6845349606299133E-2</v>
      </c>
      <c r="K388" s="4">
        <f t="shared" si="376"/>
        <v>0.61939219999999995</v>
      </c>
      <c r="L388" s="13">
        <f t="shared" si="377"/>
        <v>5.3956834532374156</v>
      </c>
      <c r="M388" s="3">
        <f t="shared" ref="M388" si="418">AVERAGE(I388:I389)</f>
        <v>0.52254685039370086</v>
      </c>
      <c r="N388" s="3">
        <f t="shared" ref="N388" si="419">AVERAGE(J388:J389)</f>
        <v>9.6845349606299133E-2</v>
      </c>
    </row>
    <row r="389" spans="1:14" x14ac:dyDescent="0.2">
      <c r="A389" s="22"/>
      <c r="B389" s="4">
        <v>100</v>
      </c>
      <c r="C389" s="4">
        <v>7</v>
      </c>
      <c r="D389" s="33">
        <v>5.8</v>
      </c>
      <c r="E389" s="23">
        <v>2.8</v>
      </c>
      <c r="F389" s="23">
        <f t="shared" si="271"/>
        <v>5.8</v>
      </c>
      <c r="G389" s="23">
        <f t="shared" si="272"/>
        <v>2.8</v>
      </c>
      <c r="H389" s="4">
        <f t="shared" si="373"/>
        <v>9.7450000000000002E-3</v>
      </c>
      <c r="I389" s="2">
        <f t="shared" si="374"/>
        <v>0.52254685039370086</v>
      </c>
      <c r="J389" s="4">
        <f t="shared" si="375"/>
        <v>9.6845349606299133E-2</v>
      </c>
      <c r="K389" s="4">
        <f t="shared" si="376"/>
        <v>0.61939219999999995</v>
      </c>
      <c r="L389" s="13">
        <f t="shared" si="377"/>
        <v>5.3956834532374156</v>
      </c>
      <c r="M389" s="3"/>
      <c r="N389" s="3"/>
    </row>
    <row r="390" spans="1:14" x14ac:dyDescent="0.2">
      <c r="A390" s="22">
        <v>488567</v>
      </c>
      <c r="B390" s="4">
        <v>100</v>
      </c>
      <c r="C390" s="4">
        <v>7</v>
      </c>
      <c r="D390" s="33">
        <v>3.25</v>
      </c>
      <c r="E390" s="23">
        <v>1.6</v>
      </c>
      <c r="F390" s="23">
        <f t="shared" si="271"/>
        <v>3.25</v>
      </c>
      <c r="G390" s="23">
        <f t="shared" si="272"/>
        <v>1.6</v>
      </c>
      <c r="H390" s="4">
        <f t="shared" si="373"/>
        <v>9.7450000000000002E-3</v>
      </c>
      <c r="I390" s="2">
        <f t="shared" si="374"/>
        <v>0.28740076771653539</v>
      </c>
      <c r="J390" s="4">
        <f t="shared" si="375"/>
        <v>6.6537632283464598E-2</v>
      </c>
      <c r="K390" s="4">
        <f t="shared" si="376"/>
        <v>0.35393839999999999</v>
      </c>
      <c r="L390" s="13">
        <f t="shared" si="377"/>
        <v>4.3193717277486883</v>
      </c>
      <c r="M390" s="3">
        <f t="shared" ref="M390" si="420">AVERAGE(I390:I391)</f>
        <v>0.29610988188976378</v>
      </c>
      <c r="N390" s="3">
        <f t="shared" ref="N390" si="421">AVERAGE(J390:J391)</f>
        <v>7.4419380610236258E-2</v>
      </c>
    </row>
    <row r="391" spans="1:14" x14ac:dyDescent="0.2">
      <c r="A391" s="22"/>
      <c r="B391" s="4">
        <v>100</v>
      </c>
      <c r="C391" s="4">
        <v>7</v>
      </c>
      <c r="D391" s="33">
        <v>3.5</v>
      </c>
      <c r="E391" s="23">
        <v>1.75</v>
      </c>
      <c r="F391" s="23">
        <f t="shared" si="271"/>
        <v>3.5</v>
      </c>
      <c r="G391" s="23">
        <f t="shared" si="272"/>
        <v>1.75</v>
      </c>
      <c r="H391" s="4">
        <f t="shared" si="373"/>
        <v>9.7450000000000002E-3</v>
      </c>
      <c r="I391" s="2">
        <f t="shared" si="374"/>
        <v>0.30481899606299218</v>
      </c>
      <c r="J391" s="4">
        <f t="shared" si="375"/>
        <v>8.2301128937007917E-2</v>
      </c>
      <c r="K391" s="4">
        <f t="shared" si="376"/>
        <v>0.38712012500000009</v>
      </c>
      <c r="L391" s="13">
        <f t="shared" si="377"/>
        <v>3.7037037037037024</v>
      </c>
      <c r="M391" s="3"/>
      <c r="N391" s="3"/>
    </row>
    <row r="392" spans="1:14" x14ac:dyDescent="0.2">
      <c r="A392" s="22">
        <v>488569</v>
      </c>
      <c r="B392" s="4">
        <v>100</v>
      </c>
      <c r="C392" s="4">
        <v>8</v>
      </c>
      <c r="D392" s="33">
        <v>1.7</v>
      </c>
      <c r="E392" s="23">
        <v>1.1499999999999999</v>
      </c>
      <c r="F392" s="23">
        <f t="shared" si="271"/>
        <v>1.7</v>
      </c>
      <c r="G392" s="23">
        <f t="shared" si="272"/>
        <v>1.1499999999999999</v>
      </c>
      <c r="H392" s="4">
        <f t="shared" si="373"/>
        <v>3.8630000000000001E-3</v>
      </c>
      <c r="I392" s="2">
        <f t="shared" si="374"/>
        <v>3.7976027559055124E-2</v>
      </c>
      <c r="J392" s="4">
        <f t="shared" si="375"/>
        <v>6.2867587440944867E-2</v>
      </c>
      <c r="K392" s="4">
        <f t="shared" si="376"/>
        <v>0.100843615</v>
      </c>
      <c r="L392" s="13">
        <f t="shared" si="377"/>
        <v>0.60406370126304254</v>
      </c>
      <c r="M392" s="3">
        <f t="shared" ref="M392" si="422">AVERAGE(I392:I393)</f>
        <v>3.9702210629921256E-2</v>
      </c>
      <c r="N392" s="3">
        <f t="shared" ref="N392" si="423">AVERAGE(J392:J393)</f>
        <v>5.6756899370078731E-2</v>
      </c>
    </row>
    <row r="393" spans="1:14" x14ac:dyDescent="0.2">
      <c r="A393" s="22"/>
      <c r="B393" s="4">
        <v>100</v>
      </c>
      <c r="C393" s="4">
        <v>8</v>
      </c>
      <c r="D393" s="33">
        <v>1.65</v>
      </c>
      <c r="E393" s="23">
        <v>1.05</v>
      </c>
      <c r="F393" s="23">
        <f t="shared" si="271"/>
        <v>1.65</v>
      </c>
      <c r="G393" s="23">
        <f t="shared" si="272"/>
        <v>1.05</v>
      </c>
      <c r="H393" s="4">
        <f t="shared" si="373"/>
        <v>3.8630000000000001E-3</v>
      </c>
      <c r="I393" s="2">
        <f t="shared" si="374"/>
        <v>4.1428393700787387E-2</v>
      </c>
      <c r="J393" s="4">
        <f t="shared" si="375"/>
        <v>5.0646211299212603E-2</v>
      </c>
      <c r="K393" s="4">
        <f t="shared" si="376"/>
        <v>9.207460499999999E-2</v>
      </c>
      <c r="L393" s="13">
        <f t="shared" si="377"/>
        <v>0.81799591002044958</v>
      </c>
      <c r="M393" s="3"/>
      <c r="N393" s="3"/>
    </row>
    <row r="394" spans="1:14" x14ac:dyDescent="0.2">
      <c r="A394" s="22">
        <v>488570</v>
      </c>
      <c r="B394" s="4">
        <v>100</v>
      </c>
      <c r="C394" s="4">
        <v>8</v>
      </c>
      <c r="D394" s="33">
        <v>2</v>
      </c>
      <c r="E394" s="23">
        <v>1.4</v>
      </c>
      <c r="F394" s="23">
        <f t="shared" si="271"/>
        <v>2</v>
      </c>
      <c r="G394" s="23">
        <f t="shared" si="272"/>
        <v>1.4</v>
      </c>
      <c r="H394" s="4">
        <f t="shared" si="373"/>
        <v>3.8630000000000001E-3</v>
      </c>
      <c r="I394" s="2">
        <f t="shared" si="374"/>
        <v>4.1428393700787408E-2</v>
      </c>
      <c r="J394" s="4">
        <f t="shared" si="375"/>
        <v>8.1337746299212588E-2</v>
      </c>
      <c r="K394" s="4">
        <f t="shared" si="376"/>
        <v>0.12276614</v>
      </c>
      <c r="L394" s="13">
        <f t="shared" si="377"/>
        <v>0.50933786078098486</v>
      </c>
      <c r="M394" s="3">
        <f t="shared" ref="M394" si="424">AVERAGE(I394:I395)</f>
        <v>5.178549212598426E-2</v>
      </c>
      <c r="N394" s="3">
        <f t="shared" ref="N394" si="425">AVERAGE(J394:J395)</f>
        <v>8.4134162874015761E-2</v>
      </c>
    </row>
    <row r="395" spans="1:14" x14ac:dyDescent="0.2">
      <c r="A395" s="22"/>
      <c r="B395" s="4">
        <v>100</v>
      </c>
      <c r="C395" s="4">
        <v>8</v>
      </c>
      <c r="D395" s="33">
        <v>2.6</v>
      </c>
      <c r="E395" s="23">
        <v>1.7</v>
      </c>
      <c r="F395" s="23">
        <f t="shared" si="271"/>
        <v>2.6</v>
      </c>
      <c r="G395" s="23">
        <f t="shared" si="272"/>
        <v>1.7</v>
      </c>
      <c r="H395" s="4">
        <f t="shared" si="373"/>
        <v>3.8630000000000001E-3</v>
      </c>
      <c r="I395" s="2">
        <f t="shared" si="374"/>
        <v>6.2142590551181112E-2</v>
      </c>
      <c r="J395" s="4">
        <f t="shared" si="375"/>
        <v>8.693057944881892E-2</v>
      </c>
      <c r="K395" s="4">
        <f t="shared" si="376"/>
        <v>0.14907317000000003</v>
      </c>
      <c r="L395" s="13">
        <f t="shared" si="377"/>
        <v>0.71485305798252574</v>
      </c>
      <c r="M395" s="3"/>
      <c r="N395" s="3"/>
    </row>
    <row r="396" spans="1:14" x14ac:dyDescent="0.2">
      <c r="A396" s="22">
        <v>488571</v>
      </c>
      <c r="B396" s="4">
        <v>100</v>
      </c>
      <c r="C396" s="4">
        <v>8</v>
      </c>
      <c r="D396" s="33">
        <v>3.75</v>
      </c>
      <c r="E396" s="23">
        <v>2.25</v>
      </c>
      <c r="F396" s="23">
        <f t="shared" si="271"/>
        <v>3.75</v>
      </c>
      <c r="G396" s="23">
        <f t="shared" si="272"/>
        <v>2.25</v>
      </c>
      <c r="H396" s="4">
        <f t="shared" si="373"/>
        <v>3.8630000000000001E-3</v>
      </c>
      <c r="I396" s="2">
        <f t="shared" si="374"/>
        <v>0.10357098425196851</v>
      </c>
      <c r="J396" s="4">
        <f t="shared" si="375"/>
        <v>9.3731740748031492E-2</v>
      </c>
      <c r="K396" s="4">
        <f t="shared" si="376"/>
        <v>0.19730272500000001</v>
      </c>
      <c r="L396" s="13">
        <f t="shared" si="377"/>
        <v>1.1049723756906078</v>
      </c>
      <c r="M396" s="3">
        <f t="shared" ref="M396" si="426">AVERAGE(I396:I397)</f>
        <v>9.3213885826771661E-2</v>
      </c>
      <c r="N396" s="3">
        <f t="shared" ref="N396" si="427">AVERAGE(J396:J397)</f>
        <v>9.970433417322834E-2</v>
      </c>
    </row>
    <row r="397" spans="1:14" x14ac:dyDescent="0.2">
      <c r="A397" s="22"/>
      <c r="B397" s="4">
        <v>100</v>
      </c>
      <c r="C397" s="4">
        <v>8</v>
      </c>
      <c r="D397" s="33">
        <v>3.35</v>
      </c>
      <c r="E397" s="23">
        <v>2.15</v>
      </c>
      <c r="F397" s="23">
        <f t="shared" si="271"/>
        <v>3.35</v>
      </c>
      <c r="G397" s="23">
        <f t="shared" si="272"/>
        <v>2.15</v>
      </c>
      <c r="H397" s="4">
        <f t="shared" si="373"/>
        <v>3.8630000000000001E-3</v>
      </c>
      <c r="I397" s="2">
        <f t="shared" si="374"/>
        <v>8.2856787401574816E-2</v>
      </c>
      <c r="J397" s="4">
        <f t="shared" si="375"/>
        <v>0.10567692759842519</v>
      </c>
      <c r="K397" s="4">
        <f t="shared" si="376"/>
        <v>0.18853371499999999</v>
      </c>
      <c r="L397" s="13">
        <f t="shared" si="377"/>
        <v>0.78405749754982046</v>
      </c>
      <c r="M397" s="3"/>
      <c r="N397" s="3"/>
    </row>
    <row r="398" spans="1:14" x14ac:dyDescent="0.2">
      <c r="A398" s="22">
        <v>488572</v>
      </c>
      <c r="B398" s="4">
        <v>100</v>
      </c>
      <c r="C398" s="4">
        <v>8</v>
      </c>
      <c r="D398" s="33">
        <v>4.25</v>
      </c>
      <c r="E398" s="23">
        <v>2.5499999999999998</v>
      </c>
      <c r="F398" s="23">
        <f t="shared" si="271"/>
        <v>4.25</v>
      </c>
      <c r="G398" s="23">
        <f t="shared" si="272"/>
        <v>2.5499999999999998</v>
      </c>
      <c r="H398" s="4">
        <f t="shared" si="373"/>
        <v>3.8630000000000001E-3</v>
      </c>
      <c r="I398" s="2">
        <f t="shared" si="374"/>
        <v>0.11738044881889766</v>
      </c>
      <c r="J398" s="4">
        <f t="shared" si="375"/>
        <v>0.10622930618110235</v>
      </c>
      <c r="K398" s="4">
        <f t="shared" si="376"/>
        <v>0.22360975500000002</v>
      </c>
      <c r="L398" s="13">
        <f t="shared" si="377"/>
        <v>1.104972375690608</v>
      </c>
      <c r="M398" s="3">
        <f t="shared" ref="M398" si="428">AVERAGE(I398:I399)</f>
        <v>0.11565426574803149</v>
      </c>
      <c r="N398" s="3">
        <f t="shared" ref="N398" si="429">AVERAGE(J398:J399)</f>
        <v>0.11453224675196852</v>
      </c>
    </row>
    <row r="399" spans="1:14" x14ac:dyDescent="0.2">
      <c r="A399" s="22"/>
      <c r="B399" s="4">
        <v>100</v>
      </c>
      <c r="C399" s="4">
        <v>8</v>
      </c>
      <c r="D399" s="33">
        <v>4.3499999999999996</v>
      </c>
      <c r="E399" s="23">
        <v>2.7</v>
      </c>
      <c r="F399" s="23">
        <f t="shared" si="271"/>
        <v>4.3499999999999996</v>
      </c>
      <c r="G399" s="23">
        <f t="shared" si="272"/>
        <v>2.7</v>
      </c>
      <c r="H399" s="4">
        <f t="shared" si="373"/>
        <v>3.8630000000000001E-3</v>
      </c>
      <c r="I399" s="2">
        <f t="shared" si="374"/>
        <v>0.11392808267716532</v>
      </c>
      <c r="J399" s="4">
        <f t="shared" si="375"/>
        <v>0.1228351873228347</v>
      </c>
      <c r="K399" s="4">
        <f t="shared" si="376"/>
        <v>0.23676327000000003</v>
      </c>
      <c r="L399" s="13">
        <f t="shared" si="377"/>
        <v>0.9274873524451932</v>
      </c>
      <c r="M399" s="3"/>
      <c r="N399" s="3"/>
    </row>
    <row r="400" spans="1:14" x14ac:dyDescent="0.2">
      <c r="A400" s="22">
        <v>488573</v>
      </c>
      <c r="B400" s="4">
        <v>100</v>
      </c>
      <c r="C400" s="4">
        <v>8</v>
      </c>
      <c r="D400" s="33">
        <v>5.25</v>
      </c>
      <c r="E400" s="23">
        <v>3.2</v>
      </c>
      <c r="F400" s="23">
        <f t="shared" si="271"/>
        <v>5.25</v>
      </c>
      <c r="G400" s="23">
        <f t="shared" si="272"/>
        <v>3.2</v>
      </c>
      <c r="H400" s="4">
        <f t="shared" si="373"/>
        <v>3.8630000000000001E-3</v>
      </c>
      <c r="I400" s="2">
        <f t="shared" si="374"/>
        <v>0.14154701181102361</v>
      </c>
      <c r="J400" s="4">
        <f t="shared" si="375"/>
        <v>0.13906130818897641</v>
      </c>
      <c r="K400" s="4">
        <f t="shared" si="376"/>
        <v>0.28060832000000002</v>
      </c>
      <c r="L400" s="13">
        <f t="shared" si="377"/>
        <v>1.0178748758689173</v>
      </c>
      <c r="M400" s="3">
        <f t="shared" ref="M400" si="430">AVERAGE(I400:I401)</f>
        <v>0.12255899803149604</v>
      </c>
      <c r="N400" s="3">
        <f t="shared" ref="N400" si="431">AVERAGE(J400:J401)</f>
        <v>0.142703554468504</v>
      </c>
    </row>
    <row r="401" spans="1:14" x14ac:dyDescent="0.2">
      <c r="A401" s="22"/>
      <c r="B401" s="4">
        <v>100</v>
      </c>
      <c r="C401" s="4">
        <v>8</v>
      </c>
      <c r="D401" s="33">
        <v>4.3499999999999996</v>
      </c>
      <c r="E401" s="23">
        <v>2.85</v>
      </c>
      <c r="F401" s="23">
        <f t="shared" si="271"/>
        <v>4.3499999999999996</v>
      </c>
      <c r="G401" s="23">
        <f t="shared" si="272"/>
        <v>2.85</v>
      </c>
      <c r="H401" s="4">
        <f t="shared" si="373"/>
        <v>3.8630000000000001E-3</v>
      </c>
      <c r="I401" s="2">
        <f t="shared" si="374"/>
        <v>0.10357098425196848</v>
      </c>
      <c r="J401" s="4">
        <f t="shared" si="375"/>
        <v>0.14634580074803158</v>
      </c>
      <c r="K401" s="4">
        <f t="shared" si="376"/>
        <v>0.24991678500000006</v>
      </c>
      <c r="L401" s="13">
        <f t="shared" si="377"/>
        <v>0.70771408351026133</v>
      </c>
      <c r="M401" s="3"/>
      <c r="N401" s="3"/>
    </row>
    <row r="402" spans="1:14" x14ac:dyDescent="0.2">
      <c r="A402" s="22">
        <v>488574</v>
      </c>
      <c r="B402" s="4">
        <v>100</v>
      </c>
      <c r="C402" s="4">
        <v>8</v>
      </c>
      <c r="D402" s="33">
        <v>7</v>
      </c>
      <c r="E402" s="23">
        <v>4.2</v>
      </c>
      <c r="F402" s="23">
        <f t="shared" si="271"/>
        <v>7</v>
      </c>
      <c r="G402" s="23">
        <f t="shared" si="272"/>
        <v>4.2</v>
      </c>
      <c r="H402" s="4">
        <f t="shared" si="373"/>
        <v>3.8630000000000001E-3</v>
      </c>
      <c r="I402" s="2">
        <f t="shared" si="374"/>
        <v>0.19333250393700788</v>
      </c>
      <c r="J402" s="4">
        <f t="shared" si="375"/>
        <v>0.17496591606299219</v>
      </c>
      <c r="K402" s="4">
        <f t="shared" si="376"/>
        <v>0.36829842000000007</v>
      </c>
      <c r="L402" s="13">
        <f t="shared" si="377"/>
        <v>1.1049723756906074</v>
      </c>
      <c r="M402" s="3">
        <f t="shared" ref="M402" si="432">AVERAGE(I402:I403)</f>
        <v>0.19678487007874018</v>
      </c>
      <c r="N402" s="3">
        <f t="shared" ref="N402" si="433">AVERAGE(J402:J403)</f>
        <v>0.17370580242125988</v>
      </c>
    </row>
    <row r="403" spans="1:14" x14ac:dyDescent="0.2">
      <c r="A403" s="22"/>
      <c r="B403" s="4">
        <v>100</v>
      </c>
      <c r="C403" s="4">
        <v>8</v>
      </c>
      <c r="D403" s="33">
        <v>7.15</v>
      </c>
      <c r="E403" s="23">
        <v>4.25</v>
      </c>
      <c r="F403" s="23">
        <f t="shared" si="271"/>
        <v>7.15</v>
      </c>
      <c r="G403" s="23">
        <f t="shared" si="272"/>
        <v>4.25</v>
      </c>
      <c r="H403" s="4">
        <f t="shared" si="373"/>
        <v>3.8630000000000001E-3</v>
      </c>
      <c r="I403" s="2">
        <f t="shared" si="374"/>
        <v>0.20023723622047246</v>
      </c>
      <c r="J403" s="4">
        <f t="shared" si="375"/>
        <v>0.17244568877952754</v>
      </c>
      <c r="K403" s="4">
        <f t="shared" si="376"/>
        <v>0.372682925</v>
      </c>
      <c r="L403" s="13">
        <f t="shared" si="377"/>
        <v>1.1611611611611614</v>
      </c>
      <c r="M403" s="3"/>
      <c r="N403" s="3"/>
    </row>
    <row r="404" spans="1:14" x14ac:dyDescent="0.2">
      <c r="A404" s="22">
        <v>488575</v>
      </c>
      <c r="B404" s="4">
        <v>100</v>
      </c>
      <c r="C404" s="4">
        <v>6</v>
      </c>
      <c r="D404" s="33">
        <v>6.75</v>
      </c>
      <c r="E404" s="23">
        <v>3.3</v>
      </c>
      <c r="F404" s="23">
        <f t="shared" si="271"/>
        <v>6.75</v>
      </c>
      <c r="G404" s="23">
        <f t="shared" si="272"/>
        <v>3.3</v>
      </c>
      <c r="H404" s="4">
        <f t="shared" si="373"/>
        <v>3.5767E-2</v>
      </c>
      <c r="I404" s="2">
        <f t="shared" si="374"/>
        <v>2.2055847283464569</v>
      </c>
      <c r="J404" s="4">
        <f t="shared" si="375"/>
        <v>0.47372124165354351</v>
      </c>
      <c r="K404" s="4">
        <f t="shared" si="376"/>
        <v>2.6793059700000006</v>
      </c>
      <c r="L404" s="13">
        <f t="shared" si="377"/>
        <v>4.655870445344128</v>
      </c>
      <c r="M404" s="3">
        <f t="shared" ref="M404" si="434">AVERAGE(I404:I405)</f>
        <v>2.2215672263779531</v>
      </c>
      <c r="N404" s="3">
        <f t="shared" ref="N404" si="435">AVERAGE(J404:J405)</f>
        <v>0.47803651612204778</v>
      </c>
    </row>
    <row r="405" spans="1:14" x14ac:dyDescent="0.2">
      <c r="A405" s="22"/>
      <c r="B405" s="4">
        <v>100</v>
      </c>
      <c r="C405" s="4">
        <v>6</v>
      </c>
      <c r="D405" s="33">
        <v>6.85</v>
      </c>
      <c r="E405" s="23">
        <v>3.35</v>
      </c>
      <c r="F405" s="23">
        <f t="shared" si="271"/>
        <v>6.85</v>
      </c>
      <c r="G405" s="23">
        <f t="shared" si="272"/>
        <v>3.35</v>
      </c>
      <c r="H405" s="4">
        <f t="shared" si="373"/>
        <v>3.5767E-2</v>
      </c>
      <c r="I405" s="2">
        <f t="shared" si="374"/>
        <v>2.2375497244094489</v>
      </c>
      <c r="J405" s="4">
        <f t="shared" si="375"/>
        <v>0.482351790590552</v>
      </c>
      <c r="K405" s="4">
        <f t="shared" si="376"/>
        <v>2.719901515000001</v>
      </c>
      <c r="L405" s="13">
        <f t="shared" si="377"/>
        <v>4.6388336646785877</v>
      </c>
      <c r="M405" s="3"/>
      <c r="N405" s="3"/>
    </row>
    <row r="406" spans="1:14" x14ac:dyDescent="0.2">
      <c r="A406" s="22">
        <v>488576</v>
      </c>
      <c r="B406" s="4">
        <v>100</v>
      </c>
      <c r="C406" s="4">
        <v>6</v>
      </c>
      <c r="D406" s="33">
        <v>6.45</v>
      </c>
      <c r="E406" s="23">
        <v>3.15</v>
      </c>
      <c r="F406" s="23">
        <f t="shared" si="271"/>
        <v>6.45</v>
      </c>
      <c r="G406" s="23">
        <f t="shared" si="272"/>
        <v>3.15</v>
      </c>
      <c r="H406" s="4">
        <f t="shared" si="373"/>
        <v>3.5767E-2</v>
      </c>
      <c r="I406" s="2">
        <f t="shared" si="374"/>
        <v>2.1096897401574806</v>
      </c>
      <c r="J406" s="4">
        <f t="shared" si="375"/>
        <v>0.44782959484251933</v>
      </c>
      <c r="K406" s="4">
        <f t="shared" si="376"/>
        <v>2.5575193349999998</v>
      </c>
      <c r="L406" s="13">
        <f t="shared" si="377"/>
        <v>4.7109207708779488</v>
      </c>
      <c r="M406" s="3">
        <f t="shared" ref="M406" si="436">AVERAGE(I406:I407)</f>
        <v>2.1096897401574806</v>
      </c>
      <c r="N406" s="3">
        <f t="shared" ref="N406" si="437">AVERAGE(J406:J407)</f>
        <v>0.46812736734251964</v>
      </c>
    </row>
    <row r="407" spans="1:14" x14ac:dyDescent="0.2">
      <c r="A407" s="22"/>
      <c r="B407" s="4">
        <v>100</v>
      </c>
      <c r="C407" s="4">
        <v>6</v>
      </c>
      <c r="D407" s="33">
        <v>6.5</v>
      </c>
      <c r="E407" s="23">
        <v>3.2</v>
      </c>
      <c r="F407" s="23">
        <f t="shared" si="271"/>
        <v>6.5</v>
      </c>
      <c r="G407" s="23">
        <f t="shared" si="272"/>
        <v>3.2</v>
      </c>
      <c r="H407" s="4">
        <f t="shared" si="373"/>
        <v>3.5767E-2</v>
      </c>
      <c r="I407" s="2">
        <f t="shared" si="374"/>
        <v>2.1096897401574806</v>
      </c>
      <c r="J407" s="4">
        <f t="shared" si="375"/>
        <v>0.48842513984251995</v>
      </c>
      <c r="K407" s="4">
        <f t="shared" si="376"/>
        <v>2.5981148800000007</v>
      </c>
      <c r="L407" s="13">
        <f t="shared" si="377"/>
        <v>4.3193717277486892</v>
      </c>
      <c r="M407" s="3"/>
      <c r="N407" s="3"/>
    </row>
    <row r="408" spans="1:14" x14ac:dyDescent="0.2">
      <c r="A408" s="22">
        <v>488577</v>
      </c>
      <c r="B408" s="4">
        <v>100</v>
      </c>
      <c r="C408" s="4">
        <v>6</v>
      </c>
      <c r="D408" s="33">
        <v>5.35</v>
      </c>
      <c r="E408" s="23">
        <v>2.5499999999999998</v>
      </c>
      <c r="F408" s="23">
        <f t="shared" si="271"/>
        <v>5.35</v>
      </c>
      <c r="G408" s="23">
        <f t="shared" si="272"/>
        <v>2.5499999999999998</v>
      </c>
      <c r="H408" s="4">
        <f t="shared" si="373"/>
        <v>3.5767E-2</v>
      </c>
      <c r="I408" s="2">
        <f t="shared" si="374"/>
        <v>1.7900397795275591</v>
      </c>
      <c r="J408" s="4">
        <f t="shared" si="375"/>
        <v>0.28033301547244105</v>
      </c>
      <c r="K408" s="4">
        <f t="shared" si="376"/>
        <v>2.0703727949999999</v>
      </c>
      <c r="L408" s="13">
        <f t="shared" si="377"/>
        <v>6.3854047890535899</v>
      </c>
      <c r="M408" s="3">
        <f t="shared" ref="M408" si="438">AVERAGE(I408:I409)</f>
        <v>1.7261097874015747</v>
      </c>
      <c r="N408" s="3">
        <f t="shared" ref="N408" si="439">AVERAGE(J408:J409)</f>
        <v>0.28336969009842528</v>
      </c>
    </row>
    <row r="409" spans="1:14" x14ac:dyDescent="0.2">
      <c r="A409" s="22"/>
      <c r="B409" s="4">
        <v>100</v>
      </c>
      <c r="C409" s="4">
        <v>6</v>
      </c>
      <c r="D409" s="33">
        <v>5</v>
      </c>
      <c r="E409" s="23">
        <v>2.4</v>
      </c>
      <c r="F409" s="23">
        <f t="shared" si="271"/>
        <v>5</v>
      </c>
      <c r="G409" s="23">
        <f t="shared" si="272"/>
        <v>2.4</v>
      </c>
      <c r="H409" s="4">
        <f t="shared" si="373"/>
        <v>3.5767E-2</v>
      </c>
      <c r="I409" s="2">
        <f t="shared" si="374"/>
        <v>1.6621797952755906</v>
      </c>
      <c r="J409" s="4">
        <f t="shared" si="375"/>
        <v>0.28640636472440945</v>
      </c>
      <c r="K409" s="4">
        <f t="shared" si="376"/>
        <v>1.9485861600000001</v>
      </c>
      <c r="L409" s="13">
        <f t="shared" si="377"/>
        <v>5.8035714285714288</v>
      </c>
      <c r="M409" s="3"/>
      <c r="N409" s="3"/>
    </row>
    <row r="410" spans="1:14" x14ac:dyDescent="0.2">
      <c r="A410" s="22">
        <v>488578</v>
      </c>
      <c r="B410" s="4">
        <v>100</v>
      </c>
      <c r="C410" s="4">
        <v>8</v>
      </c>
      <c r="D410" s="33">
        <v>1.2</v>
      </c>
      <c r="E410" s="23">
        <v>0.85</v>
      </c>
      <c r="F410" s="23">
        <f t="shared" si="271"/>
        <v>1.2</v>
      </c>
      <c r="G410" s="23">
        <f t="shared" si="272"/>
        <v>0.85</v>
      </c>
      <c r="H410" s="4">
        <f t="shared" si="373"/>
        <v>3.8630000000000001E-3</v>
      </c>
      <c r="I410" s="2">
        <f t="shared" si="374"/>
        <v>2.4166562992125985E-2</v>
      </c>
      <c r="J410" s="4">
        <f t="shared" si="375"/>
        <v>5.0370022007874028E-2</v>
      </c>
      <c r="K410" s="4">
        <f t="shared" si="376"/>
        <v>7.4536585000000016E-2</v>
      </c>
      <c r="L410" s="13">
        <f t="shared" si="377"/>
        <v>0.47978067169294025</v>
      </c>
      <c r="M410" s="3">
        <f t="shared" ref="M410" si="440">AVERAGE(I410:I411)</f>
        <v>2.2440379921259839E-2</v>
      </c>
      <c r="N410" s="3">
        <f t="shared" ref="N410" si="441">AVERAGE(J410:J411)</f>
        <v>5.4288457578740165E-2</v>
      </c>
    </row>
    <row r="411" spans="1:14" x14ac:dyDescent="0.2">
      <c r="A411" s="22"/>
      <c r="B411" s="4">
        <v>100</v>
      </c>
      <c r="C411" s="4">
        <v>8</v>
      </c>
      <c r="D411" s="33">
        <v>1.2</v>
      </c>
      <c r="E411" s="23">
        <v>0.9</v>
      </c>
      <c r="F411" s="23">
        <f t="shared" si="271"/>
        <v>1.2</v>
      </c>
      <c r="G411" s="23">
        <f t="shared" si="272"/>
        <v>0.9</v>
      </c>
      <c r="H411" s="4">
        <f t="shared" si="373"/>
        <v>3.8630000000000001E-3</v>
      </c>
      <c r="I411" s="2">
        <f t="shared" si="374"/>
        <v>2.0714196850393694E-2</v>
      </c>
      <c r="J411" s="4">
        <f t="shared" si="375"/>
        <v>5.8206893149606309E-2</v>
      </c>
      <c r="K411" s="4">
        <f t="shared" si="376"/>
        <v>7.8921089999999999E-2</v>
      </c>
      <c r="L411" s="13">
        <f t="shared" si="377"/>
        <v>0.35587188612099624</v>
      </c>
      <c r="M411" s="3"/>
      <c r="N411" s="3"/>
    </row>
    <row r="412" spans="1:14" x14ac:dyDescent="0.2">
      <c r="A412" s="22">
        <v>488579</v>
      </c>
      <c r="B412" s="4">
        <v>100</v>
      </c>
      <c r="C412" s="4">
        <v>8</v>
      </c>
      <c r="D412" s="33">
        <v>1.85</v>
      </c>
      <c r="E412" s="23">
        <v>1.3</v>
      </c>
      <c r="F412" s="23">
        <f t="shared" si="271"/>
        <v>1.85</v>
      </c>
      <c r="G412" s="23">
        <f t="shared" si="272"/>
        <v>1.3</v>
      </c>
      <c r="H412" s="4">
        <f t="shared" ref="H412:H475" si="442">IF(C412=1,32.7101,IF(C412=2,8.14893,IF(C412=3,1.42818,IF(C412=4,0.44041,IF(C412=5,0.123026,IF(C412=6,0.035767,IF(C412=7,0.009745,0.003863)))))))</f>
        <v>3.8630000000000001E-3</v>
      </c>
      <c r="I412" s="2">
        <f t="shared" ref="I412:I475" si="443">H412*$A$3*(F412-G412)*1000/B412</f>
        <v>3.7976027559055124E-2</v>
      </c>
      <c r="J412" s="4">
        <f t="shared" ref="J412:J475" si="444">2.27*($A$3*G412-($A$3-1)*F412)*H412*1000/B412</f>
        <v>7.6021102440944885E-2</v>
      </c>
      <c r="K412" s="4">
        <f t="shared" ref="K412:K475" si="445">(I412+J412)</f>
        <v>0.11399713</v>
      </c>
      <c r="L412" s="13">
        <f t="shared" ref="L412:L475" si="446">(I412/J412)</f>
        <v>0.49954586739327889</v>
      </c>
      <c r="M412" s="3">
        <f t="shared" ref="M412" si="447">AVERAGE(I412:I413)</f>
        <v>3.6249844488188979E-2</v>
      </c>
      <c r="N412" s="3">
        <f t="shared" ref="N412" si="448">AVERAGE(J412:J413)</f>
        <v>7.3362780511811027E-2</v>
      </c>
    </row>
    <row r="413" spans="1:14" x14ac:dyDescent="0.2">
      <c r="A413" s="22"/>
      <c r="B413" s="4">
        <v>100</v>
      </c>
      <c r="C413" s="4">
        <v>8</v>
      </c>
      <c r="D413" s="33">
        <v>1.7</v>
      </c>
      <c r="E413" s="23">
        <v>1.2</v>
      </c>
      <c r="F413" s="23">
        <f t="shared" si="271"/>
        <v>1.7</v>
      </c>
      <c r="G413" s="23">
        <f t="shared" si="272"/>
        <v>1.2</v>
      </c>
      <c r="H413" s="4">
        <f t="shared" si="442"/>
        <v>3.8630000000000001E-3</v>
      </c>
      <c r="I413" s="2">
        <f t="shared" si="443"/>
        <v>3.452366141732284E-2</v>
      </c>
      <c r="J413" s="4">
        <f t="shared" si="444"/>
        <v>7.0704458582677168E-2</v>
      </c>
      <c r="K413" s="4">
        <f t="shared" si="445"/>
        <v>0.10522812000000001</v>
      </c>
      <c r="L413" s="13">
        <f t="shared" si="446"/>
        <v>0.48828125000000006</v>
      </c>
      <c r="M413" s="3"/>
      <c r="N413" s="3"/>
    </row>
    <row r="414" spans="1:14" x14ac:dyDescent="0.2">
      <c r="A414" s="22">
        <v>488580</v>
      </c>
      <c r="B414" s="4">
        <v>100</v>
      </c>
      <c r="C414" s="4">
        <v>8</v>
      </c>
      <c r="D414" s="33">
        <v>2.35</v>
      </c>
      <c r="E414" s="23">
        <v>1.5</v>
      </c>
      <c r="F414" s="23">
        <f t="shared" si="271"/>
        <v>2.35</v>
      </c>
      <c r="G414" s="23">
        <f t="shared" si="272"/>
        <v>1.5</v>
      </c>
      <c r="H414" s="4">
        <f t="shared" si="442"/>
        <v>3.8630000000000001E-3</v>
      </c>
      <c r="I414" s="2">
        <f t="shared" si="443"/>
        <v>5.8690224409448828E-2</v>
      </c>
      <c r="J414" s="4">
        <f t="shared" si="444"/>
        <v>7.2844925590551168E-2</v>
      </c>
      <c r="K414" s="4">
        <f t="shared" si="445"/>
        <v>0.13153514999999999</v>
      </c>
      <c r="L414" s="13">
        <f t="shared" si="446"/>
        <v>0.80568720379146941</v>
      </c>
      <c r="M414" s="3">
        <f t="shared" ref="M414" si="449">AVERAGE(I414:I415)</f>
        <v>5.3511675196850399E-2</v>
      </c>
      <c r="N414" s="3">
        <f t="shared" ref="N414" si="450">AVERAGE(J414:J415)</f>
        <v>6.7062212303149599E-2</v>
      </c>
    </row>
    <row r="415" spans="1:14" x14ac:dyDescent="0.2">
      <c r="A415" s="22"/>
      <c r="B415" s="4">
        <v>100</v>
      </c>
      <c r="C415" s="4">
        <v>8</v>
      </c>
      <c r="D415" s="33">
        <v>1.95</v>
      </c>
      <c r="E415" s="23">
        <v>1.25</v>
      </c>
      <c r="F415" s="23">
        <f t="shared" si="271"/>
        <v>1.95</v>
      </c>
      <c r="G415" s="23">
        <f t="shared" si="272"/>
        <v>1.25</v>
      </c>
      <c r="H415" s="4">
        <f t="shared" si="442"/>
        <v>3.8630000000000001E-3</v>
      </c>
      <c r="I415" s="2">
        <f t="shared" si="443"/>
        <v>4.8333125984251969E-2</v>
      </c>
      <c r="J415" s="4">
        <f t="shared" si="444"/>
        <v>6.1279499015748043E-2</v>
      </c>
      <c r="K415" s="4">
        <f t="shared" si="445"/>
        <v>0.10961262500000002</v>
      </c>
      <c r="L415" s="13">
        <f t="shared" si="446"/>
        <v>0.78873239436619702</v>
      </c>
      <c r="M415" s="3"/>
      <c r="N415" s="3"/>
    </row>
    <row r="416" spans="1:14" x14ac:dyDescent="0.2">
      <c r="A416" s="22">
        <v>488581</v>
      </c>
      <c r="B416" s="4">
        <v>100</v>
      </c>
      <c r="C416" s="4">
        <v>8</v>
      </c>
      <c r="D416" s="33">
        <v>2.2999999999999998</v>
      </c>
      <c r="E416" s="23">
        <v>1.45</v>
      </c>
      <c r="F416" s="23">
        <f t="shared" si="271"/>
        <v>2.2999999999999998</v>
      </c>
      <c r="G416" s="23">
        <f t="shared" si="272"/>
        <v>1.45</v>
      </c>
      <c r="H416" s="4">
        <f t="shared" si="442"/>
        <v>3.8630000000000001E-3</v>
      </c>
      <c r="I416" s="2">
        <f t="shared" si="443"/>
        <v>5.8690224409448807E-2</v>
      </c>
      <c r="J416" s="4">
        <f t="shared" si="444"/>
        <v>6.8460420590551199E-2</v>
      </c>
      <c r="K416" s="4">
        <f t="shared" si="445"/>
        <v>0.12715064500000001</v>
      </c>
      <c r="L416" s="13">
        <f t="shared" si="446"/>
        <v>0.85728693898134101</v>
      </c>
      <c r="M416" s="3">
        <f t="shared" ref="M416" si="451">AVERAGE(I416:I417)</f>
        <v>6.2142590551181091E-2</v>
      </c>
      <c r="N416" s="3">
        <f t="shared" ref="N416" si="452">AVERAGE(J416:J417)</f>
        <v>7.1584811948818938E-2</v>
      </c>
    </row>
    <row r="417" spans="1:14" x14ac:dyDescent="0.2">
      <c r="A417" s="22"/>
      <c r="B417" s="4">
        <v>100</v>
      </c>
      <c r="C417" s="4">
        <v>8</v>
      </c>
      <c r="D417" s="33">
        <v>2.5499999999999998</v>
      </c>
      <c r="E417" s="23">
        <v>1.6</v>
      </c>
      <c r="F417" s="23">
        <f t="shared" si="271"/>
        <v>2.5499999999999998</v>
      </c>
      <c r="G417" s="23">
        <f t="shared" si="272"/>
        <v>1.6</v>
      </c>
      <c r="H417" s="4">
        <f t="shared" si="442"/>
        <v>3.8630000000000001E-3</v>
      </c>
      <c r="I417" s="2">
        <f t="shared" si="443"/>
        <v>6.5594956692913375E-2</v>
      </c>
      <c r="J417" s="4">
        <f t="shared" si="444"/>
        <v>7.4709203307086677E-2</v>
      </c>
      <c r="K417" s="4">
        <f t="shared" si="445"/>
        <v>0.14030416000000007</v>
      </c>
      <c r="L417" s="13">
        <f t="shared" si="446"/>
        <v>0.8780036968576701</v>
      </c>
      <c r="M417" s="3"/>
      <c r="N417" s="3"/>
    </row>
    <row r="418" spans="1:14" x14ac:dyDescent="0.2">
      <c r="A418" s="22">
        <v>488582</v>
      </c>
      <c r="B418" s="4">
        <v>100</v>
      </c>
      <c r="C418" s="4">
        <v>8</v>
      </c>
      <c r="D418" s="33">
        <v>3</v>
      </c>
      <c r="E418" s="23">
        <v>1.9</v>
      </c>
      <c r="F418" s="23">
        <f t="shared" si="271"/>
        <v>3</v>
      </c>
      <c r="G418" s="23">
        <f t="shared" si="272"/>
        <v>1.9</v>
      </c>
      <c r="H418" s="4">
        <f t="shared" si="442"/>
        <v>3.8630000000000001E-3</v>
      </c>
      <c r="I418" s="2">
        <f t="shared" si="443"/>
        <v>7.5952055118110248E-2</v>
      </c>
      <c r="J418" s="4">
        <f t="shared" si="444"/>
        <v>9.0659134881889772E-2</v>
      </c>
      <c r="K418" s="4">
        <f t="shared" si="445"/>
        <v>0.16661119000000002</v>
      </c>
      <c r="L418" s="13">
        <f t="shared" si="446"/>
        <v>0.8377760853008378</v>
      </c>
      <c r="M418" s="3">
        <f t="shared" ref="M418" si="453">AVERAGE(I418:I419)</f>
        <v>7.9404421259842539E-2</v>
      </c>
      <c r="N418" s="3">
        <f t="shared" ref="N418" si="454">AVERAGE(J418:J419)</f>
        <v>9.816803124015748E-2</v>
      </c>
    </row>
    <row r="419" spans="1:14" x14ac:dyDescent="0.2">
      <c r="A419" s="22"/>
      <c r="B419" s="4">
        <v>100</v>
      </c>
      <c r="C419" s="4">
        <v>8</v>
      </c>
      <c r="D419" s="33">
        <v>3.35</v>
      </c>
      <c r="E419" s="23">
        <v>2.15</v>
      </c>
      <c r="F419" s="23">
        <f t="shared" si="271"/>
        <v>3.35</v>
      </c>
      <c r="G419" s="23">
        <f t="shared" si="272"/>
        <v>2.15</v>
      </c>
      <c r="H419" s="4">
        <f t="shared" si="442"/>
        <v>3.8630000000000001E-3</v>
      </c>
      <c r="I419" s="2">
        <f t="shared" si="443"/>
        <v>8.2856787401574816E-2</v>
      </c>
      <c r="J419" s="4">
        <f t="shared" si="444"/>
        <v>0.10567692759842519</v>
      </c>
      <c r="K419" s="4">
        <f t="shared" si="445"/>
        <v>0.18853371499999999</v>
      </c>
      <c r="L419" s="13">
        <f t="shared" si="446"/>
        <v>0.78405749754982046</v>
      </c>
      <c r="M419" s="3"/>
      <c r="N419" s="3"/>
    </row>
    <row r="420" spans="1:14" x14ac:dyDescent="0.2">
      <c r="A420" s="22">
        <v>488583</v>
      </c>
      <c r="B420" s="4">
        <v>100</v>
      </c>
      <c r="C420" s="4">
        <v>8</v>
      </c>
      <c r="D420" s="33">
        <v>5.8</v>
      </c>
      <c r="E420" s="23">
        <v>3.35</v>
      </c>
      <c r="F420" s="23">
        <f t="shared" si="271"/>
        <v>5.8</v>
      </c>
      <c r="G420" s="23">
        <f t="shared" si="272"/>
        <v>3.35</v>
      </c>
      <c r="H420" s="4">
        <f t="shared" si="442"/>
        <v>3.8630000000000001E-3</v>
      </c>
      <c r="I420" s="2">
        <f t="shared" si="443"/>
        <v>0.16916594094488191</v>
      </c>
      <c r="J420" s="4">
        <f t="shared" si="444"/>
        <v>0.12459589405511816</v>
      </c>
      <c r="K420" s="4">
        <f t="shared" si="445"/>
        <v>0.29376183500000008</v>
      </c>
      <c r="L420" s="13">
        <f t="shared" si="446"/>
        <v>1.3577168190634521</v>
      </c>
      <c r="M420" s="3">
        <f t="shared" ref="M420" si="455">AVERAGE(I420:I421)</f>
        <v>0.1777968562992126</v>
      </c>
      <c r="N420" s="3">
        <f t="shared" ref="N420" si="456">AVERAGE(J420:J421)</f>
        <v>0.12911849370078746</v>
      </c>
    </row>
    <row r="421" spans="1:14" x14ac:dyDescent="0.2">
      <c r="A421" s="22"/>
      <c r="B421" s="4">
        <v>100</v>
      </c>
      <c r="C421" s="4">
        <v>8</v>
      </c>
      <c r="D421" s="33">
        <v>6.35</v>
      </c>
      <c r="E421" s="23">
        <v>3.65</v>
      </c>
      <c r="F421" s="23">
        <f t="shared" si="271"/>
        <v>6.35</v>
      </c>
      <c r="G421" s="23">
        <f t="shared" si="272"/>
        <v>3.65</v>
      </c>
      <c r="H421" s="4">
        <f t="shared" si="442"/>
        <v>3.8630000000000001E-3</v>
      </c>
      <c r="I421" s="2">
        <f t="shared" si="443"/>
        <v>0.18642777165354332</v>
      </c>
      <c r="J421" s="4">
        <f t="shared" si="444"/>
        <v>0.13364109334645677</v>
      </c>
      <c r="K421" s="4">
        <f t="shared" si="445"/>
        <v>0.32006886500000009</v>
      </c>
      <c r="L421" s="13">
        <f t="shared" si="446"/>
        <v>1.3949883750968735</v>
      </c>
      <c r="M421" s="3"/>
      <c r="N421" s="3"/>
    </row>
    <row r="422" spans="1:14" x14ac:dyDescent="0.2">
      <c r="A422" s="22">
        <v>488584</v>
      </c>
      <c r="B422" s="4">
        <v>100</v>
      </c>
      <c r="C422" s="4">
        <v>6</v>
      </c>
      <c r="D422" s="33">
        <v>4.75</v>
      </c>
      <c r="E422" s="23">
        <v>2.4</v>
      </c>
      <c r="F422" s="23">
        <f t="shared" si="271"/>
        <v>4.75</v>
      </c>
      <c r="G422" s="23">
        <f t="shared" si="272"/>
        <v>2.4</v>
      </c>
      <c r="H422" s="4">
        <f t="shared" si="442"/>
        <v>3.5767E-2</v>
      </c>
      <c r="I422" s="2">
        <f t="shared" si="443"/>
        <v>1.5023548149606298</v>
      </c>
      <c r="J422" s="4">
        <f t="shared" si="444"/>
        <v>0.44623134503937018</v>
      </c>
      <c r="K422" s="4">
        <f t="shared" si="445"/>
        <v>1.9485861600000001</v>
      </c>
      <c r="L422" s="13">
        <f t="shared" si="446"/>
        <v>3.3667621776504291</v>
      </c>
      <c r="M422" s="3">
        <f t="shared" ref="M422" si="457">AVERAGE(I422:I423)</f>
        <v>1.4544073208661419</v>
      </c>
      <c r="N422" s="3">
        <f t="shared" ref="N422" si="458">AVERAGE(J422:J423)</f>
        <v>0.47388106663385854</v>
      </c>
    </row>
    <row r="423" spans="1:14" x14ac:dyDescent="0.2">
      <c r="A423" s="22"/>
      <c r="B423" s="4">
        <v>100</v>
      </c>
      <c r="C423" s="4">
        <v>6</v>
      </c>
      <c r="D423" s="33">
        <v>4.55</v>
      </c>
      <c r="E423" s="23">
        <v>2.35</v>
      </c>
      <c r="F423" s="23">
        <f t="shared" si="271"/>
        <v>4.55</v>
      </c>
      <c r="G423" s="23">
        <f t="shared" si="272"/>
        <v>2.35</v>
      </c>
      <c r="H423" s="4">
        <f t="shared" si="442"/>
        <v>3.5767E-2</v>
      </c>
      <c r="I423" s="2">
        <f t="shared" si="443"/>
        <v>1.4064598267716537</v>
      </c>
      <c r="J423" s="4">
        <f t="shared" si="444"/>
        <v>0.50153078822834685</v>
      </c>
      <c r="K423" s="4">
        <f t="shared" si="445"/>
        <v>1.9079906150000006</v>
      </c>
      <c r="L423" s="13">
        <f t="shared" si="446"/>
        <v>2.8043339706819612</v>
      </c>
      <c r="M423" s="3"/>
      <c r="N423" s="3"/>
    </row>
    <row r="424" spans="1:14" x14ac:dyDescent="0.2">
      <c r="A424" s="22">
        <v>488585</v>
      </c>
      <c r="B424" s="4">
        <v>100</v>
      </c>
      <c r="C424" s="4">
        <v>5</v>
      </c>
      <c r="D424" s="33">
        <v>2.75</v>
      </c>
      <c r="E424" s="23">
        <v>1.35</v>
      </c>
      <c r="F424" s="23">
        <f t="shared" si="271"/>
        <v>2.75</v>
      </c>
      <c r="G424" s="23">
        <f t="shared" si="272"/>
        <v>1.35</v>
      </c>
      <c r="H424" s="4">
        <f t="shared" si="442"/>
        <v>0.123026</v>
      </c>
      <c r="I424" s="2">
        <f t="shared" si="443"/>
        <v>3.0785561259842513</v>
      </c>
      <c r="J424" s="4">
        <f t="shared" si="444"/>
        <v>0.69157564401574878</v>
      </c>
      <c r="K424" s="4">
        <f t="shared" si="445"/>
        <v>3.7701317699999999</v>
      </c>
      <c r="L424" s="13">
        <f t="shared" si="446"/>
        <v>4.4515103338632693</v>
      </c>
      <c r="M424" s="3">
        <f t="shared" ref="M424" si="459">AVERAGE(I424:I425)</f>
        <v>2.9686076929133853</v>
      </c>
      <c r="N424" s="3">
        <f t="shared" ref="N424" si="460">AVERAGE(J424:J425)</f>
        <v>0.73170682208661431</v>
      </c>
    </row>
    <row r="425" spans="1:14" x14ac:dyDescent="0.2">
      <c r="A425" s="22"/>
      <c r="B425" s="4">
        <v>100</v>
      </c>
      <c r="C425" s="4">
        <v>5</v>
      </c>
      <c r="D425" s="33">
        <v>2.6</v>
      </c>
      <c r="E425" s="23">
        <v>1.3</v>
      </c>
      <c r="F425" s="23">
        <f t="shared" si="271"/>
        <v>2.6</v>
      </c>
      <c r="G425" s="23">
        <f t="shared" si="272"/>
        <v>1.3</v>
      </c>
      <c r="H425" s="4">
        <f t="shared" si="442"/>
        <v>0.123026</v>
      </c>
      <c r="I425" s="2">
        <f t="shared" si="443"/>
        <v>2.8586592598425193</v>
      </c>
      <c r="J425" s="4">
        <f t="shared" si="444"/>
        <v>0.77183800015747994</v>
      </c>
      <c r="K425" s="4">
        <f t="shared" si="445"/>
        <v>3.6304972599999994</v>
      </c>
      <c r="L425" s="13">
        <f t="shared" si="446"/>
        <v>3.7037037037037051</v>
      </c>
      <c r="M425" s="3"/>
      <c r="N425" s="3"/>
    </row>
    <row r="426" spans="1:14" x14ac:dyDescent="0.2">
      <c r="A426" s="22">
        <v>488586</v>
      </c>
      <c r="B426" s="4">
        <v>100</v>
      </c>
      <c r="C426" s="4">
        <v>5</v>
      </c>
      <c r="D426" s="33">
        <v>2.35</v>
      </c>
      <c r="E426" s="23">
        <v>1.3</v>
      </c>
      <c r="F426" s="23">
        <f t="shared" si="271"/>
        <v>2.35</v>
      </c>
      <c r="G426" s="23">
        <f t="shared" si="272"/>
        <v>1.3</v>
      </c>
      <c r="H426" s="4">
        <f t="shared" si="442"/>
        <v>0.123026</v>
      </c>
      <c r="I426" s="2">
        <f t="shared" si="443"/>
        <v>2.3089170944881885</v>
      </c>
      <c r="J426" s="4">
        <f t="shared" si="444"/>
        <v>1.3215801655118107</v>
      </c>
      <c r="K426" s="4">
        <f t="shared" si="445"/>
        <v>3.6304972599999994</v>
      </c>
      <c r="L426" s="13">
        <f t="shared" si="446"/>
        <v>1.7470881863560732</v>
      </c>
      <c r="M426" s="3">
        <f t="shared" ref="M426" si="461">AVERAGE(I426:I427)</f>
        <v>2.0974259311023618</v>
      </c>
      <c r="N426" s="3">
        <f t="shared" ref="N426" si="462">AVERAGE(J426:J427)</f>
        <v>0.87479573139763778</v>
      </c>
    </row>
    <row r="427" spans="1:14" x14ac:dyDescent="0.2">
      <c r="A427" s="22"/>
      <c r="B427" s="4">
        <v>100</v>
      </c>
      <c r="C427" s="4">
        <v>6</v>
      </c>
      <c r="D427" s="33">
        <v>5.8</v>
      </c>
      <c r="E427" s="23">
        <v>2.85</v>
      </c>
      <c r="F427" s="23">
        <f t="shared" si="271"/>
        <v>5.8</v>
      </c>
      <c r="G427" s="23">
        <f t="shared" si="272"/>
        <v>2.85</v>
      </c>
      <c r="H427" s="4">
        <f t="shared" si="442"/>
        <v>3.5767E-2</v>
      </c>
      <c r="I427" s="2">
        <f t="shared" si="443"/>
        <v>1.8859347677165355</v>
      </c>
      <c r="J427" s="4">
        <f t="shared" si="444"/>
        <v>0.42801129728346476</v>
      </c>
      <c r="K427" s="4">
        <f t="shared" si="445"/>
        <v>2.3139460650000001</v>
      </c>
      <c r="L427" s="13">
        <f t="shared" si="446"/>
        <v>4.4062733383121717</v>
      </c>
      <c r="M427" s="3"/>
      <c r="N427" s="3"/>
    </row>
    <row r="428" spans="1:14" x14ac:dyDescent="0.2">
      <c r="A428" s="22">
        <v>488587</v>
      </c>
      <c r="B428" s="4">
        <v>100</v>
      </c>
      <c r="C428" s="4">
        <v>8</v>
      </c>
      <c r="D428" s="33">
        <v>2.6</v>
      </c>
      <c r="E428" s="23">
        <v>1.65</v>
      </c>
      <c r="F428" s="23">
        <f t="shared" si="271"/>
        <v>2.6</v>
      </c>
      <c r="G428" s="23">
        <f t="shared" si="272"/>
        <v>1.65</v>
      </c>
      <c r="H428" s="4">
        <f t="shared" si="442"/>
        <v>3.8630000000000001E-3</v>
      </c>
      <c r="I428" s="2">
        <f t="shared" si="443"/>
        <v>6.5594956692913403E-2</v>
      </c>
      <c r="J428" s="4">
        <f t="shared" si="444"/>
        <v>7.9093708307086605E-2</v>
      </c>
      <c r="K428" s="4">
        <f t="shared" si="445"/>
        <v>0.14468866499999999</v>
      </c>
      <c r="L428" s="13">
        <f t="shared" si="446"/>
        <v>0.82933216935835907</v>
      </c>
      <c r="M428" s="3">
        <f t="shared" ref="M428" si="463">AVERAGE(I428:I429)</f>
        <v>7.2499688976377957E-2</v>
      </c>
      <c r="N428" s="3">
        <f t="shared" ref="N428" si="464">AVERAGE(J428:J429)</f>
        <v>8.0957986023622058E-2</v>
      </c>
    </row>
    <row r="429" spans="1:14" x14ac:dyDescent="0.2">
      <c r="A429" s="22"/>
      <c r="B429" s="4">
        <v>100</v>
      </c>
      <c r="C429" s="4">
        <v>8</v>
      </c>
      <c r="D429" s="33">
        <v>3</v>
      </c>
      <c r="E429" s="23">
        <v>1.85</v>
      </c>
      <c r="F429" s="23">
        <f t="shared" si="271"/>
        <v>3</v>
      </c>
      <c r="G429" s="23">
        <f t="shared" si="272"/>
        <v>1.85</v>
      </c>
      <c r="H429" s="4">
        <f t="shared" si="442"/>
        <v>3.8630000000000001E-3</v>
      </c>
      <c r="I429" s="2">
        <f t="shared" si="443"/>
        <v>7.9404421259842511E-2</v>
      </c>
      <c r="J429" s="4">
        <f t="shared" si="444"/>
        <v>8.2822263740157512E-2</v>
      </c>
      <c r="K429" s="4">
        <f t="shared" si="445"/>
        <v>0.16222668500000004</v>
      </c>
      <c r="L429" s="13">
        <f t="shared" si="446"/>
        <v>0.95873280533555605</v>
      </c>
      <c r="M429" s="3"/>
      <c r="N429" s="3"/>
    </row>
    <row r="430" spans="1:14" x14ac:dyDescent="0.2">
      <c r="A430" s="22">
        <v>488588</v>
      </c>
      <c r="B430" s="4">
        <v>100</v>
      </c>
      <c r="C430" s="4">
        <v>8</v>
      </c>
      <c r="D430" s="33">
        <v>1.65</v>
      </c>
      <c r="E430" s="23">
        <v>1.1499999999999999</v>
      </c>
      <c r="F430" s="23">
        <f t="shared" si="271"/>
        <v>1.65</v>
      </c>
      <c r="G430" s="23">
        <f t="shared" si="272"/>
        <v>1.1499999999999999</v>
      </c>
      <c r="H430" s="4">
        <f t="shared" si="442"/>
        <v>3.8630000000000001E-3</v>
      </c>
      <c r="I430" s="2">
        <f t="shared" si="443"/>
        <v>3.452366141732284E-2</v>
      </c>
      <c r="J430" s="4">
        <f t="shared" si="444"/>
        <v>6.6319953582677144E-2</v>
      </c>
      <c r="K430" s="4">
        <f t="shared" si="445"/>
        <v>0.10084361499999998</v>
      </c>
      <c r="L430" s="13">
        <f t="shared" si="446"/>
        <v>0.52056220718375867</v>
      </c>
      <c r="M430" s="3">
        <f t="shared" ref="M430" si="465">AVERAGE(I430:I431)</f>
        <v>3.452366141732284E-2</v>
      </c>
      <c r="N430" s="3">
        <f t="shared" ref="N430" si="466">AVERAGE(J430:J431)</f>
        <v>6.8512206082677163E-2</v>
      </c>
    </row>
    <row r="431" spans="1:14" x14ac:dyDescent="0.2">
      <c r="A431" s="22"/>
      <c r="B431" s="4">
        <v>100</v>
      </c>
      <c r="C431" s="4">
        <v>8</v>
      </c>
      <c r="D431" s="33">
        <v>1.7</v>
      </c>
      <c r="E431" s="23">
        <v>1.2</v>
      </c>
      <c r="F431" s="23">
        <f t="shared" si="271"/>
        <v>1.7</v>
      </c>
      <c r="G431" s="23">
        <f t="shared" si="272"/>
        <v>1.2</v>
      </c>
      <c r="H431" s="4">
        <f t="shared" si="442"/>
        <v>3.8630000000000001E-3</v>
      </c>
      <c r="I431" s="2">
        <f t="shared" si="443"/>
        <v>3.452366141732284E-2</v>
      </c>
      <c r="J431" s="4">
        <f t="shared" si="444"/>
        <v>7.0704458582677168E-2</v>
      </c>
      <c r="K431" s="4">
        <f t="shared" si="445"/>
        <v>0.10522812000000001</v>
      </c>
      <c r="L431" s="13">
        <f t="shared" si="446"/>
        <v>0.48828125000000006</v>
      </c>
      <c r="M431" s="3"/>
      <c r="N431" s="3"/>
    </row>
    <row r="432" spans="1:14" x14ac:dyDescent="0.2">
      <c r="A432" s="22">
        <v>488589</v>
      </c>
      <c r="B432" s="4">
        <v>100</v>
      </c>
      <c r="C432" s="4">
        <v>8</v>
      </c>
      <c r="D432" s="33">
        <v>2.5499999999999998</v>
      </c>
      <c r="E432" s="23">
        <v>1.6</v>
      </c>
      <c r="F432" s="23">
        <f t="shared" si="271"/>
        <v>2.5499999999999998</v>
      </c>
      <c r="G432" s="23">
        <f t="shared" si="272"/>
        <v>1.6</v>
      </c>
      <c r="H432" s="4">
        <f t="shared" si="442"/>
        <v>3.8630000000000001E-3</v>
      </c>
      <c r="I432" s="2">
        <f t="shared" si="443"/>
        <v>6.5594956692913375E-2</v>
      </c>
      <c r="J432" s="4">
        <f t="shared" si="444"/>
        <v>7.4709203307086677E-2</v>
      </c>
      <c r="K432" s="4">
        <f t="shared" si="445"/>
        <v>0.14030416000000007</v>
      </c>
      <c r="L432" s="13">
        <f t="shared" si="446"/>
        <v>0.8780036968576701</v>
      </c>
      <c r="M432" s="3">
        <f t="shared" ref="M432" si="467">AVERAGE(I432:I433)</f>
        <v>6.5594956692913375E-2</v>
      </c>
      <c r="N432" s="3">
        <f t="shared" ref="N432" si="468">AVERAGE(J432:J433)</f>
        <v>7.2516950807086644E-2</v>
      </c>
    </row>
    <row r="433" spans="1:14" x14ac:dyDescent="0.2">
      <c r="A433" s="22"/>
      <c r="B433" s="4">
        <v>100</v>
      </c>
      <c r="C433" s="4">
        <v>8</v>
      </c>
      <c r="D433" s="33">
        <v>2.5</v>
      </c>
      <c r="E433" s="23">
        <v>1.55</v>
      </c>
      <c r="F433" s="23">
        <f t="shared" si="271"/>
        <v>2.5</v>
      </c>
      <c r="G433" s="23">
        <f t="shared" si="272"/>
        <v>1.55</v>
      </c>
      <c r="H433" s="4">
        <f t="shared" si="442"/>
        <v>3.8630000000000001E-3</v>
      </c>
      <c r="I433" s="2">
        <f t="shared" si="443"/>
        <v>6.5594956692913389E-2</v>
      </c>
      <c r="J433" s="4">
        <f t="shared" si="444"/>
        <v>7.0324698307086611E-2</v>
      </c>
      <c r="K433" s="4">
        <f t="shared" si="445"/>
        <v>0.135919655</v>
      </c>
      <c r="L433" s="13">
        <f t="shared" si="446"/>
        <v>0.93274423171330401</v>
      </c>
      <c r="M433" s="3"/>
      <c r="N433" s="3"/>
    </row>
    <row r="434" spans="1:14" x14ac:dyDescent="0.2">
      <c r="A434" s="22">
        <v>488590</v>
      </c>
      <c r="B434" s="4">
        <v>100</v>
      </c>
      <c r="C434" s="4">
        <v>8</v>
      </c>
      <c r="D434" s="33">
        <v>3.95</v>
      </c>
      <c r="E434" s="23">
        <v>2.35</v>
      </c>
      <c r="F434" s="23">
        <f t="shared" si="271"/>
        <v>3.95</v>
      </c>
      <c r="G434" s="23">
        <f t="shared" si="272"/>
        <v>2.35</v>
      </c>
      <c r="H434" s="4">
        <f t="shared" si="442"/>
        <v>3.8630000000000001E-3</v>
      </c>
      <c r="I434" s="2">
        <f t="shared" si="443"/>
        <v>0.11047571653543307</v>
      </c>
      <c r="J434" s="4">
        <f t="shared" si="444"/>
        <v>9.5596018464566945E-2</v>
      </c>
      <c r="K434" s="4">
        <f t="shared" si="445"/>
        <v>0.20607173500000003</v>
      </c>
      <c r="L434" s="13">
        <f t="shared" si="446"/>
        <v>1.1556518598772119</v>
      </c>
      <c r="M434" s="3">
        <f t="shared" ref="M434" si="469">AVERAGE(I434:I435)</f>
        <v>8.2856787401574802E-2</v>
      </c>
      <c r="N434" s="3">
        <f t="shared" ref="N434" si="470">AVERAGE(J434:J435)</f>
        <v>8.8138907598425215E-2</v>
      </c>
    </row>
    <row r="435" spans="1:14" x14ac:dyDescent="0.2">
      <c r="A435" s="22"/>
      <c r="B435" s="4">
        <v>100</v>
      </c>
      <c r="C435" s="4">
        <v>8</v>
      </c>
      <c r="D435" s="33">
        <v>2.35</v>
      </c>
      <c r="E435" s="23">
        <v>1.55</v>
      </c>
      <c r="F435" s="23">
        <f t="shared" si="271"/>
        <v>2.35</v>
      </c>
      <c r="G435" s="23">
        <f t="shared" si="272"/>
        <v>1.55</v>
      </c>
      <c r="H435" s="4">
        <f t="shared" si="442"/>
        <v>3.8630000000000001E-3</v>
      </c>
      <c r="I435" s="2">
        <f t="shared" si="443"/>
        <v>5.5237858267716537E-2</v>
      </c>
      <c r="J435" s="4">
        <f t="shared" si="444"/>
        <v>8.068179673228347E-2</v>
      </c>
      <c r="K435" s="4">
        <f t="shared" si="445"/>
        <v>0.135919655</v>
      </c>
      <c r="L435" s="13">
        <f t="shared" si="446"/>
        <v>0.68463842533162167</v>
      </c>
      <c r="M435" s="3"/>
      <c r="N435" s="3"/>
    </row>
    <row r="436" spans="1:14" x14ac:dyDescent="0.2">
      <c r="A436" s="22">
        <v>488591</v>
      </c>
      <c r="B436" s="4">
        <v>100</v>
      </c>
      <c r="C436" s="4">
        <v>8</v>
      </c>
      <c r="D436" s="33">
        <v>5.6</v>
      </c>
      <c r="E436" s="23">
        <v>3.05</v>
      </c>
      <c r="F436" s="23">
        <f t="shared" si="271"/>
        <v>5.6</v>
      </c>
      <c r="G436" s="23">
        <f t="shared" si="272"/>
        <v>3.05</v>
      </c>
      <c r="H436" s="4">
        <f t="shared" si="442"/>
        <v>3.8630000000000001E-3</v>
      </c>
      <c r="I436" s="2">
        <f t="shared" si="443"/>
        <v>0.17607067322834646</v>
      </c>
      <c r="J436" s="4">
        <f t="shared" si="444"/>
        <v>9.1384131771653526E-2</v>
      </c>
      <c r="K436" s="4">
        <f t="shared" si="445"/>
        <v>0.26745480499999996</v>
      </c>
      <c r="L436" s="13">
        <f t="shared" si="446"/>
        <v>1.9267094824329434</v>
      </c>
      <c r="M436" s="3">
        <f t="shared" ref="M436" si="471">AVERAGE(I436:I437)</f>
        <v>0.16743975787401574</v>
      </c>
      <c r="N436" s="3">
        <f t="shared" ref="N436" si="472">AVERAGE(J436:J437)</f>
        <v>9.7822794625984227E-2</v>
      </c>
    </row>
    <row r="437" spans="1:14" x14ac:dyDescent="0.2">
      <c r="A437" s="22"/>
      <c r="B437" s="4">
        <v>100</v>
      </c>
      <c r="C437" s="4">
        <v>8</v>
      </c>
      <c r="D437" s="33">
        <v>5.3</v>
      </c>
      <c r="E437" s="23">
        <v>3</v>
      </c>
      <c r="F437" s="23">
        <f t="shared" si="271"/>
        <v>5.3</v>
      </c>
      <c r="G437" s="23">
        <f t="shared" si="272"/>
        <v>3</v>
      </c>
      <c r="H437" s="4">
        <f t="shared" si="442"/>
        <v>3.8630000000000001E-3</v>
      </c>
      <c r="I437" s="2">
        <f t="shared" si="443"/>
        <v>0.15880884251968502</v>
      </c>
      <c r="J437" s="4">
        <f t="shared" si="444"/>
        <v>0.10426145748031494</v>
      </c>
      <c r="K437" s="4">
        <f t="shared" si="445"/>
        <v>0.26307029999999998</v>
      </c>
      <c r="L437" s="13">
        <f t="shared" si="446"/>
        <v>1.5231788079470199</v>
      </c>
      <c r="M437" s="3"/>
      <c r="N437" s="3"/>
    </row>
    <row r="438" spans="1:14" x14ac:dyDescent="0.2">
      <c r="A438" s="22">
        <v>488592</v>
      </c>
      <c r="B438" s="4">
        <v>100</v>
      </c>
      <c r="C438" s="4">
        <v>8</v>
      </c>
      <c r="D438" s="33">
        <v>3.55</v>
      </c>
      <c r="E438" s="23">
        <v>2.2000000000000002</v>
      </c>
      <c r="F438" s="23">
        <f t="shared" si="271"/>
        <v>3.55</v>
      </c>
      <c r="G438" s="23">
        <f t="shared" si="272"/>
        <v>2.2000000000000002</v>
      </c>
      <c r="H438" s="4">
        <f t="shared" si="442"/>
        <v>3.8630000000000001E-3</v>
      </c>
      <c r="I438" s="2">
        <f t="shared" si="443"/>
        <v>9.3213885826771647E-2</v>
      </c>
      <c r="J438" s="4">
        <f t="shared" si="444"/>
        <v>9.9704334173228409E-2</v>
      </c>
      <c r="K438" s="4">
        <f t="shared" si="445"/>
        <v>0.19291822000000006</v>
      </c>
      <c r="L438" s="13">
        <f t="shared" si="446"/>
        <v>0.93490304709141214</v>
      </c>
      <c r="M438" s="3">
        <f t="shared" ref="M438" si="473">AVERAGE(I438:I439)</f>
        <v>9.1487702755905509E-2</v>
      </c>
      <c r="N438" s="3">
        <f t="shared" ref="N438" si="474">AVERAGE(J438:J439)</f>
        <v>0.10143051724409455</v>
      </c>
    </row>
    <row r="439" spans="1:14" x14ac:dyDescent="0.2">
      <c r="A439" s="22"/>
      <c r="B439" s="4">
        <v>100</v>
      </c>
      <c r="C439" s="4">
        <v>8</v>
      </c>
      <c r="D439" s="33">
        <v>3.5</v>
      </c>
      <c r="E439" s="23">
        <v>2.2000000000000002</v>
      </c>
      <c r="F439" s="23">
        <f t="shared" si="271"/>
        <v>3.5</v>
      </c>
      <c r="G439" s="23">
        <f t="shared" si="272"/>
        <v>2.2000000000000002</v>
      </c>
      <c r="H439" s="4">
        <f t="shared" si="442"/>
        <v>3.8630000000000001E-3</v>
      </c>
      <c r="I439" s="2">
        <f t="shared" si="443"/>
        <v>8.976151968503937E-2</v>
      </c>
      <c r="J439" s="4">
        <f t="shared" si="444"/>
        <v>0.10315670031496069</v>
      </c>
      <c r="K439" s="4">
        <f t="shared" si="445"/>
        <v>0.19291822000000006</v>
      </c>
      <c r="L439" s="13">
        <f t="shared" si="446"/>
        <v>0.87014725568942386</v>
      </c>
      <c r="M439" s="3"/>
      <c r="N439" s="3"/>
    </row>
    <row r="440" spans="1:14" x14ac:dyDescent="0.2">
      <c r="A440" s="22">
        <v>488593</v>
      </c>
      <c r="B440" s="4">
        <v>100</v>
      </c>
      <c r="C440" s="4">
        <v>7</v>
      </c>
      <c r="D440" s="33">
        <v>6.6</v>
      </c>
      <c r="E440" s="23">
        <v>3.4</v>
      </c>
      <c r="F440" s="23">
        <f t="shared" si="271"/>
        <v>6.6</v>
      </c>
      <c r="G440" s="23">
        <f t="shared" si="272"/>
        <v>3.4</v>
      </c>
      <c r="H440" s="4">
        <f t="shared" si="442"/>
        <v>9.7450000000000002E-3</v>
      </c>
      <c r="I440" s="2">
        <f t="shared" si="443"/>
        <v>0.5573833070866141</v>
      </c>
      <c r="J440" s="4">
        <f t="shared" si="444"/>
        <v>0.19473579291338594</v>
      </c>
      <c r="K440" s="4">
        <f t="shared" si="445"/>
        <v>0.75211910000000004</v>
      </c>
      <c r="L440" s="13">
        <f t="shared" si="446"/>
        <v>2.8622540250447206</v>
      </c>
      <c r="M440" s="3">
        <f t="shared" ref="M440" si="475">AVERAGE(I440:I441)</f>
        <v>0.58786520669291331</v>
      </c>
      <c r="N440" s="3">
        <f t="shared" ref="N440" si="476">AVERAGE(J440:J441)</f>
        <v>0.23061734330708675</v>
      </c>
    </row>
    <row r="441" spans="1:14" x14ac:dyDescent="0.2">
      <c r="A441" s="22"/>
      <c r="B441" s="4">
        <v>100</v>
      </c>
      <c r="C441" s="4">
        <v>7</v>
      </c>
      <c r="D441" s="33">
        <v>7.55</v>
      </c>
      <c r="E441" s="23">
        <v>4</v>
      </c>
      <c r="F441" s="23">
        <f t="shared" si="271"/>
        <v>7.55</v>
      </c>
      <c r="G441" s="23">
        <f t="shared" si="272"/>
        <v>4</v>
      </c>
      <c r="H441" s="4">
        <f t="shared" si="442"/>
        <v>9.7450000000000002E-3</v>
      </c>
      <c r="I441" s="2">
        <f t="shared" si="443"/>
        <v>0.61834710629921263</v>
      </c>
      <c r="J441" s="4">
        <f t="shared" si="444"/>
        <v>0.26649889370078755</v>
      </c>
      <c r="K441" s="4">
        <f t="shared" si="445"/>
        <v>0.88484600000000024</v>
      </c>
      <c r="L441" s="13">
        <f t="shared" si="446"/>
        <v>2.3202614379084956</v>
      </c>
      <c r="M441" s="3"/>
      <c r="N441" s="3"/>
    </row>
    <row r="442" spans="1:14" x14ac:dyDescent="0.2">
      <c r="A442" s="22">
        <v>488594</v>
      </c>
      <c r="B442" s="4">
        <v>100</v>
      </c>
      <c r="C442" s="4">
        <v>6</v>
      </c>
      <c r="D442" s="33">
        <v>2.8</v>
      </c>
      <c r="E442" s="23">
        <v>1.4</v>
      </c>
      <c r="F442" s="23">
        <f t="shared" si="271"/>
        <v>2.8</v>
      </c>
      <c r="G442" s="23">
        <f t="shared" si="272"/>
        <v>1.4</v>
      </c>
      <c r="H442" s="4">
        <f t="shared" si="442"/>
        <v>3.5767E-2</v>
      </c>
      <c r="I442" s="2">
        <f t="shared" si="443"/>
        <v>0.89501988976377955</v>
      </c>
      <c r="J442" s="4">
        <f t="shared" si="444"/>
        <v>0.24165537023622055</v>
      </c>
      <c r="K442" s="4">
        <f t="shared" si="445"/>
        <v>1.1366752600000001</v>
      </c>
      <c r="L442" s="13">
        <f t="shared" si="446"/>
        <v>3.7037037037037024</v>
      </c>
      <c r="M442" s="3">
        <f t="shared" ref="M442" si="477">AVERAGE(I442:I443)</f>
        <v>0.94296738385826773</v>
      </c>
      <c r="N442" s="3">
        <f t="shared" ref="N442" si="478">AVERAGE(J442:J443)</f>
        <v>0.17341010364173234</v>
      </c>
    </row>
    <row r="443" spans="1:14" x14ac:dyDescent="0.2">
      <c r="A443" s="22"/>
      <c r="B443" s="4">
        <v>100</v>
      </c>
      <c r="C443" s="4">
        <v>6</v>
      </c>
      <c r="D443" s="33">
        <v>2.9</v>
      </c>
      <c r="E443" s="23">
        <v>1.35</v>
      </c>
      <c r="F443" s="23">
        <f t="shared" si="271"/>
        <v>2.9</v>
      </c>
      <c r="G443" s="23">
        <f t="shared" si="272"/>
        <v>1.35</v>
      </c>
      <c r="H443" s="4">
        <f t="shared" si="442"/>
        <v>3.5767E-2</v>
      </c>
      <c r="I443" s="2">
        <f t="shared" si="443"/>
        <v>0.99091487795275579</v>
      </c>
      <c r="J443" s="4">
        <f t="shared" si="444"/>
        <v>0.10516483704724414</v>
      </c>
      <c r="K443" s="4">
        <f t="shared" si="445"/>
        <v>1.0960797149999999</v>
      </c>
      <c r="L443" s="13">
        <f t="shared" si="446"/>
        <v>9.4224924012158002</v>
      </c>
      <c r="M443" s="3"/>
      <c r="N443" s="3"/>
    </row>
    <row r="444" spans="1:14" x14ac:dyDescent="0.2">
      <c r="A444" s="22">
        <v>488595</v>
      </c>
      <c r="B444" s="4">
        <v>100</v>
      </c>
      <c r="C444" s="4">
        <v>7</v>
      </c>
      <c r="D444" s="33">
        <v>7</v>
      </c>
      <c r="E444" s="23">
        <v>3.55</v>
      </c>
      <c r="F444" s="23">
        <f t="shared" si="271"/>
        <v>7</v>
      </c>
      <c r="G444" s="23">
        <f t="shared" si="272"/>
        <v>3.55</v>
      </c>
      <c r="H444" s="4">
        <f t="shared" si="442"/>
        <v>9.7450000000000002E-3</v>
      </c>
      <c r="I444" s="2">
        <f t="shared" si="443"/>
        <v>0.60092887795275596</v>
      </c>
      <c r="J444" s="4">
        <f t="shared" si="444"/>
        <v>0.18437194704724416</v>
      </c>
      <c r="K444" s="4">
        <f t="shared" si="445"/>
        <v>0.78530082500000009</v>
      </c>
      <c r="L444" s="13">
        <f t="shared" si="446"/>
        <v>3.2593292394898432</v>
      </c>
      <c r="M444" s="3">
        <f t="shared" ref="M444" si="479">AVERAGE(I444:I445)</f>
        <v>0.57480153543307089</v>
      </c>
      <c r="N444" s="3">
        <f t="shared" ref="N444" si="480">AVERAGE(J444:J445)</f>
        <v>0.16625698956692919</v>
      </c>
    </row>
    <row r="445" spans="1:14" x14ac:dyDescent="0.2">
      <c r="A445" s="22"/>
      <c r="B445" s="4">
        <v>100</v>
      </c>
      <c r="C445" s="4">
        <v>7</v>
      </c>
      <c r="D445" s="33">
        <v>6.3</v>
      </c>
      <c r="E445" s="23">
        <v>3.15</v>
      </c>
      <c r="F445" s="23">
        <f t="shared" si="271"/>
        <v>6.3</v>
      </c>
      <c r="G445" s="23">
        <f t="shared" si="272"/>
        <v>3.15</v>
      </c>
      <c r="H445" s="4">
        <f t="shared" si="442"/>
        <v>9.7450000000000002E-3</v>
      </c>
      <c r="I445" s="2">
        <f t="shared" si="443"/>
        <v>0.54867419291338582</v>
      </c>
      <c r="J445" s="4">
        <f t="shared" si="444"/>
        <v>0.14814203208661425</v>
      </c>
      <c r="K445" s="4">
        <f t="shared" si="445"/>
        <v>0.69681622500000007</v>
      </c>
      <c r="L445" s="13">
        <f t="shared" si="446"/>
        <v>3.7037037037037015</v>
      </c>
      <c r="M445" s="3"/>
      <c r="N445" s="3"/>
    </row>
    <row r="446" spans="1:14" x14ac:dyDescent="0.2">
      <c r="A446" s="22">
        <v>488597</v>
      </c>
      <c r="B446" s="4">
        <v>100</v>
      </c>
      <c r="C446" s="4">
        <v>8</v>
      </c>
      <c r="D446" s="33">
        <v>1.5</v>
      </c>
      <c r="E446" s="23">
        <v>1.1000000000000001</v>
      </c>
      <c r="F446" s="23">
        <f t="shared" si="271"/>
        <v>1.5</v>
      </c>
      <c r="G446" s="23">
        <f t="shared" si="272"/>
        <v>1.1000000000000001</v>
      </c>
      <c r="H446" s="4">
        <f t="shared" si="442"/>
        <v>3.8630000000000001E-3</v>
      </c>
      <c r="I446" s="2">
        <f t="shared" si="443"/>
        <v>2.7618929133858265E-2</v>
      </c>
      <c r="J446" s="4">
        <f t="shared" si="444"/>
        <v>6.8840180866141756E-2</v>
      </c>
      <c r="K446" s="4">
        <f t="shared" si="445"/>
        <v>9.6459110000000015E-2</v>
      </c>
      <c r="L446" s="13">
        <f t="shared" si="446"/>
        <v>0.40120361083249734</v>
      </c>
      <c r="M446" s="3">
        <f t="shared" ref="M446" si="481">AVERAGE(I446:I447)</f>
        <v>2.9345112204724404E-2</v>
      </c>
      <c r="N446" s="3">
        <f t="shared" ref="N446" si="482">AVERAGE(J446:J447)</f>
        <v>7.3690755295275606E-2</v>
      </c>
    </row>
    <row r="447" spans="1:14" x14ac:dyDescent="0.2">
      <c r="A447" s="22"/>
      <c r="B447" s="4">
        <v>100</v>
      </c>
      <c r="C447" s="4">
        <v>8</v>
      </c>
      <c r="D447" s="33">
        <v>1.7</v>
      </c>
      <c r="E447" s="23">
        <v>1.25</v>
      </c>
      <c r="F447" s="23">
        <f t="shared" si="271"/>
        <v>1.7</v>
      </c>
      <c r="G447" s="23">
        <f t="shared" si="272"/>
        <v>1.25</v>
      </c>
      <c r="H447" s="4">
        <f t="shared" si="442"/>
        <v>3.8630000000000001E-3</v>
      </c>
      <c r="I447" s="2">
        <f t="shared" si="443"/>
        <v>3.1071295275590546E-2</v>
      </c>
      <c r="J447" s="4">
        <f t="shared" si="444"/>
        <v>7.854132972440947E-2</v>
      </c>
      <c r="K447" s="4">
        <f t="shared" si="445"/>
        <v>0.10961262500000002</v>
      </c>
      <c r="L447" s="13">
        <f t="shared" si="446"/>
        <v>0.39560439560439542</v>
      </c>
      <c r="M447" s="3"/>
      <c r="N447" s="3"/>
    </row>
    <row r="448" spans="1:14" x14ac:dyDescent="0.2">
      <c r="A448" s="22">
        <v>488598</v>
      </c>
      <c r="B448" s="4">
        <v>100</v>
      </c>
      <c r="C448" s="4">
        <v>8</v>
      </c>
      <c r="D448" s="33">
        <v>2.5499999999999998</v>
      </c>
      <c r="E448" s="23">
        <v>1.9</v>
      </c>
      <c r="F448" s="23">
        <f t="shared" si="271"/>
        <v>2.5499999999999998</v>
      </c>
      <c r="G448" s="23">
        <f t="shared" si="272"/>
        <v>1.9</v>
      </c>
      <c r="H448" s="4">
        <f t="shared" si="442"/>
        <v>3.8630000000000001E-3</v>
      </c>
      <c r="I448" s="2">
        <f t="shared" si="443"/>
        <v>4.4880759842519685E-2</v>
      </c>
      <c r="J448" s="4">
        <f t="shared" si="444"/>
        <v>0.12173043015748033</v>
      </c>
      <c r="K448" s="4">
        <f t="shared" si="445"/>
        <v>0.16661119000000002</v>
      </c>
      <c r="L448" s="13">
        <f t="shared" si="446"/>
        <v>0.36868973340896194</v>
      </c>
      <c r="M448" s="3">
        <f t="shared" ref="M448" si="483">AVERAGE(I448:I449)</f>
        <v>4.4880759842519685E-2</v>
      </c>
      <c r="N448" s="3">
        <f t="shared" ref="N448" si="484">AVERAGE(J448:J449)</f>
        <v>0.12611493515748035</v>
      </c>
    </row>
    <row r="449" spans="1:14" x14ac:dyDescent="0.2">
      <c r="A449" s="22"/>
      <c r="B449" s="4">
        <v>100</v>
      </c>
      <c r="C449" s="4">
        <v>8</v>
      </c>
      <c r="D449" s="33">
        <v>2.65</v>
      </c>
      <c r="E449" s="23">
        <v>2</v>
      </c>
      <c r="F449" s="23">
        <f t="shared" si="271"/>
        <v>2.65</v>
      </c>
      <c r="G449" s="23">
        <f t="shared" si="272"/>
        <v>2</v>
      </c>
      <c r="H449" s="4">
        <f t="shared" si="442"/>
        <v>3.8630000000000001E-3</v>
      </c>
      <c r="I449" s="2">
        <f t="shared" si="443"/>
        <v>4.4880759842519685E-2</v>
      </c>
      <c r="J449" s="4">
        <f t="shared" si="444"/>
        <v>0.13049944015748033</v>
      </c>
      <c r="K449" s="4">
        <f t="shared" si="445"/>
        <v>0.17538020000000001</v>
      </c>
      <c r="L449" s="13">
        <f t="shared" si="446"/>
        <v>0.3439153439153439</v>
      </c>
      <c r="M449" s="3"/>
      <c r="N449" s="3"/>
    </row>
    <row r="450" spans="1:14" x14ac:dyDescent="0.2">
      <c r="A450" s="22">
        <v>488599</v>
      </c>
      <c r="B450" s="4">
        <v>100</v>
      </c>
      <c r="C450" s="4">
        <v>8</v>
      </c>
      <c r="D450" s="33">
        <v>3.95</v>
      </c>
      <c r="E450" s="23">
        <v>2.85</v>
      </c>
      <c r="F450" s="23">
        <f t="shared" si="271"/>
        <v>3.95</v>
      </c>
      <c r="G450" s="23">
        <f t="shared" si="272"/>
        <v>2.85</v>
      </c>
      <c r="H450" s="4">
        <f t="shared" si="442"/>
        <v>3.8630000000000001E-3</v>
      </c>
      <c r="I450" s="2">
        <f t="shared" si="443"/>
        <v>7.5952055118110248E-2</v>
      </c>
      <c r="J450" s="4">
        <f t="shared" si="444"/>
        <v>0.17396472988188982</v>
      </c>
      <c r="K450" s="4">
        <f t="shared" si="445"/>
        <v>0.24991678500000009</v>
      </c>
      <c r="L450" s="13">
        <f t="shared" si="446"/>
        <v>0.43659456241317712</v>
      </c>
      <c r="M450" s="3">
        <f t="shared" ref="M450" si="485">AVERAGE(I450:I451)</f>
        <v>7.4225872047244096E-2</v>
      </c>
      <c r="N450" s="3">
        <f t="shared" ref="N450" si="486">AVERAGE(J450:J451)</f>
        <v>0.180075417952756</v>
      </c>
    </row>
    <row r="451" spans="1:14" x14ac:dyDescent="0.2">
      <c r="A451" s="22"/>
      <c r="B451" s="4">
        <v>100</v>
      </c>
      <c r="C451" s="4">
        <v>8</v>
      </c>
      <c r="D451" s="33">
        <v>4</v>
      </c>
      <c r="E451" s="23">
        <v>2.95</v>
      </c>
      <c r="F451" s="23">
        <f t="shared" si="271"/>
        <v>4</v>
      </c>
      <c r="G451" s="23">
        <f t="shared" si="272"/>
        <v>2.95</v>
      </c>
      <c r="H451" s="4">
        <f t="shared" si="442"/>
        <v>3.8630000000000001E-3</v>
      </c>
      <c r="I451" s="2">
        <f t="shared" si="443"/>
        <v>7.2499688976377943E-2</v>
      </c>
      <c r="J451" s="4">
        <f t="shared" si="444"/>
        <v>0.18618610602362215</v>
      </c>
      <c r="K451" s="4">
        <f t="shared" si="445"/>
        <v>0.25868579500000011</v>
      </c>
      <c r="L451" s="13">
        <f t="shared" si="446"/>
        <v>0.38939365844613361</v>
      </c>
      <c r="M451" s="3"/>
      <c r="N451" s="3"/>
    </row>
    <row r="452" spans="1:14" x14ac:dyDescent="0.2">
      <c r="A452" s="22">
        <v>488600</v>
      </c>
      <c r="B452" s="4">
        <v>100</v>
      </c>
      <c r="C452" s="4">
        <v>8</v>
      </c>
      <c r="D452" s="33">
        <v>4.9000000000000004</v>
      </c>
      <c r="E452" s="23">
        <v>3.45</v>
      </c>
      <c r="F452" s="23">
        <f t="shared" si="271"/>
        <v>4.9000000000000004</v>
      </c>
      <c r="G452" s="23">
        <f t="shared" si="272"/>
        <v>3.45</v>
      </c>
      <c r="H452" s="4">
        <f t="shared" si="442"/>
        <v>3.8630000000000001E-3</v>
      </c>
      <c r="I452" s="2">
        <f t="shared" si="443"/>
        <v>0.10011861811023623</v>
      </c>
      <c r="J452" s="4">
        <f t="shared" si="444"/>
        <v>0.20241222688976379</v>
      </c>
      <c r="K452" s="4">
        <f t="shared" si="445"/>
        <v>0.30253084500000005</v>
      </c>
      <c r="L452" s="13">
        <f t="shared" si="446"/>
        <v>0.49462732389561659</v>
      </c>
      <c r="M452" s="3">
        <f t="shared" ref="M452" si="487">AVERAGE(I452:I453)</f>
        <v>8.8035336614173232E-2</v>
      </c>
      <c r="N452" s="3">
        <f t="shared" ref="N452" si="488">AVERAGE(J452:J453)</f>
        <v>0.19914974088582676</v>
      </c>
    </row>
    <row r="453" spans="1:14" x14ac:dyDescent="0.2">
      <c r="A453" s="22"/>
      <c r="B453" s="4">
        <v>100</v>
      </c>
      <c r="C453" s="4">
        <v>8</v>
      </c>
      <c r="D453" s="33">
        <v>4.2</v>
      </c>
      <c r="E453" s="23">
        <v>3.1</v>
      </c>
      <c r="F453" s="23">
        <f t="shared" si="271"/>
        <v>4.2</v>
      </c>
      <c r="G453" s="23">
        <f t="shared" si="272"/>
        <v>3.1</v>
      </c>
      <c r="H453" s="4">
        <f t="shared" si="442"/>
        <v>3.8630000000000001E-3</v>
      </c>
      <c r="I453" s="2">
        <f t="shared" si="443"/>
        <v>7.5952055118110248E-2</v>
      </c>
      <c r="J453" s="4">
        <f t="shared" si="444"/>
        <v>0.19588725488188977</v>
      </c>
      <c r="K453" s="4">
        <f t="shared" si="445"/>
        <v>0.27183931</v>
      </c>
      <c r="L453" s="13">
        <f t="shared" si="446"/>
        <v>0.38773352132534372</v>
      </c>
      <c r="M453" s="3"/>
      <c r="N453" s="3"/>
    </row>
    <row r="454" spans="1:14" x14ac:dyDescent="0.2">
      <c r="A454" s="22">
        <v>488601</v>
      </c>
      <c r="B454" s="4">
        <v>100</v>
      </c>
      <c r="C454" s="4">
        <v>7</v>
      </c>
      <c r="D454" s="33">
        <v>2.6</v>
      </c>
      <c r="E454" s="23">
        <v>1.85</v>
      </c>
      <c r="F454" s="23">
        <f t="shared" si="271"/>
        <v>2.6</v>
      </c>
      <c r="G454" s="23">
        <f t="shared" si="272"/>
        <v>1.85</v>
      </c>
      <c r="H454" s="4">
        <f t="shared" si="442"/>
        <v>9.7450000000000002E-3</v>
      </c>
      <c r="I454" s="2">
        <f t="shared" si="443"/>
        <v>0.13063671259842521</v>
      </c>
      <c r="J454" s="4">
        <f t="shared" si="444"/>
        <v>0.27860456240157488</v>
      </c>
      <c r="K454" s="4">
        <f t="shared" si="445"/>
        <v>0.40924127500000007</v>
      </c>
      <c r="L454" s="13">
        <f t="shared" si="446"/>
        <v>0.46889653016567667</v>
      </c>
      <c r="M454" s="3">
        <f t="shared" ref="M454" si="489">AVERAGE(I454:I455)</f>
        <v>0.11757304133858268</v>
      </c>
      <c r="N454" s="3">
        <f t="shared" ref="N454" si="490">AVERAGE(J454:J455)</f>
        <v>0.28613794616141741</v>
      </c>
    </row>
    <row r="455" spans="1:14" x14ac:dyDescent="0.2">
      <c r="A455" s="22"/>
      <c r="B455" s="4">
        <v>100</v>
      </c>
      <c r="C455" s="4">
        <v>7</v>
      </c>
      <c r="D455" s="33">
        <v>2.4</v>
      </c>
      <c r="E455" s="23">
        <v>1.8</v>
      </c>
      <c r="F455" s="23">
        <f t="shared" si="271"/>
        <v>2.4</v>
      </c>
      <c r="G455" s="23">
        <f t="shared" si="272"/>
        <v>1.8</v>
      </c>
      <c r="H455" s="4">
        <f t="shared" si="442"/>
        <v>9.7450000000000002E-3</v>
      </c>
      <c r="I455" s="2">
        <f t="shared" si="443"/>
        <v>0.10450937007874014</v>
      </c>
      <c r="J455" s="4">
        <f t="shared" si="444"/>
        <v>0.29367132992125988</v>
      </c>
      <c r="K455" s="4">
        <f t="shared" si="445"/>
        <v>0.39818070000000005</v>
      </c>
      <c r="L455" s="13">
        <f t="shared" si="446"/>
        <v>0.35587188612099635</v>
      </c>
      <c r="M455" s="3"/>
      <c r="N455" s="3"/>
    </row>
    <row r="456" spans="1:14" x14ac:dyDescent="0.2">
      <c r="A456" s="22">
        <v>488602</v>
      </c>
      <c r="B456" s="4">
        <v>100</v>
      </c>
      <c r="C456" s="4">
        <v>7</v>
      </c>
      <c r="D456" s="33">
        <v>5.4</v>
      </c>
      <c r="E456" s="23">
        <v>3.45</v>
      </c>
      <c r="F456" s="23">
        <f t="shared" si="271"/>
        <v>5.4</v>
      </c>
      <c r="G456" s="23">
        <f t="shared" si="272"/>
        <v>3.45</v>
      </c>
      <c r="H456" s="4">
        <f t="shared" si="442"/>
        <v>9.7450000000000002E-3</v>
      </c>
      <c r="I456" s="2">
        <f t="shared" si="443"/>
        <v>0.33965545275590558</v>
      </c>
      <c r="J456" s="4">
        <f t="shared" si="444"/>
        <v>0.42352422224409458</v>
      </c>
      <c r="K456" s="4">
        <f t="shared" si="445"/>
        <v>0.76317967500000017</v>
      </c>
      <c r="L456" s="13">
        <f t="shared" si="446"/>
        <v>0.80197409006785936</v>
      </c>
      <c r="M456" s="3">
        <f t="shared" ref="M456" si="491">AVERAGE(I456:I457)</f>
        <v>0.35271912401574801</v>
      </c>
      <c r="N456" s="3">
        <f t="shared" ref="N456" si="492">AVERAGE(J456:J457)</f>
        <v>0.41046055098425205</v>
      </c>
    </row>
    <row r="457" spans="1:14" x14ac:dyDescent="0.2">
      <c r="A457" s="22"/>
      <c r="B457" s="4">
        <v>100</v>
      </c>
      <c r="C457" s="4">
        <v>7</v>
      </c>
      <c r="D457" s="33">
        <v>5.55</v>
      </c>
      <c r="E457" s="23">
        <v>3.45</v>
      </c>
      <c r="F457" s="23">
        <f t="shared" si="271"/>
        <v>5.55</v>
      </c>
      <c r="G457" s="23">
        <f t="shared" si="272"/>
        <v>3.45</v>
      </c>
      <c r="H457" s="4">
        <f t="shared" si="442"/>
        <v>9.7450000000000002E-3</v>
      </c>
      <c r="I457" s="2">
        <f t="shared" si="443"/>
        <v>0.36578279527559049</v>
      </c>
      <c r="J457" s="4">
        <f t="shared" si="444"/>
        <v>0.39739687972440946</v>
      </c>
      <c r="K457" s="4">
        <f t="shared" si="445"/>
        <v>0.76317967499999995</v>
      </c>
      <c r="L457" s="13">
        <f t="shared" si="446"/>
        <v>0.92044707429322792</v>
      </c>
      <c r="M457" s="3"/>
      <c r="N457" s="3"/>
    </row>
    <row r="458" spans="1:14" x14ac:dyDescent="0.2">
      <c r="A458" s="22">
        <v>488603</v>
      </c>
      <c r="B458" s="4">
        <v>100</v>
      </c>
      <c r="C458" s="4">
        <v>6</v>
      </c>
      <c r="D458" s="33">
        <v>4.8</v>
      </c>
      <c r="E458" s="23">
        <v>2.4</v>
      </c>
      <c r="F458" s="23">
        <f t="shared" si="271"/>
        <v>4.8</v>
      </c>
      <c r="G458" s="23">
        <f t="shared" si="272"/>
        <v>2.4</v>
      </c>
      <c r="H458" s="4">
        <f t="shared" si="442"/>
        <v>3.5767E-2</v>
      </c>
      <c r="I458" s="2">
        <f t="shared" si="443"/>
        <v>1.5343198110236218</v>
      </c>
      <c r="J458" s="4">
        <f t="shared" si="444"/>
        <v>0.4142663489763781</v>
      </c>
      <c r="K458" s="4">
        <f t="shared" si="445"/>
        <v>1.9485861599999998</v>
      </c>
      <c r="L458" s="13">
        <f t="shared" si="446"/>
        <v>3.7037037037037019</v>
      </c>
      <c r="M458" s="3">
        <f t="shared" ref="M458" si="493">AVERAGE(I458:I459)</f>
        <v>1.5822673051181102</v>
      </c>
      <c r="N458" s="3">
        <f t="shared" ref="N458" si="494">AVERAGE(J458:J459)</f>
        <v>0.38661662738189012</v>
      </c>
    </row>
    <row r="459" spans="1:14" x14ac:dyDescent="0.2">
      <c r="A459" s="22"/>
      <c r="B459" s="4">
        <v>100</v>
      </c>
      <c r="C459" s="4">
        <v>6</v>
      </c>
      <c r="D459" s="33">
        <v>5</v>
      </c>
      <c r="E459" s="23">
        <v>2.4500000000000002</v>
      </c>
      <c r="F459" s="23">
        <f t="shared" si="271"/>
        <v>5</v>
      </c>
      <c r="G459" s="23">
        <f t="shared" si="272"/>
        <v>2.4500000000000002</v>
      </c>
      <c r="H459" s="4">
        <f t="shared" si="442"/>
        <v>3.5767E-2</v>
      </c>
      <c r="I459" s="2">
        <f t="shared" si="443"/>
        <v>1.6302147992125984</v>
      </c>
      <c r="J459" s="4">
        <f t="shared" si="444"/>
        <v>0.35896690578740215</v>
      </c>
      <c r="K459" s="4">
        <f t="shared" si="445"/>
        <v>1.9891817050000005</v>
      </c>
      <c r="L459" s="13">
        <f t="shared" si="446"/>
        <v>4.5414069456812038</v>
      </c>
      <c r="M459" s="3"/>
      <c r="N459" s="3"/>
    </row>
    <row r="460" spans="1:14" x14ac:dyDescent="0.2">
      <c r="A460" s="22">
        <v>488604</v>
      </c>
      <c r="B460" s="4">
        <v>100</v>
      </c>
      <c r="C460" s="4">
        <v>7</v>
      </c>
      <c r="D460" s="33">
        <v>4.3</v>
      </c>
      <c r="E460" s="23">
        <v>2.2999999999999998</v>
      </c>
      <c r="F460" s="23">
        <f t="shared" si="271"/>
        <v>4.3</v>
      </c>
      <c r="G460" s="23">
        <f t="shared" si="272"/>
        <v>2.2999999999999998</v>
      </c>
      <c r="H460" s="4">
        <f t="shared" si="442"/>
        <v>9.7450000000000002E-3</v>
      </c>
      <c r="I460" s="2">
        <f t="shared" si="443"/>
        <v>0.34836456692913387</v>
      </c>
      <c r="J460" s="4">
        <f t="shared" si="444"/>
        <v>0.16042188307086605</v>
      </c>
      <c r="K460" s="4">
        <f t="shared" si="445"/>
        <v>0.50878644999999989</v>
      </c>
      <c r="L460" s="13">
        <f t="shared" si="446"/>
        <v>2.1715526601520101</v>
      </c>
      <c r="M460" s="3">
        <f t="shared" ref="M460" si="495">AVERAGE(I460:I461)</f>
        <v>0.36142823818897635</v>
      </c>
      <c r="N460" s="3">
        <f t="shared" ref="N460" si="496">AVERAGE(J460:J461)</f>
        <v>0.16394907431102368</v>
      </c>
    </row>
    <row r="461" spans="1:14" x14ac:dyDescent="0.2">
      <c r="A461" s="22"/>
      <c r="B461" s="4">
        <v>100</v>
      </c>
      <c r="C461" s="4">
        <v>7</v>
      </c>
      <c r="D461" s="33">
        <v>4.5999999999999996</v>
      </c>
      <c r="E461" s="23">
        <v>2.4500000000000002</v>
      </c>
      <c r="F461" s="23">
        <f t="shared" si="271"/>
        <v>4.5999999999999996</v>
      </c>
      <c r="G461" s="23">
        <f t="shared" si="272"/>
        <v>2.4500000000000002</v>
      </c>
      <c r="H461" s="4">
        <f t="shared" si="442"/>
        <v>9.7450000000000002E-3</v>
      </c>
      <c r="I461" s="2">
        <f t="shared" si="443"/>
        <v>0.37449190944881883</v>
      </c>
      <c r="J461" s="4">
        <f t="shared" si="444"/>
        <v>0.16747626555118131</v>
      </c>
      <c r="K461" s="4">
        <f t="shared" si="445"/>
        <v>0.54196817500000016</v>
      </c>
      <c r="L461" s="13">
        <f t="shared" si="446"/>
        <v>2.2360894435777401</v>
      </c>
      <c r="M461" s="3"/>
      <c r="N461" s="3"/>
    </row>
    <row r="462" spans="1:14" x14ac:dyDescent="0.2">
      <c r="A462" s="22">
        <v>488605</v>
      </c>
      <c r="B462" s="4">
        <v>100</v>
      </c>
      <c r="C462" s="4">
        <v>7</v>
      </c>
      <c r="D462" s="33">
        <v>3.2</v>
      </c>
      <c r="E462" s="23">
        <v>1.75</v>
      </c>
      <c r="F462" s="23">
        <f t="shared" si="271"/>
        <v>3.2</v>
      </c>
      <c r="G462" s="23">
        <f t="shared" si="272"/>
        <v>1.75</v>
      </c>
      <c r="H462" s="4">
        <f t="shared" si="442"/>
        <v>9.7450000000000002E-3</v>
      </c>
      <c r="I462" s="2">
        <f t="shared" si="443"/>
        <v>0.25256431102362209</v>
      </c>
      <c r="J462" s="4">
        <f t="shared" si="444"/>
        <v>0.13455581397637792</v>
      </c>
      <c r="K462" s="4">
        <f t="shared" si="445"/>
        <v>0.38712012500000004</v>
      </c>
      <c r="L462" s="13">
        <f t="shared" si="446"/>
        <v>1.8770226537216836</v>
      </c>
      <c r="M462" s="3">
        <f t="shared" ref="M462" si="497">AVERAGE(I462:I463)</f>
        <v>0.24820975393700789</v>
      </c>
      <c r="N462" s="3">
        <f t="shared" ref="N462" si="498">AVERAGE(J462:J463)</f>
        <v>0.12784979606299213</v>
      </c>
    </row>
    <row r="463" spans="1:14" x14ac:dyDescent="0.2">
      <c r="A463" s="22"/>
      <c r="B463" s="4">
        <v>100</v>
      </c>
      <c r="C463" s="4">
        <v>7</v>
      </c>
      <c r="D463" s="33">
        <v>3.05</v>
      </c>
      <c r="E463" s="23">
        <v>1.65</v>
      </c>
      <c r="F463" s="23">
        <f t="shared" si="271"/>
        <v>3.05</v>
      </c>
      <c r="G463" s="23">
        <f t="shared" si="272"/>
        <v>1.65</v>
      </c>
      <c r="H463" s="4">
        <f t="shared" si="442"/>
        <v>9.7450000000000002E-3</v>
      </c>
      <c r="I463" s="2">
        <f t="shared" si="443"/>
        <v>0.2438551968503937</v>
      </c>
      <c r="J463" s="4">
        <f t="shared" si="444"/>
        <v>0.12114377814960633</v>
      </c>
      <c r="K463" s="4">
        <f t="shared" si="445"/>
        <v>0.364998975</v>
      </c>
      <c r="L463" s="13">
        <f t="shared" si="446"/>
        <v>2.0129403306973392</v>
      </c>
      <c r="M463" s="3"/>
      <c r="N463" s="3"/>
    </row>
    <row r="464" spans="1:14" x14ac:dyDescent="0.2">
      <c r="A464" s="22">
        <v>488607</v>
      </c>
      <c r="B464" s="4">
        <v>100</v>
      </c>
      <c r="C464" s="4">
        <v>8</v>
      </c>
      <c r="D464" s="33">
        <v>2.6</v>
      </c>
      <c r="E464" s="23">
        <v>1.95</v>
      </c>
      <c r="F464" s="23">
        <f t="shared" si="271"/>
        <v>2.6</v>
      </c>
      <c r="G464" s="23">
        <f t="shared" si="272"/>
        <v>1.95</v>
      </c>
      <c r="H464" s="4">
        <f t="shared" si="442"/>
        <v>3.8630000000000001E-3</v>
      </c>
      <c r="I464" s="2">
        <f t="shared" si="443"/>
        <v>4.4880759842519692E-2</v>
      </c>
      <c r="J464" s="4">
        <f t="shared" si="444"/>
        <v>0.12611493515748029</v>
      </c>
      <c r="K464" s="4">
        <f t="shared" si="445"/>
        <v>0.17099569499999998</v>
      </c>
      <c r="L464" s="13">
        <f t="shared" si="446"/>
        <v>0.35587188612099657</v>
      </c>
      <c r="M464" s="3">
        <f t="shared" ref="M464" si="499">AVERAGE(I464:I465)</f>
        <v>4.4880759842519692E-2</v>
      </c>
      <c r="N464" s="3">
        <f t="shared" ref="N464" si="500">AVERAGE(J464:J465)</f>
        <v>0.12611493515748029</v>
      </c>
    </row>
    <row r="465" spans="1:14" x14ac:dyDescent="0.2">
      <c r="A465" s="22"/>
      <c r="B465" s="4">
        <v>100</v>
      </c>
      <c r="C465" s="4">
        <v>8</v>
      </c>
      <c r="D465" s="33">
        <v>2.6</v>
      </c>
      <c r="E465" s="23">
        <v>1.95</v>
      </c>
      <c r="F465" s="23">
        <f t="shared" si="271"/>
        <v>2.6</v>
      </c>
      <c r="G465" s="23">
        <f t="shared" si="272"/>
        <v>1.95</v>
      </c>
      <c r="H465" s="4">
        <f t="shared" si="442"/>
        <v>3.8630000000000001E-3</v>
      </c>
      <c r="I465" s="2">
        <f t="shared" si="443"/>
        <v>4.4880759842519692E-2</v>
      </c>
      <c r="J465" s="4">
        <f t="shared" si="444"/>
        <v>0.12611493515748029</v>
      </c>
      <c r="K465" s="4">
        <f t="shared" si="445"/>
        <v>0.17099569499999998</v>
      </c>
      <c r="L465" s="13">
        <f t="shared" si="446"/>
        <v>0.35587188612099657</v>
      </c>
      <c r="M465" s="3"/>
      <c r="N465" s="3"/>
    </row>
    <row r="466" spans="1:14" x14ac:dyDescent="0.2">
      <c r="A466" s="22">
        <v>488608</v>
      </c>
      <c r="B466" s="4">
        <v>100</v>
      </c>
      <c r="C466" s="4">
        <v>8</v>
      </c>
      <c r="D466" s="33">
        <v>3.75</v>
      </c>
      <c r="E466" s="23">
        <v>2.4500000000000002</v>
      </c>
      <c r="F466" s="23">
        <f t="shared" si="271"/>
        <v>3.75</v>
      </c>
      <c r="G466" s="23">
        <f t="shared" si="272"/>
        <v>2.4500000000000002</v>
      </c>
      <c r="H466" s="4">
        <f t="shared" si="442"/>
        <v>3.8630000000000001E-3</v>
      </c>
      <c r="I466" s="2">
        <f t="shared" si="443"/>
        <v>8.976151968503937E-2</v>
      </c>
      <c r="J466" s="4">
        <f t="shared" si="444"/>
        <v>0.12507922531496071</v>
      </c>
      <c r="K466" s="4">
        <f t="shared" si="445"/>
        <v>0.21484074500000008</v>
      </c>
      <c r="L466" s="13">
        <f t="shared" si="446"/>
        <v>0.71763731714049084</v>
      </c>
      <c r="M466" s="3">
        <f t="shared" ref="M466" si="501">AVERAGE(I466:I467)</f>
        <v>8.8035336614173232E-2</v>
      </c>
      <c r="N466" s="3">
        <f t="shared" ref="N466" si="502">AVERAGE(J466:J467)</f>
        <v>0.13995892338582683</v>
      </c>
    </row>
    <row r="467" spans="1:14" x14ac:dyDescent="0.2">
      <c r="A467" s="22"/>
      <c r="B467" s="4">
        <v>100</v>
      </c>
      <c r="C467" s="4">
        <v>8</v>
      </c>
      <c r="D467" s="33">
        <v>4</v>
      </c>
      <c r="E467" s="23">
        <v>2.75</v>
      </c>
      <c r="F467" s="23">
        <f t="shared" si="271"/>
        <v>4</v>
      </c>
      <c r="G467" s="23">
        <f t="shared" si="272"/>
        <v>2.75</v>
      </c>
      <c r="H467" s="4">
        <f t="shared" si="442"/>
        <v>3.8630000000000001E-3</v>
      </c>
      <c r="I467" s="2">
        <f t="shared" si="443"/>
        <v>8.6309153543307093E-2</v>
      </c>
      <c r="J467" s="4">
        <f t="shared" si="444"/>
        <v>0.15483862145669292</v>
      </c>
      <c r="K467" s="4">
        <f t="shared" si="445"/>
        <v>0.24114777500000001</v>
      </c>
      <c r="L467" s="13">
        <f t="shared" si="446"/>
        <v>0.55741360089186176</v>
      </c>
      <c r="M467" s="3"/>
      <c r="N467" s="3"/>
    </row>
    <row r="468" spans="1:14" x14ac:dyDescent="0.2">
      <c r="A468" s="22">
        <v>488609</v>
      </c>
      <c r="B468" s="4">
        <v>100</v>
      </c>
      <c r="C468" s="4">
        <v>8</v>
      </c>
      <c r="D468" s="33">
        <v>5.85</v>
      </c>
      <c r="E468" s="23">
        <v>3.95</v>
      </c>
      <c r="F468" s="23">
        <f t="shared" si="271"/>
        <v>5.85</v>
      </c>
      <c r="G468" s="23">
        <f t="shared" si="272"/>
        <v>3.95</v>
      </c>
      <c r="H468" s="4">
        <f t="shared" si="442"/>
        <v>3.8630000000000001E-3</v>
      </c>
      <c r="I468" s="2">
        <f t="shared" si="443"/>
        <v>0.13118991338582675</v>
      </c>
      <c r="J468" s="4">
        <f t="shared" si="444"/>
        <v>0.21518598161417329</v>
      </c>
      <c r="K468" s="4">
        <f t="shared" si="445"/>
        <v>0.34637589500000004</v>
      </c>
      <c r="L468" s="13">
        <f t="shared" si="446"/>
        <v>0.60965827049574817</v>
      </c>
      <c r="M468" s="3">
        <f t="shared" ref="M468" si="503">AVERAGE(I468:I469)</f>
        <v>0.11910663188976378</v>
      </c>
      <c r="N468" s="3">
        <f t="shared" ref="N468" si="504">AVERAGE(J468:J469)</f>
        <v>0.20315448561023625</v>
      </c>
    </row>
    <row r="469" spans="1:14" x14ac:dyDescent="0.2">
      <c r="A469" s="22"/>
      <c r="B469" s="4">
        <v>100</v>
      </c>
      <c r="C469" s="4">
        <v>8</v>
      </c>
      <c r="D469" s="33">
        <v>4.95</v>
      </c>
      <c r="E469" s="23">
        <v>3.4</v>
      </c>
      <c r="F469" s="23">
        <f t="shared" si="271"/>
        <v>4.95</v>
      </c>
      <c r="G469" s="23">
        <f t="shared" si="272"/>
        <v>3.4</v>
      </c>
      <c r="H469" s="4">
        <f t="shared" si="442"/>
        <v>3.8630000000000001E-3</v>
      </c>
      <c r="I469" s="2">
        <f t="shared" si="443"/>
        <v>0.1070233503937008</v>
      </c>
      <c r="J469" s="4">
        <f t="shared" si="444"/>
        <v>0.19112298960629923</v>
      </c>
      <c r="K469" s="4">
        <f t="shared" si="445"/>
        <v>0.29814634000000001</v>
      </c>
      <c r="L469" s="13">
        <f t="shared" si="446"/>
        <v>0.55997109826589597</v>
      </c>
      <c r="M469" s="3"/>
      <c r="N469" s="3"/>
    </row>
    <row r="470" spans="1:14" x14ac:dyDescent="0.2">
      <c r="A470" s="22">
        <v>488610</v>
      </c>
      <c r="B470" s="4">
        <v>100</v>
      </c>
      <c r="C470" s="4">
        <v>8</v>
      </c>
      <c r="D470" s="33">
        <v>6.5</v>
      </c>
      <c r="E470" s="23">
        <v>4.4000000000000004</v>
      </c>
      <c r="F470" s="23">
        <f t="shared" si="271"/>
        <v>6.5</v>
      </c>
      <c r="G470" s="23">
        <f t="shared" si="272"/>
        <v>4.4000000000000004</v>
      </c>
      <c r="H470" s="4">
        <f t="shared" si="442"/>
        <v>3.8630000000000001E-3</v>
      </c>
      <c r="I470" s="2">
        <f t="shared" si="443"/>
        <v>0.14499937795275589</v>
      </c>
      <c r="J470" s="4">
        <f t="shared" si="444"/>
        <v>0.24083706204724414</v>
      </c>
      <c r="K470" s="4">
        <f t="shared" si="445"/>
        <v>0.38583644000000006</v>
      </c>
      <c r="L470" s="13">
        <f t="shared" si="446"/>
        <v>0.60206422018348604</v>
      </c>
      <c r="M470" s="3">
        <f t="shared" ref="M470" si="505">AVERAGE(I470:I471)</f>
        <v>0.14499937795275591</v>
      </c>
      <c r="N470" s="3">
        <f t="shared" ref="N470" si="506">AVERAGE(J470:J471)</f>
        <v>0.23645255704724408</v>
      </c>
    </row>
    <row r="471" spans="1:14" x14ac:dyDescent="0.2">
      <c r="A471" s="22"/>
      <c r="B471" s="4">
        <v>100</v>
      </c>
      <c r="C471" s="4">
        <v>8</v>
      </c>
      <c r="D471" s="33">
        <v>6.4</v>
      </c>
      <c r="E471" s="23">
        <v>4.3</v>
      </c>
      <c r="F471" s="23">
        <f t="shared" si="271"/>
        <v>6.4</v>
      </c>
      <c r="G471" s="23">
        <f t="shared" si="272"/>
        <v>4.3</v>
      </c>
      <c r="H471" s="4">
        <f t="shared" si="442"/>
        <v>3.8630000000000001E-3</v>
      </c>
      <c r="I471" s="2">
        <f t="shared" si="443"/>
        <v>0.14499937795275594</v>
      </c>
      <c r="J471" s="4">
        <f t="shared" si="444"/>
        <v>0.23206805204724401</v>
      </c>
      <c r="K471" s="4">
        <f t="shared" si="445"/>
        <v>0.37706742999999998</v>
      </c>
      <c r="L471" s="13">
        <f t="shared" si="446"/>
        <v>0.6248140434394529</v>
      </c>
      <c r="M471" s="3"/>
      <c r="N471" s="3"/>
    </row>
    <row r="472" spans="1:14" x14ac:dyDescent="0.2">
      <c r="A472" s="22">
        <v>488611</v>
      </c>
      <c r="B472" s="4">
        <v>100</v>
      </c>
      <c r="C472" s="4">
        <v>7</v>
      </c>
      <c r="D472" s="33">
        <v>3.65</v>
      </c>
      <c r="E472" s="23">
        <v>2.35</v>
      </c>
      <c r="F472" s="23">
        <f t="shared" si="271"/>
        <v>3.65</v>
      </c>
      <c r="G472" s="23">
        <f t="shared" si="272"/>
        <v>2.35</v>
      </c>
      <c r="H472" s="4">
        <f t="shared" si="442"/>
        <v>9.7450000000000002E-3</v>
      </c>
      <c r="I472" s="2">
        <f t="shared" si="443"/>
        <v>0.22643696850393699</v>
      </c>
      <c r="J472" s="4">
        <f t="shared" si="444"/>
        <v>0.293410056496063</v>
      </c>
      <c r="K472" s="4">
        <f t="shared" si="445"/>
        <v>0.51984702500000002</v>
      </c>
      <c r="L472" s="13">
        <f t="shared" si="446"/>
        <v>0.77174235678242797</v>
      </c>
      <c r="M472" s="3">
        <f t="shared" ref="M472" si="507">AVERAGE(I472:I473)</f>
        <v>0.22208241141732282</v>
      </c>
      <c r="N472" s="3">
        <f t="shared" ref="N472" si="508">AVERAGE(J472:J473)</f>
        <v>0.31988576358267717</v>
      </c>
    </row>
    <row r="473" spans="1:14" x14ac:dyDescent="0.2">
      <c r="A473" s="22"/>
      <c r="B473" s="4">
        <v>100</v>
      </c>
      <c r="C473" s="4">
        <v>7</v>
      </c>
      <c r="D473" s="33">
        <v>3.8</v>
      </c>
      <c r="E473" s="23">
        <v>2.5499999999999998</v>
      </c>
      <c r="F473" s="23">
        <f t="shared" si="271"/>
        <v>3.8</v>
      </c>
      <c r="G473" s="23">
        <f t="shared" si="272"/>
        <v>2.5499999999999998</v>
      </c>
      <c r="H473" s="4">
        <f t="shared" si="442"/>
        <v>9.7450000000000002E-3</v>
      </c>
      <c r="I473" s="2">
        <f t="shared" si="443"/>
        <v>0.21772785433070865</v>
      </c>
      <c r="J473" s="4">
        <f t="shared" si="444"/>
        <v>0.34636147066929135</v>
      </c>
      <c r="K473" s="4">
        <f t="shared" si="445"/>
        <v>0.56408932499999997</v>
      </c>
      <c r="L473" s="13">
        <f t="shared" si="446"/>
        <v>0.628614533568016</v>
      </c>
      <c r="M473" s="3"/>
      <c r="N473" s="3"/>
    </row>
    <row r="474" spans="1:14" x14ac:dyDescent="0.2">
      <c r="A474" s="22">
        <v>488612</v>
      </c>
      <c r="B474" s="4">
        <v>100</v>
      </c>
      <c r="C474" s="4">
        <v>7</v>
      </c>
      <c r="D474" s="33">
        <v>7.5</v>
      </c>
      <c r="E474" s="23">
        <v>4.7</v>
      </c>
      <c r="F474" s="23">
        <f t="shared" si="271"/>
        <v>7.5</v>
      </c>
      <c r="G474" s="23">
        <f t="shared" si="272"/>
        <v>4.7</v>
      </c>
      <c r="H474" s="4">
        <f t="shared" si="442"/>
        <v>9.7450000000000002E-3</v>
      </c>
      <c r="I474" s="2">
        <f t="shared" si="443"/>
        <v>0.48771039370078739</v>
      </c>
      <c r="J474" s="4">
        <f t="shared" si="444"/>
        <v>0.55198365629921275</v>
      </c>
      <c r="K474" s="4">
        <f t="shared" si="445"/>
        <v>1.03969405</v>
      </c>
      <c r="L474" s="13">
        <f t="shared" si="446"/>
        <v>0.88355948248658855</v>
      </c>
      <c r="M474" s="3">
        <f t="shared" ref="M474" si="509">AVERAGE(I474:I475)</f>
        <v>0.46593760826771657</v>
      </c>
      <c r="N474" s="3">
        <f t="shared" ref="N474" si="510">AVERAGE(J474:J475)</f>
        <v>0.5184535667322836</v>
      </c>
    </row>
    <row r="475" spans="1:14" x14ac:dyDescent="0.2">
      <c r="A475" s="22"/>
      <c r="B475" s="4">
        <v>100</v>
      </c>
      <c r="C475" s="4">
        <v>7</v>
      </c>
      <c r="D475" s="33">
        <v>6.75</v>
      </c>
      <c r="E475" s="23">
        <v>4.2</v>
      </c>
      <c r="F475" s="23">
        <f t="shared" si="271"/>
        <v>6.75</v>
      </c>
      <c r="G475" s="23">
        <f t="shared" si="272"/>
        <v>4.2</v>
      </c>
      <c r="H475" s="4">
        <f t="shared" si="442"/>
        <v>9.7450000000000002E-3</v>
      </c>
      <c r="I475" s="2">
        <f t="shared" si="443"/>
        <v>0.4441648228346457</v>
      </c>
      <c r="J475" s="4">
        <f t="shared" si="444"/>
        <v>0.48492347716535439</v>
      </c>
      <c r="K475" s="4">
        <f t="shared" si="445"/>
        <v>0.92908830000000009</v>
      </c>
      <c r="L475" s="13">
        <f t="shared" si="446"/>
        <v>0.91594827586206895</v>
      </c>
      <c r="M475" s="3"/>
      <c r="N475" s="3"/>
    </row>
    <row r="476" spans="1:14" x14ac:dyDescent="0.2">
      <c r="A476" s="22">
        <v>488613</v>
      </c>
      <c r="B476" s="4">
        <v>100</v>
      </c>
      <c r="C476" s="4">
        <v>6</v>
      </c>
      <c r="D476" s="33">
        <v>4.55</v>
      </c>
      <c r="E476" s="23">
        <v>2.6</v>
      </c>
      <c r="F476" s="23">
        <f t="shared" si="271"/>
        <v>4.55</v>
      </c>
      <c r="G476" s="23">
        <f t="shared" si="272"/>
        <v>2.6</v>
      </c>
      <c r="H476" s="4">
        <f t="shared" ref="H476:H539" si="511">IF(C476=1,32.7101,IF(C476=2,8.14893,IF(C476=3,1.42818,IF(C476=4,0.44041,IF(C476=5,0.123026,IF(C476=6,0.035767,IF(C476=7,0.009745,0.003863)))))))</f>
        <v>3.5767E-2</v>
      </c>
      <c r="I476" s="2">
        <f t="shared" ref="I476:I539" si="512">H476*$A$3*(F476-G476)*1000/B476</f>
        <v>1.2466348464566928</v>
      </c>
      <c r="J476" s="4">
        <f t="shared" ref="J476:J539" si="513">2.27*($A$3*G476-($A$3-1)*F476)*H476*1000/B476</f>
        <v>0.86433349354330735</v>
      </c>
      <c r="K476" s="4">
        <f t="shared" ref="K476:K539" si="514">(I476+J476)</f>
        <v>2.1109683400000003</v>
      </c>
      <c r="L476" s="13">
        <f t="shared" ref="L476:L539" si="515">(I476/J476)</f>
        <v>1.4423076923076916</v>
      </c>
      <c r="M476" s="3">
        <f t="shared" ref="M476" si="516">AVERAGE(I476:I477)</f>
        <v>1.214669850393701</v>
      </c>
      <c r="N476" s="3">
        <f t="shared" ref="N476" si="517">AVERAGE(J476:J477)</f>
        <v>0.77451185460629901</v>
      </c>
    </row>
    <row r="477" spans="1:14" x14ac:dyDescent="0.2">
      <c r="A477" s="22"/>
      <c r="B477" s="4">
        <v>100</v>
      </c>
      <c r="C477" s="4">
        <v>6</v>
      </c>
      <c r="D477" s="33">
        <v>4.1500000000000004</v>
      </c>
      <c r="E477" s="23">
        <v>2.2999999999999998</v>
      </c>
      <c r="F477" s="23">
        <f t="shared" si="271"/>
        <v>4.1500000000000004</v>
      </c>
      <c r="G477" s="23">
        <f t="shared" si="272"/>
        <v>2.2999999999999998</v>
      </c>
      <c r="H477" s="4">
        <f t="shared" si="511"/>
        <v>3.5767E-2</v>
      </c>
      <c r="I477" s="2">
        <f t="shared" si="512"/>
        <v>1.182704854330709</v>
      </c>
      <c r="J477" s="4">
        <f t="shared" si="513"/>
        <v>0.68469021566929067</v>
      </c>
      <c r="K477" s="4">
        <f t="shared" si="514"/>
        <v>1.8673950699999997</v>
      </c>
      <c r="L477" s="13">
        <f t="shared" si="515"/>
        <v>1.7273576097105532</v>
      </c>
      <c r="M477" s="3"/>
      <c r="N477" s="3"/>
    </row>
    <row r="478" spans="1:14" x14ac:dyDescent="0.2">
      <c r="A478" s="22">
        <v>488614</v>
      </c>
      <c r="B478" s="4">
        <v>100</v>
      </c>
      <c r="C478" s="4">
        <v>5</v>
      </c>
      <c r="D478" s="33">
        <v>3</v>
      </c>
      <c r="E478" s="23">
        <v>1.4</v>
      </c>
      <c r="F478" s="23">
        <f t="shared" si="271"/>
        <v>3</v>
      </c>
      <c r="G478" s="23">
        <f t="shared" si="272"/>
        <v>1.4</v>
      </c>
      <c r="H478" s="4">
        <f t="shared" si="511"/>
        <v>0.123026</v>
      </c>
      <c r="I478" s="2">
        <f t="shared" si="512"/>
        <v>3.5183498582677162</v>
      </c>
      <c r="J478" s="4">
        <f t="shared" si="513"/>
        <v>0.39141642173228336</v>
      </c>
      <c r="K478" s="4">
        <f t="shared" si="514"/>
        <v>3.9097662799999995</v>
      </c>
      <c r="L478" s="13">
        <f t="shared" si="515"/>
        <v>8.9887640449438209</v>
      </c>
      <c r="M478" s="3">
        <f t="shared" ref="M478" si="518">AVERAGE(I478:I479)</f>
        <v>3.4084014251968502</v>
      </c>
      <c r="N478" s="3">
        <f t="shared" ref="N478" si="519">AVERAGE(J478:J479)</f>
        <v>0.57118210980314965</v>
      </c>
    </row>
    <row r="479" spans="1:14" x14ac:dyDescent="0.2">
      <c r="A479" s="22"/>
      <c r="B479" s="4">
        <v>100</v>
      </c>
      <c r="C479" s="4">
        <v>5</v>
      </c>
      <c r="D479" s="33">
        <v>2.95</v>
      </c>
      <c r="E479" s="23">
        <v>1.45</v>
      </c>
      <c r="F479" s="23">
        <f t="shared" si="271"/>
        <v>2.95</v>
      </c>
      <c r="G479" s="23">
        <f t="shared" si="272"/>
        <v>1.45</v>
      </c>
      <c r="H479" s="4">
        <f t="shared" si="511"/>
        <v>0.123026</v>
      </c>
      <c r="I479" s="2">
        <f t="shared" si="512"/>
        <v>3.2984529921259842</v>
      </c>
      <c r="J479" s="4">
        <f t="shared" si="513"/>
        <v>0.75094779787401589</v>
      </c>
      <c r="K479" s="4">
        <f t="shared" si="514"/>
        <v>4.04940079</v>
      </c>
      <c r="L479" s="13">
        <f t="shared" si="515"/>
        <v>4.3923865300146403</v>
      </c>
      <c r="M479" s="3"/>
      <c r="N479" s="3"/>
    </row>
    <row r="480" spans="1:14" x14ac:dyDescent="0.2">
      <c r="A480" s="22">
        <v>488615</v>
      </c>
      <c r="B480" s="4">
        <v>100</v>
      </c>
      <c r="C480" s="4">
        <v>7</v>
      </c>
      <c r="D480" s="33">
        <v>7.45</v>
      </c>
      <c r="E480" s="23">
        <v>3.6</v>
      </c>
      <c r="F480" s="23">
        <f t="shared" si="271"/>
        <v>7.45</v>
      </c>
      <c r="G480" s="23">
        <f t="shared" si="272"/>
        <v>3.6</v>
      </c>
      <c r="H480" s="4">
        <f t="shared" si="511"/>
        <v>9.7450000000000002E-3</v>
      </c>
      <c r="I480" s="2">
        <f t="shared" si="512"/>
        <v>0.67060179133858266</v>
      </c>
      <c r="J480" s="4">
        <f t="shared" si="513"/>
        <v>0.12575960866141747</v>
      </c>
      <c r="K480" s="4">
        <f t="shared" si="514"/>
        <v>0.79636140000000011</v>
      </c>
      <c r="L480" s="13">
        <f t="shared" si="515"/>
        <v>5.3324099722991622</v>
      </c>
      <c r="M480" s="3">
        <f t="shared" ref="M480" si="520">AVERAGE(I480:I481)</f>
        <v>0.64447444881889759</v>
      </c>
      <c r="N480" s="3">
        <f t="shared" ref="N480" si="521">AVERAGE(J480:J481)</f>
        <v>0.12976580118110242</v>
      </c>
    </row>
    <row r="481" spans="1:14" x14ac:dyDescent="0.2">
      <c r="A481" s="22"/>
      <c r="B481" s="4">
        <v>100</v>
      </c>
      <c r="C481" s="4">
        <v>7</v>
      </c>
      <c r="D481" s="33">
        <v>6.95</v>
      </c>
      <c r="E481" s="23">
        <v>3.4</v>
      </c>
      <c r="F481" s="23">
        <f t="shared" si="271"/>
        <v>6.95</v>
      </c>
      <c r="G481" s="23">
        <f t="shared" si="272"/>
        <v>3.4</v>
      </c>
      <c r="H481" s="4">
        <f t="shared" si="511"/>
        <v>9.7450000000000002E-3</v>
      </c>
      <c r="I481" s="2">
        <f t="shared" si="512"/>
        <v>0.61834710629921263</v>
      </c>
      <c r="J481" s="4">
        <f t="shared" si="513"/>
        <v>0.13377199370078741</v>
      </c>
      <c r="K481" s="4">
        <f t="shared" si="514"/>
        <v>0.75211910000000004</v>
      </c>
      <c r="L481" s="13">
        <f t="shared" si="515"/>
        <v>4.622395833333333</v>
      </c>
      <c r="M481" s="3"/>
      <c r="N481" s="3"/>
    </row>
    <row r="482" spans="1:14" x14ac:dyDescent="0.2">
      <c r="A482" s="22">
        <v>488617</v>
      </c>
      <c r="B482" s="4">
        <v>100</v>
      </c>
      <c r="C482" s="4">
        <v>8</v>
      </c>
      <c r="D482" s="33">
        <v>4.25</v>
      </c>
      <c r="E482" s="23">
        <v>2.75</v>
      </c>
      <c r="F482" s="23">
        <f t="shared" si="271"/>
        <v>4.25</v>
      </c>
      <c r="G482" s="23">
        <f t="shared" si="272"/>
        <v>2.75</v>
      </c>
      <c r="H482" s="4">
        <f t="shared" si="511"/>
        <v>3.8630000000000001E-3</v>
      </c>
      <c r="I482" s="2">
        <f t="shared" si="512"/>
        <v>0.10357098425196851</v>
      </c>
      <c r="J482" s="4">
        <f t="shared" si="513"/>
        <v>0.13757679074803147</v>
      </c>
      <c r="K482" s="4">
        <f t="shared" si="514"/>
        <v>0.24114777499999998</v>
      </c>
      <c r="L482" s="13">
        <f t="shared" si="515"/>
        <v>0.75282308657465513</v>
      </c>
      <c r="M482" s="3">
        <f t="shared" ref="M482" si="522">AVERAGE(I482:I483)</f>
        <v>0.10184480118110235</v>
      </c>
      <c r="N482" s="3">
        <f t="shared" ref="N482" si="523">AVERAGE(J482:J483)</f>
        <v>0.14587973131889764</v>
      </c>
    </row>
    <row r="483" spans="1:14" x14ac:dyDescent="0.2">
      <c r="A483" s="22"/>
      <c r="B483" s="4">
        <v>100</v>
      </c>
      <c r="C483" s="4">
        <v>8</v>
      </c>
      <c r="D483" s="33">
        <v>4.3499999999999996</v>
      </c>
      <c r="E483" s="23">
        <v>2.9</v>
      </c>
      <c r="F483" s="23">
        <f t="shared" si="271"/>
        <v>4.3499999999999996</v>
      </c>
      <c r="G483" s="23">
        <f t="shared" si="272"/>
        <v>2.9</v>
      </c>
      <c r="H483" s="4">
        <f t="shared" si="511"/>
        <v>3.8630000000000001E-3</v>
      </c>
      <c r="I483" s="2">
        <f t="shared" si="512"/>
        <v>0.1001186181102362</v>
      </c>
      <c r="J483" s="4">
        <f t="shared" si="513"/>
        <v>0.15418267188976384</v>
      </c>
      <c r="K483" s="4">
        <f t="shared" si="514"/>
        <v>0.25430129000000001</v>
      </c>
      <c r="L483" s="13">
        <f t="shared" si="515"/>
        <v>0.64935064935064901</v>
      </c>
      <c r="M483" s="3"/>
      <c r="N483" s="3"/>
    </row>
    <row r="484" spans="1:14" x14ac:dyDescent="0.2">
      <c r="A484" s="22">
        <v>488618</v>
      </c>
      <c r="B484" s="4">
        <v>100</v>
      </c>
      <c r="C484" s="4">
        <v>8</v>
      </c>
      <c r="D484" s="33">
        <v>5.55</v>
      </c>
      <c r="E484" s="23">
        <v>3.6</v>
      </c>
      <c r="F484" s="23">
        <f t="shared" si="271"/>
        <v>5.55</v>
      </c>
      <c r="G484" s="23">
        <f t="shared" si="272"/>
        <v>3.6</v>
      </c>
      <c r="H484" s="4">
        <f t="shared" si="511"/>
        <v>3.8630000000000001E-3</v>
      </c>
      <c r="I484" s="2">
        <f t="shared" si="512"/>
        <v>0.13464227952755903</v>
      </c>
      <c r="J484" s="4">
        <f t="shared" si="513"/>
        <v>0.181042080472441</v>
      </c>
      <c r="K484" s="4">
        <f t="shared" si="514"/>
        <v>0.31568436</v>
      </c>
      <c r="L484" s="13">
        <f t="shared" si="515"/>
        <v>0.7437070938215099</v>
      </c>
      <c r="M484" s="3">
        <f t="shared" ref="M484" si="524">AVERAGE(I484:I485)</f>
        <v>0.13464227952755906</v>
      </c>
      <c r="N484" s="3">
        <f t="shared" ref="N484" si="525">AVERAGE(J484:J485)</f>
        <v>0.17446532297244099</v>
      </c>
    </row>
    <row r="485" spans="1:14" x14ac:dyDescent="0.2">
      <c r="A485" s="22"/>
      <c r="B485" s="4">
        <v>100</v>
      </c>
      <c r="C485" s="4">
        <v>8</v>
      </c>
      <c r="D485" s="33">
        <v>5.4</v>
      </c>
      <c r="E485" s="23">
        <v>3.45</v>
      </c>
      <c r="F485" s="23">
        <f t="shared" si="271"/>
        <v>5.4</v>
      </c>
      <c r="G485" s="23">
        <f t="shared" si="272"/>
        <v>3.45</v>
      </c>
      <c r="H485" s="4">
        <f t="shared" si="511"/>
        <v>3.8630000000000001E-3</v>
      </c>
      <c r="I485" s="2">
        <f t="shared" si="512"/>
        <v>0.13464227952755908</v>
      </c>
      <c r="J485" s="4">
        <f t="shared" si="513"/>
        <v>0.16788856547244099</v>
      </c>
      <c r="K485" s="4">
        <f t="shared" si="514"/>
        <v>0.30253084500000005</v>
      </c>
      <c r="L485" s="13">
        <f t="shared" si="515"/>
        <v>0.80197409006785925</v>
      </c>
      <c r="M485" s="3"/>
      <c r="N485" s="3"/>
    </row>
    <row r="486" spans="1:14" x14ac:dyDescent="0.2">
      <c r="A486" s="22">
        <v>488619</v>
      </c>
      <c r="B486" s="4">
        <v>100</v>
      </c>
      <c r="C486" s="4">
        <v>7</v>
      </c>
      <c r="D486" s="33">
        <v>5.25</v>
      </c>
      <c r="E486" s="23">
        <v>2.75</v>
      </c>
      <c r="F486" s="23">
        <f t="shared" si="271"/>
        <v>5.25</v>
      </c>
      <c r="G486" s="23">
        <f t="shared" si="272"/>
        <v>2.75</v>
      </c>
      <c r="H486" s="4">
        <f t="shared" si="511"/>
        <v>9.7450000000000002E-3</v>
      </c>
      <c r="I486" s="2">
        <f t="shared" si="512"/>
        <v>0.43545570866141731</v>
      </c>
      <c r="J486" s="4">
        <f t="shared" si="513"/>
        <v>0.17287591633858265</v>
      </c>
      <c r="K486" s="4">
        <f t="shared" si="514"/>
        <v>0.60833162499999993</v>
      </c>
      <c r="L486" s="13">
        <f t="shared" si="515"/>
        <v>2.518891687657431</v>
      </c>
      <c r="M486" s="3">
        <f t="shared" ref="M486" si="526">AVERAGE(I486:I487)</f>
        <v>0.40497380905511815</v>
      </c>
      <c r="N486" s="3">
        <f t="shared" ref="N486" si="527">AVERAGE(J486:J487)</f>
        <v>0.18676695344488187</v>
      </c>
    </row>
    <row r="487" spans="1:14" x14ac:dyDescent="0.2">
      <c r="A487" s="22"/>
      <c r="B487" s="4">
        <v>100</v>
      </c>
      <c r="C487" s="4">
        <v>7</v>
      </c>
      <c r="D487" s="33">
        <v>4.75</v>
      </c>
      <c r="E487" s="23">
        <v>2.6</v>
      </c>
      <c r="F487" s="23">
        <f t="shared" si="271"/>
        <v>4.75</v>
      </c>
      <c r="G487" s="23">
        <f t="shared" si="272"/>
        <v>2.6</v>
      </c>
      <c r="H487" s="4">
        <f t="shared" si="511"/>
        <v>9.7450000000000002E-3</v>
      </c>
      <c r="I487" s="2">
        <f t="shared" si="512"/>
        <v>0.37449190944881894</v>
      </c>
      <c r="J487" s="4">
        <f t="shared" si="513"/>
        <v>0.20065799055118108</v>
      </c>
      <c r="K487" s="4">
        <f t="shared" si="514"/>
        <v>0.57514989999999999</v>
      </c>
      <c r="L487" s="13">
        <f t="shared" si="515"/>
        <v>1.8663194444444449</v>
      </c>
      <c r="M487" s="3"/>
      <c r="N487" s="3"/>
    </row>
    <row r="488" spans="1:14" x14ac:dyDescent="0.2">
      <c r="A488" s="22">
        <v>488620</v>
      </c>
      <c r="B488" s="4">
        <v>100</v>
      </c>
      <c r="C488" s="4">
        <v>7</v>
      </c>
      <c r="D488" s="33">
        <v>7.3</v>
      </c>
      <c r="E488" s="23">
        <v>3.9</v>
      </c>
      <c r="F488" s="23">
        <f t="shared" si="271"/>
        <v>7.3</v>
      </c>
      <c r="G488" s="23">
        <f t="shared" si="272"/>
        <v>3.9</v>
      </c>
      <c r="H488" s="4">
        <f t="shared" si="511"/>
        <v>9.7450000000000002E-3</v>
      </c>
      <c r="I488" s="2">
        <f t="shared" si="512"/>
        <v>0.59221976377952756</v>
      </c>
      <c r="J488" s="4">
        <f t="shared" si="513"/>
        <v>0.27050508622047237</v>
      </c>
      <c r="K488" s="4">
        <f t="shared" si="514"/>
        <v>0.86272484999999999</v>
      </c>
      <c r="L488" s="13">
        <f t="shared" si="515"/>
        <v>2.1893110109465557</v>
      </c>
      <c r="M488" s="3">
        <f t="shared" ref="M488" si="528">AVERAGE(I488:I489)</f>
        <v>0.60092887795275596</v>
      </c>
      <c r="N488" s="3">
        <f t="shared" ref="N488" si="529">AVERAGE(J488:J489)</f>
        <v>0.27285654704724416</v>
      </c>
    </row>
    <row r="489" spans="1:14" x14ac:dyDescent="0.2">
      <c r="A489" s="22"/>
      <c r="B489" s="4">
        <v>100</v>
      </c>
      <c r="C489" s="4">
        <v>7</v>
      </c>
      <c r="D489" s="33">
        <v>7.5</v>
      </c>
      <c r="E489" s="23">
        <v>4</v>
      </c>
      <c r="F489" s="23">
        <f t="shared" si="271"/>
        <v>7.5</v>
      </c>
      <c r="G489" s="23">
        <f t="shared" si="272"/>
        <v>4</v>
      </c>
      <c r="H489" s="4">
        <f t="shared" si="511"/>
        <v>9.7450000000000002E-3</v>
      </c>
      <c r="I489" s="2">
        <f t="shared" si="512"/>
        <v>0.60963799212598435</v>
      </c>
      <c r="J489" s="4">
        <f t="shared" si="513"/>
        <v>0.27520800787401589</v>
      </c>
      <c r="K489" s="4">
        <f t="shared" si="514"/>
        <v>0.88484600000000024</v>
      </c>
      <c r="L489" s="13">
        <f t="shared" si="515"/>
        <v>2.2151898734177209</v>
      </c>
      <c r="M489" s="3"/>
      <c r="N489" s="3"/>
    </row>
    <row r="490" spans="1:14" x14ac:dyDescent="0.2">
      <c r="A490" s="22">
        <v>488621</v>
      </c>
      <c r="B490" s="4">
        <v>100</v>
      </c>
      <c r="C490" s="4">
        <v>6</v>
      </c>
      <c r="D490" s="33">
        <v>6.7</v>
      </c>
      <c r="E490" s="23">
        <v>3.25</v>
      </c>
      <c r="F490" s="23">
        <f t="shared" si="271"/>
        <v>6.7</v>
      </c>
      <c r="G490" s="23">
        <f t="shared" si="272"/>
        <v>3.25</v>
      </c>
      <c r="H490" s="4">
        <f t="shared" si="511"/>
        <v>3.5767E-2</v>
      </c>
      <c r="I490" s="2">
        <f t="shared" si="512"/>
        <v>2.2055847283464569</v>
      </c>
      <c r="J490" s="4">
        <f t="shared" si="513"/>
        <v>0.43312569665354361</v>
      </c>
      <c r="K490" s="4">
        <f t="shared" si="514"/>
        <v>2.6387104250000006</v>
      </c>
      <c r="L490" s="13">
        <f t="shared" si="515"/>
        <v>5.0922509225092218</v>
      </c>
      <c r="M490" s="3">
        <f t="shared" ref="M490" si="530">AVERAGE(I490:I491)</f>
        <v>2.2854972185039371</v>
      </c>
      <c r="N490" s="3">
        <f t="shared" ref="N490" si="531">AVERAGE(J490:J491)</f>
        <v>0.45470206899606314</v>
      </c>
    </row>
    <row r="491" spans="1:14" x14ac:dyDescent="0.2">
      <c r="A491" s="22"/>
      <c r="B491" s="4">
        <v>100</v>
      </c>
      <c r="C491" s="4">
        <v>6</v>
      </c>
      <c r="D491" s="33">
        <v>7.2</v>
      </c>
      <c r="E491" s="23">
        <v>3.5</v>
      </c>
      <c r="F491" s="23">
        <f t="shared" si="271"/>
        <v>7.2</v>
      </c>
      <c r="G491" s="23">
        <f t="shared" si="272"/>
        <v>3.5</v>
      </c>
      <c r="H491" s="4">
        <f t="shared" si="511"/>
        <v>3.5767E-2</v>
      </c>
      <c r="I491" s="2">
        <f t="shared" si="512"/>
        <v>2.3654097086614176</v>
      </c>
      <c r="J491" s="4">
        <f t="shared" si="513"/>
        <v>0.4762784413385826</v>
      </c>
      <c r="K491" s="4">
        <f t="shared" si="514"/>
        <v>2.8416881500000004</v>
      </c>
      <c r="L491" s="13">
        <f t="shared" si="515"/>
        <v>4.9664429530201355</v>
      </c>
      <c r="M491" s="3"/>
      <c r="N491" s="3"/>
    </row>
    <row r="492" spans="1:14" x14ac:dyDescent="0.2">
      <c r="A492" s="22">
        <v>488622</v>
      </c>
      <c r="B492" s="4">
        <v>100</v>
      </c>
      <c r="C492" s="4">
        <v>5</v>
      </c>
      <c r="D492" s="33">
        <v>3.8</v>
      </c>
      <c r="E492" s="23">
        <v>1.8</v>
      </c>
      <c r="F492" s="23">
        <f t="shared" si="271"/>
        <v>3.8</v>
      </c>
      <c r="G492" s="23">
        <f t="shared" si="272"/>
        <v>1.8</v>
      </c>
      <c r="H492" s="4">
        <f t="shared" si="511"/>
        <v>0.123026</v>
      </c>
      <c r="I492" s="2">
        <f t="shared" si="512"/>
        <v>4.397937322834645</v>
      </c>
      <c r="J492" s="4">
        <f t="shared" si="513"/>
        <v>0.6289050371653554</v>
      </c>
      <c r="K492" s="4">
        <f t="shared" si="514"/>
        <v>5.0268423600000007</v>
      </c>
      <c r="L492" s="13">
        <f t="shared" si="515"/>
        <v>6.99300699300698</v>
      </c>
      <c r="M492" s="3">
        <f t="shared" ref="M492" si="532">AVERAGE(I492:I493)</f>
        <v>4.5078857559055105</v>
      </c>
      <c r="N492" s="3">
        <f t="shared" ref="N492" si="533">AVERAGE(J492:J493)</f>
        <v>0.5887738590944892</v>
      </c>
    </row>
    <row r="493" spans="1:14" x14ac:dyDescent="0.2">
      <c r="A493" s="22"/>
      <c r="B493" s="4">
        <v>100</v>
      </c>
      <c r="C493" s="4">
        <v>5</v>
      </c>
      <c r="D493" s="33">
        <v>3.95</v>
      </c>
      <c r="E493" s="23">
        <v>1.85</v>
      </c>
      <c r="F493" s="23">
        <f t="shared" si="271"/>
        <v>3.95</v>
      </c>
      <c r="G493" s="23">
        <f t="shared" si="272"/>
        <v>1.85</v>
      </c>
      <c r="H493" s="4">
        <f t="shared" si="511"/>
        <v>0.123026</v>
      </c>
      <c r="I493" s="2">
        <f t="shared" si="512"/>
        <v>4.617834188976377</v>
      </c>
      <c r="J493" s="4">
        <f t="shared" si="513"/>
        <v>0.54864268102362301</v>
      </c>
      <c r="K493" s="4">
        <f t="shared" si="514"/>
        <v>5.1664768700000003</v>
      </c>
      <c r="L493" s="13">
        <f t="shared" si="515"/>
        <v>8.416833667334652</v>
      </c>
      <c r="M493" s="3"/>
      <c r="N493" s="3"/>
    </row>
    <row r="494" spans="1:14" x14ac:dyDescent="0.2">
      <c r="A494" s="22">
        <v>488623</v>
      </c>
      <c r="B494" s="4">
        <v>100</v>
      </c>
      <c r="C494" s="4">
        <v>5</v>
      </c>
      <c r="D494" s="33">
        <v>3.9</v>
      </c>
      <c r="E494" s="23">
        <v>1.85</v>
      </c>
      <c r="F494" s="23">
        <f t="shared" si="271"/>
        <v>3.9</v>
      </c>
      <c r="G494" s="23">
        <f t="shared" si="272"/>
        <v>1.85</v>
      </c>
      <c r="H494" s="4">
        <f t="shared" si="511"/>
        <v>0.123026</v>
      </c>
      <c r="I494" s="2">
        <f t="shared" si="512"/>
        <v>4.5078857559055105</v>
      </c>
      <c r="J494" s="4">
        <f t="shared" si="513"/>
        <v>0.65859111409448889</v>
      </c>
      <c r="K494" s="4">
        <f t="shared" si="514"/>
        <v>5.1664768699999994</v>
      </c>
      <c r="L494" s="13">
        <f t="shared" si="515"/>
        <v>6.8447412353923109</v>
      </c>
      <c r="M494" s="3">
        <f t="shared" ref="M494" si="534">AVERAGE(I494:I495)</f>
        <v>4.5628599724409433</v>
      </c>
      <c r="N494" s="3">
        <f t="shared" ref="N494" si="535">AVERAGE(J494:J495)</f>
        <v>0.7432514075590555</v>
      </c>
    </row>
    <row r="495" spans="1:14" x14ac:dyDescent="0.2">
      <c r="A495" s="22"/>
      <c r="B495" s="4">
        <v>100</v>
      </c>
      <c r="C495" s="4">
        <v>5</v>
      </c>
      <c r="D495" s="33">
        <v>4.05</v>
      </c>
      <c r="E495" s="23">
        <v>1.95</v>
      </c>
      <c r="F495" s="23">
        <f t="shared" si="271"/>
        <v>4.05</v>
      </c>
      <c r="G495" s="23">
        <f t="shared" si="272"/>
        <v>1.95</v>
      </c>
      <c r="H495" s="4">
        <f t="shared" si="511"/>
        <v>0.123026</v>
      </c>
      <c r="I495" s="2">
        <f t="shared" si="512"/>
        <v>4.617834188976377</v>
      </c>
      <c r="J495" s="4">
        <f t="shared" si="513"/>
        <v>0.8279117010236221</v>
      </c>
      <c r="K495" s="4">
        <f t="shared" si="514"/>
        <v>5.4457458899999995</v>
      </c>
      <c r="L495" s="13">
        <f t="shared" si="515"/>
        <v>5.577689243027887</v>
      </c>
      <c r="M495" s="3"/>
      <c r="N495" s="3"/>
    </row>
    <row r="496" spans="1:14" x14ac:dyDescent="0.2">
      <c r="A496" s="22">
        <v>488624</v>
      </c>
      <c r="B496" s="4">
        <v>100</v>
      </c>
      <c r="C496" s="4">
        <v>5</v>
      </c>
      <c r="D496" s="33">
        <v>4.5</v>
      </c>
      <c r="E496" s="23">
        <v>2.1</v>
      </c>
      <c r="F496" s="23">
        <f t="shared" si="271"/>
        <v>4.5</v>
      </c>
      <c r="G496" s="23">
        <f t="shared" si="272"/>
        <v>2.1</v>
      </c>
      <c r="H496" s="4">
        <f t="shared" si="511"/>
        <v>0.123026</v>
      </c>
      <c r="I496" s="2">
        <f t="shared" si="512"/>
        <v>5.2775247874015738</v>
      </c>
      <c r="J496" s="4">
        <f t="shared" si="513"/>
        <v>0.58712463259842484</v>
      </c>
      <c r="K496" s="4">
        <f t="shared" si="514"/>
        <v>5.8646494199999983</v>
      </c>
      <c r="L496" s="13">
        <f t="shared" si="515"/>
        <v>8.9887640449438244</v>
      </c>
      <c r="M496" s="3">
        <f t="shared" ref="M496" si="536">AVERAGE(I496:I497)</f>
        <v>5.0576279212598418</v>
      </c>
      <c r="N496" s="3">
        <f t="shared" ref="N496" si="537">AVERAGE(J496:J497)</f>
        <v>0.66738698874015734</v>
      </c>
    </row>
    <row r="497" spans="1:14" x14ac:dyDescent="0.2">
      <c r="A497" s="22"/>
      <c r="B497" s="4">
        <v>100</v>
      </c>
      <c r="C497" s="4">
        <v>5</v>
      </c>
      <c r="D497" s="33">
        <v>4.2</v>
      </c>
      <c r="E497" s="23">
        <v>2</v>
      </c>
      <c r="F497" s="23">
        <f t="shared" si="271"/>
        <v>4.2</v>
      </c>
      <c r="G497" s="23">
        <f t="shared" si="272"/>
        <v>2</v>
      </c>
      <c r="H497" s="4">
        <f t="shared" si="511"/>
        <v>0.123026</v>
      </c>
      <c r="I497" s="2">
        <f t="shared" si="512"/>
        <v>4.8377310551181099</v>
      </c>
      <c r="J497" s="4">
        <f t="shared" si="513"/>
        <v>0.74764934488188972</v>
      </c>
      <c r="K497" s="4">
        <f t="shared" si="514"/>
        <v>5.5853804</v>
      </c>
      <c r="L497" s="13">
        <f t="shared" si="515"/>
        <v>6.4705882352941178</v>
      </c>
      <c r="M497" s="3"/>
      <c r="N497" s="3"/>
    </row>
    <row r="498" spans="1:14" x14ac:dyDescent="0.2">
      <c r="A498" s="22">
        <v>488625</v>
      </c>
      <c r="B498" s="4">
        <v>100</v>
      </c>
      <c r="C498" s="4">
        <v>5</v>
      </c>
      <c r="D498" s="33">
        <v>4.2</v>
      </c>
      <c r="E498" s="23">
        <v>2</v>
      </c>
      <c r="F498" s="23">
        <f t="shared" si="271"/>
        <v>4.2</v>
      </c>
      <c r="G498" s="23">
        <f t="shared" si="272"/>
        <v>2</v>
      </c>
      <c r="H498" s="4">
        <f t="shared" si="511"/>
        <v>0.123026</v>
      </c>
      <c r="I498" s="2">
        <f t="shared" si="512"/>
        <v>4.8377310551181099</v>
      </c>
      <c r="J498" s="4">
        <f t="shared" si="513"/>
        <v>0.74764934488188972</v>
      </c>
      <c r="K498" s="4">
        <f t="shared" si="514"/>
        <v>5.5853804</v>
      </c>
      <c r="L498" s="13">
        <f t="shared" si="515"/>
        <v>6.4705882352941178</v>
      </c>
      <c r="M498" s="3">
        <f t="shared" ref="M498" si="538">AVERAGE(I498:I499)</f>
        <v>4.8377310551181099</v>
      </c>
      <c r="N498" s="3">
        <f t="shared" ref="N498" si="539">AVERAGE(J498:J499)</f>
        <v>0.74764934488188972</v>
      </c>
    </row>
    <row r="499" spans="1:14" x14ac:dyDescent="0.2">
      <c r="A499" s="22"/>
      <c r="B499" s="4">
        <v>100</v>
      </c>
      <c r="C499" s="4">
        <v>5</v>
      </c>
      <c r="D499" s="33">
        <v>4.2</v>
      </c>
      <c r="E499" s="23">
        <v>2</v>
      </c>
      <c r="F499" s="23">
        <f t="shared" si="271"/>
        <v>4.2</v>
      </c>
      <c r="G499" s="23">
        <f t="shared" si="272"/>
        <v>2</v>
      </c>
      <c r="H499" s="4">
        <f t="shared" si="511"/>
        <v>0.123026</v>
      </c>
      <c r="I499" s="2">
        <f t="shared" si="512"/>
        <v>4.8377310551181099</v>
      </c>
      <c r="J499" s="4">
        <f t="shared" si="513"/>
        <v>0.74764934488188972</v>
      </c>
      <c r="K499" s="4">
        <f t="shared" si="514"/>
        <v>5.5853804</v>
      </c>
      <c r="L499" s="13">
        <f t="shared" si="515"/>
        <v>6.4705882352941178</v>
      </c>
      <c r="M499" s="3"/>
      <c r="N499" s="3"/>
    </row>
    <row r="500" spans="1:14" x14ac:dyDescent="0.2">
      <c r="A500" s="22">
        <v>488628</v>
      </c>
      <c r="B500" s="4">
        <v>100</v>
      </c>
      <c r="C500" s="4">
        <v>8</v>
      </c>
      <c r="D500" s="33">
        <v>5.4</v>
      </c>
      <c r="E500" s="23">
        <v>3.4</v>
      </c>
      <c r="F500" s="23">
        <f t="shared" si="271"/>
        <v>5.4</v>
      </c>
      <c r="G500" s="23">
        <f t="shared" si="272"/>
        <v>3.4</v>
      </c>
      <c r="H500" s="4">
        <f t="shared" si="511"/>
        <v>3.8630000000000001E-3</v>
      </c>
      <c r="I500" s="2">
        <f t="shared" si="512"/>
        <v>0.13809464566929139</v>
      </c>
      <c r="J500" s="4">
        <f t="shared" si="513"/>
        <v>0.16005169433070873</v>
      </c>
      <c r="K500" s="4">
        <f t="shared" si="514"/>
        <v>0.29814634000000012</v>
      </c>
      <c r="L500" s="13">
        <f t="shared" si="515"/>
        <v>0.86281276962899045</v>
      </c>
      <c r="M500" s="3">
        <f t="shared" ref="M500" si="540">AVERAGE(I500:I501)</f>
        <v>0.1553564763779528</v>
      </c>
      <c r="N500" s="3">
        <f t="shared" ref="N500" si="541">AVERAGE(J500:J501)</f>
        <v>0.16032788362204731</v>
      </c>
    </row>
    <row r="501" spans="1:14" x14ac:dyDescent="0.2">
      <c r="A501" s="22"/>
      <c r="B501" s="4">
        <v>100</v>
      </c>
      <c r="C501" s="4">
        <v>8</v>
      </c>
      <c r="D501" s="33">
        <v>6.3</v>
      </c>
      <c r="E501" s="23">
        <v>3.8</v>
      </c>
      <c r="F501" s="23">
        <f t="shared" si="271"/>
        <v>6.3</v>
      </c>
      <c r="G501" s="23">
        <f t="shared" si="272"/>
        <v>3.8</v>
      </c>
      <c r="H501" s="4">
        <f t="shared" si="511"/>
        <v>3.8630000000000001E-3</v>
      </c>
      <c r="I501" s="2">
        <f t="shared" si="512"/>
        <v>0.17261830708661419</v>
      </c>
      <c r="J501" s="4">
        <f t="shared" si="513"/>
        <v>0.16060407291338588</v>
      </c>
      <c r="K501" s="4">
        <f t="shared" si="514"/>
        <v>0.33322238000000004</v>
      </c>
      <c r="L501" s="13">
        <f t="shared" si="515"/>
        <v>1.0748065348237315</v>
      </c>
      <c r="M501" s="3"/>
      <c r="N501" s="3"/>
    </row>
    <row r="502" spans="1:14" x14ac:dyDescent="0.2">
      <c r="A502" s="22">
        <v>488629</v>
      </c>
      <c r="B502" s="4">
        <v>100</v>
      </c>
      <c r="C502" s="4">
        <v>7</v>
      </c>
      <c r="D502" s="33">
        <v>3.45</v>
      </c>
      <c r="E502" s="23">
        <v>2.0499999999999998</v>
      </c>
      <c r="F502" s="23">
        <f t="shared" si="271"/>
        <v>3.45</v>
      </c>
      <c r="G502" s="23">
        <f t="shared" si="272"/>
        <v>2.0499999999999998</v>
      </c>
      <c r="H502" s="4">
        <f t="shared" si="511"/>
        <v>9.7450000000000002E-3</v>
      </c>
      <c r="I502" s="2">
        <f t="shared" si="512"/>
        <v>0.24385519685039378</v>
      </c>
      <c r="J502" s="4">
        <f t="shared" si="513"/>
        <v>0.20962837814960622</v>
      </c>
      <c r="K502" s="4">
        <f t="shared" si="514"/>
        <v>0.45348357500000003</v>
      </c>
      <c r="L502" s="13">
        <f t="shared" si="515"/>
        <v>1.1632737847943506</v>
      </c>
      <c r="M502" s="3">
        <f t="shared" ref="M502" si="542">AVERAGE(I502:I503)</f>
        <v>0.23514608267716544</v>
      </c>
      <c r="N502" s="3">
        <f t="shared" ref="N502" si="543">AVERAGE(J502:J503)</f>
        <v>0.22939806732283458</v>
      </c>
    </row>
    <row r="503" spans="1:14" x14ac:dyDescent="0.2">
      <c r="A503" s="22"/>
      <c r="B503" s="4">
        <v>100</v>
      </c>
      <c r="C503" s="4">
        <v>7</v>
      </c>
      <c r="D503" s="33">
        <v>3.45</v>
      </c>
      <c r="E503" s="23">
        <v>2.15</v>
      </c>
      <c r="F503" s="23">
        <f t="shared" si="271"/>
        <v>3.45</v>
      </c>
      <c r="G503" s="23">
        <f t="shared" si="272"/>
        <v>2.15</v>
      </c>
      <c r="H503" s="4">
        <f t="shared" si="511"/>
        <v>9.7450000000000002E-3</v>
      </c>
      <c r="I503" s="2">
        <f t="shared" si="512"/>
        <v>0.2264369685039371</v>
      </c>
      <c r="J503" s="4">
        <f t="shared" si="513"/>
        <v>0.2491677564960629</v>
      </c>
      <c r="K503" s="4">
        <f t="shared" si="514"/>
        <v>0.47560472500000001</v>
      </c>
      <c r="L503" s="13">
        <f t="shared" si="515"/>
        <v>0.90877315623907795</v>
      </c>
      <c r="M503" s="3"/>
      <c r="N503" s="3"/>
    </row>
    <row r="504" spans="1:14" x14ac:dyDescent="0.2">
      <c r="A504" s="22">
        <v>488630</v>
      </c>
      <c r="B504" s="4">
        <v>100</v>
      </c>
      <c r="C504" s="4">
        <v>7</v>
      </c>
      <c r="D504" s="33">
        <v>4.1500000000000004</v>
      </c>
      <c r="E504" s="23">
        <v>2.65</v>
      </c>
      <c r="F504" s="23">
        <f t="shared" si="271"/>
        <v>4.1500000000000004</v>
      </c>
      <c r="G504" s="23">
        <f t="shared" si="272"/>
        <v>2.65</v>
      </c>
      <c r="H504" s="4">
        <f t="shared" si="511"/>
        <v>9.7450000000000002E-3</v>
      </c>
      <c r="I504" s="2">
        <f t="shared" si="512"/>
        <v>0.26127342519685048</v>
      </c>
      <c r="J504" s="4">
        <f t="shared" si="513"/>
        <v>0.32493704980314947</v>
      </c>
      <c r="K504" s="4">
        <f t="shared" si="514"/>
        <v>0.5862104749999999</v>
      </c>
      <c r="L504" s="13">
        <f t="shared" si="515"/>
        <v>0.80407397480568277</v>
      </c>
      <c r="M504" s="3">
        <f t="shared" ref="M504" si="544">AVERAGE(I504:I505)</f>
        <v>0.27869165354330711</v>
      </c>
      <c r="N504" s="3">
        <f t="shared" ref="N504" si="545">AVERAGE(J504:J505)</f>
        <v>0.27433709645669291</v>
      </c>
    </row>
    <row r="505" spans="1:14" x14ac:dyDescent="0.2">
      <c r="A505" s="22"/>
      <c r="B505" s="4">
        <v>100</v>
      </c>
      <c r="C505" s="4">
        <v>7</v>
      </c>
      <c r="D505" s="33">
        <v>4.05</v>
      </c>
      <c r="E505" s="23">
        <v>2.35</v>
      </c>
      <c r="F505" s="23">
        <f t="shared" si="271"/>
        <v>4.05</v>
      </c>
      <c r="G505" s="23">
        <f t="shared" si="272"/>
        <v>2.35</v>
      </c>
      <c r="H505" s="4">
        <f t="shared" si="511"/>
        <v>9.7450000000000002E-3</v>
      </c>
      <c r="I505" s="2">
        <f t="shared" si="512"/>
        <v>0.29610988188976373</v>
      </c>
      <c r="J505" s="4">
        <f t="shared" si="513"/>
        <v>0.22373714311023629</v>
      </c>
      <c r="K505" s="4">
        <f t="shared" si="514"/>
        <v>0.51984702500000002</v>
      </c>
      <c r="L505" s="13">
        <f t="shared" si="515"/>
        <v>1.323472168158816</v>
      </c>
      <c r="M505" s="3"/>
      <c r="N505" s="3"/>
    </row>
    <row r="506" spans="1:14" x14ac:dyDescent="0.2">
      <c r="A506" s="22">
        <v>488631</v>
      </c>
      <c r="B506" s="4">
        <v>100</v>
      </c>
      <c r="C506" s="4">
        <v>7</v>
      </c>
      <c r="D506" s="33">
        <v>5.3</v>
      </c>
      <c r="E506" s="23">
        <v>3.05</v>
      </c>
      <c r="F506" s="23">
        <f t="shared" si="271"/>
        <v>5.3</v>
      </c>
      <c r="G506" s="23">
        <f t="shared" si="272"/>
        <v>3.05</v>
      </c>
      <c r="H506" s="4">
        <f t="shared" si="511"/>
        <v>9.7450000000000002E-3</v>
      </c>
      <c r="I506" s="2">
        <f t="shared" si="512"/>
        <v>0.39191013779527567</v>
      </c>
      <c r="J506" s="4">
        <f t="shared" si="513"/>
        <v>0.28278493720472431</v>
      </c>
      <c r="K506" s="4">
        <f t="shared" si="514"/>
        <v>0.67469507500000003</v>
      </c>
      <c r="L506" s="13">
        <f t="shared" si="515"/>
        <v>1.3858946720049283</v>
      </c>
      <c r="M506" s="3">
        <f t="shared" ref="M506" si="546">AVERAGE(I506:I507)</f>
        <v>0.35707368110236226</v>
      </c>
      <c r="N506" s="3">
        <f t="shared" ref="N506" si="547">AVERAGE(J506:J507)</f>
        <v>0.29550024389763779</v>
      </c>
    </row>
    <row r="507" spans="1:14" x14ac:dyDescent="0.2">
      <c r="A507" s="22"/>
      <c r="B507" s="4">
        <v>100</v>
      </c>
      <c r="C507" s="4">
        <v>7</v>
      </c>
      <c r="D507" s="33">
        <v>4.7</v>
      </c>
      <c r="E507" s="23">
        <v>2.85</v>
      </c>
      <c r="F507" s="23">
        <f t="shared" si="271"/>
        <v>4.7</v>
      </c>
      <c r="G507" s="23">
        <f t="shared" si="272"/>
        <v>2.85</v>
      </c>
      <c r="H507" s="4">
        <f t="shared" si="511"/>
        <v>9.7450000000000002E-3</v>
      </c>
      <c r="I507" s="2">
        <f t="shared" si="512"/>
        <v>0.32223722440944891</v>
      </c>
      <c r="J507" s="4">
        <f t="shared" si="513"/>
        <v>0.30821555059055128</v>
      </c>
      <c r="K507" s="4">
        <f t="shared" si="514"/>
        <v>0.63045277500000019</v>
      </c>
      <c r="L507" s="13">
        <f t="shared" si="515"/>
        <v>1.0454930771404352</v>
      </c>
      <c r="M507" s="3"/>
      <c r="N507" s="3"/>
    </row>
    <row r="508" spans="1:14" x14ac:dyDescent="0.2">
      <c r="A508" s="22">
        <v>488632</v>
      </c>
      <c r="B508" s="4">
        <v>100</v>
      </c>
      <c r="C508" s="4">
        <v>7</v>
      </c>
      <c r="D508" s="33">
        <v>6.55</v>
      </c>
      <c r="E508" s="23">
        <v>3.85</v>
      </c>
      <c r="F508" s="23">
        <f t="shared" si="271"/>
        <v>6.55</v>
      </c>
      <c r="G508" s="23">
        <f t="shared" si="272"/>
        <v>3.85</v>
      </c>
      <c r="H508" s="4">
        <f t="shared" si="511"/>
        <v>9.7450000000000002E-3</v>
      </c>
      <c r="I508" s="2">
        <f t="shared" si="512"/>
        <v>0.47029216535433072</v>
      </c>
      <c r="J508" s="4">
        <f t="shared" si="513"/>
        <v>0.38137210964566925</v>
      </c>
      <c r="K508" s="4">
        <f t="shared" si="514"/>
        <v>0.85166427499999997</v>
      </c>
      <c r="L508" s="13">
        <f t="shared" si="515"/>
        <v>1.2331582553094316</v>
      </c>
      <c r="M508" s="3">
        <f t="shared" ref="M508" si="548">AVERAGE(I508:I509)</f>
        <v>0.45722849409448818</v>
      </c>
      <c r="N508" s="3">
        <f t="shared" ref="N508" si="549">AVERAGE(J508:J509)</f>
        <v>0.38337520590551188</v>
      </c>
    </row>
    <row r="509" spans="1:14" x14ac:dyDescent="0.2">
      <c r="A509" s="22"/>
      <c r="B509" s="4">
        <v>100</v>
      </c>
      <c r="C509" s="4">
        <v>7</v>
      </c>
      <c r="D509" s="33">
        <v>6.3</v>
      </c>
      <c r="E509" s="23">
        <v>3.75</v>
      </c>
      <c r="F509" s="23">
        <f t="shared" si="271"/>
        <v>6.3</v>
      </c>
      <c r="G509" s="23">
        <f t="shared" si="272"/>
        <v>3.75</v>
      </c>
      <c r="H509" s="4">
        <f t="shared" si="511"/>
        <v>9.7450000000000002E-3</v>
      </c>
      <c r="I509" s="2">
        <f t="shared" si="512"/>
        <v>0.4441648228346457</v>
      </c>
      <c r="J509" s="4">
        <f t="shared" si="513"/>
        <v>0.38537830216535451</v>
      </c>
      <c r="K509" s="4">
        <f t="shared" si="514"/>
        <v>0.82954312500000027</v>
      </c>
      <c r="L509" s="13">
        <f t="shared" si="515"/>
        <v>1.1525423728813555</v>
      </c>
      <c r="M509" s="3"/>
      <c r="N509" s="3"/>
    </row>
    <row r="510" spans="1:14" x14ac:dyDescent="0.2">
      <c r="A510" s="22">
        <v>488633</v>
      </c>
      <c r="B510" s="4">
        <v>100</v>
      </c>
      <c r="C510" s="4">
        <v>6</v>
      </c>
      <c r="D510" s="33">
        <v>3.15</v>
      </c>
      <c r="E510" s="23">
        <v>1.6</v>
      </c>
      <c r="F510" s="23">
        <f t="shared" si="271"/>
        <v>3.15</v>
      </c>
      <c r="G510" s="23">
        <f t="shared" si="272"/>
        <v>1.6</v>
      </c>
      <c r="H510" s="4">
        <f t="shared" si="511"/>
        <v>3.5767E-2</v>
      </c>
      <c r="I510" s="2">
        <f t="shared" si="512"/>
        <v>0.99091487795275579</v>
      </c>
      <c r="J510" s="4">
        <f t="shared" si="513"/>
        <v>0.30814256204724449</v>
      </c>
      <c r="K510" s="4">
        <f t="shared" si="514"/>
        <v>1.2990574400000003</v>
      </c>
      <c r="L510" s="13">
        <f t="shared" si="515"/>
        <v>3.215767634854767</v>
      </c>
      <c r="M510" s="3">
        <f t="shared" ref="M510" si="550">AVERAGE(I510:I511)</f>
        <v>0.95894988188976371</v>
      </c>
      <c r="N510" s="3">
        <f t="shared" ref="N510" si="551">AVERAGE(J510:J511)</f>
        <v>0.44159642061023652</v>
      </c>
    </row>
    <row r="511" spans="1:14" x14ac:dyDescent="0.2">
      <c r="A511" s="22"/>
      <c r="B511" s="4">
        <v>100</v>
      </c>
      <c r="C511" s="4">
        <v>6</v>
      </c>
      <c r="D511" s="33">
        <v>3.3</v>
      </c>
      <c r="E511" s="23">
        <v>1.85</v>
      </c>
      <c r="F511" s="23">
        <f t="shared" si="271"/>
        <v>3.3</v>
      </c>
      <c r="G511" s="23">
        <f t="shared" si="272"/>
        <v>1.85</v>
      </c>
      <c r="H511" s="4">
        <f t="shared" si="511"/>
        <v>3.5767E-2</v>
      </c>
      <c r="I511" s="2">
        <f t="shared" si="512"/>
        <v>0.92698488582677152</v>
      </c>
      <c r="J511" s="4">
        <f t="shared" si="513"/>
        <v>0.5750502791732286</v>
      </c>
      <c r="K511" s="4">
        <f t="shared" si="514"/>
        <v>1.5020351650000001</v>
      </c>
      <c r="L511" s="13">
        <f t="shared" si="515"/>
        <v>1.6120066703724283</v>
      </c>
      <c r="M511" s="3"/>
      <c r="N511" s="3"/>
    </row>
    <row r="512" spans="1:14" x14ac:dyDescent="0.2">
      <c r="A512" s="22">
        <v>488634</v>
      </c>
      <c r="B512" s="4">
        <v>100</v>
      </c>
      <c r="C512" s="4">
        <v>5</v>
      </c>
      <c r="D512" s="33">
        <v>2.8</v>
      </c>
      <c r="E512" s="23">
        <v>1.35</v>
      </c>
      <c r="F512" s="23">
        <f t="shared" si="271"/>
        <v>2.8</v>
      </c>
      <c r="G512" s="23">
        <f t="shared" si="272"/>
        <v>1.35</v>
      </c>
      <c r="H512" s="4">
        <f t="shared" si="511"/>
        <v>0.123026</v>
      </c>
      <c r="I512" s="2">
        <f t="shared" si="512"/>
        <v>3.1885045590551169</v>
      </c>
      <c r="J512" s="4">
        <f t="shared" si="513"/>
        <v>0.58162721094488279</v>
      </c>
      <c r="K512" s="4">
        <f t="shared" si="514"/>
        <v>3.7701317699999999</v>
      </c>
      <c r="L512" s="13">
        <f t="shared" si="515"/>
        <v>5.4820415879016906</v>
      </c>
      <c r="M512" s="3">
        <f t="shared" ref="M512" si="552">AVERAGE(I512:I513)</f>
        <v>3.2434787755905505</v>
      </c>
      <c r="N512" s="3">
        <f t="shared" ref="N512" si="553">AVERAGE(J512:J513)</f>
        <v>0.52665299440944924</v>
      </c>
    </row>
    <row r="513" spans="1:14" x14ac:dyDescent="0.2">
      <c r="A513" s="22"/>
      <c r="B513" s="4">
        <v>100</v>
      </c>
      <c r="C513" s="4">
        <v>5</v>
      </c>
      <c r="D513" s="33">
        <v>2.85</v>
      </c>
      <c r="E513" s="23">
        <v>1.35</v>
      </c>
      <c r="F513" s="23">
        <f t="shared" ref="F513:G724" si="554">IF($C513=5,D513-$D$5,IF($C513=6,D513-$D$6,IF($C513=7,D513-$D$7,IF($C513=8,D513-$D$8,D513))))</f>
        <v>2.85</v>
      </c>
      <c r="G513" s="23">
        <f t="shared" si="554"/>
        <v>1.35</v>
      </c>
      <c r="H513" s="4">
        <f t="shared" si="511"/>
        <v>0.123026</v>
      </c>
      <c r="I513" s="2">
        <f t="shared" si="512"/>
        <v>3.2984529921259842</v>
      </c>
      <c r="J513" s="4">
        <f t="shared" si="513"/>
        <v>0.47167877787401563</v>
      </c>
      <c r="K513" s="4">
        <f t="shared" si="514"/>
        <v>3.7701317699999999</v>
      </c>
      <c r="L513" s="13">
        <f t="shared" si="515"/>
        <v>6.9930069930069942</v>
      </c>
      <c r="M513" s="3"/>
      <c r="N513" s="3"/>
    </row>
    <row r="514" spans="1:14" x14ac:dyDescent="0.2">
      <c r="A514" s="22">
        <v>488635</v>
      </c>
      <c r="B514" s="4">
        <v>100</v>
      </c>
      <c r="C514" s="4">
        <v>7</v>
      </c>
      <c r="D514" s="33">
        <v>6.05</v>
      </c>
      <c r="E514" s="23">
        <v>2.95</v>
      </c>
      <c r="F514" s="23">
        <f t="shared" si="554"/>
        <v>6.05</v>
      </c>
      <c r="G514" s="23">
        <f t="shared" si="554"/>
        <v>2.95</v>
      </c>
      <c r="H514" s="4">
        <f t="shared" si="511"/>
        <v>9.7450000000000002E-3</v>
      </c>
      <c r="I514" s="2">
        <f t="shared" si="512"/>
        <v>0.53996507874015753</v>
      </c>
      <c r="J514" s="4">
        <f t="shared" si="513"/>
        <v>0.11260884625984273</v>
      </c>
      <c r="K514" s="4">
        <f t="shared" si="514"/>
        <v>0.65257392500000022</v>
      </c>
      <c r="L514" s="13">
        <f t="shared" si="515"/>
        <v>4.7950502706883134</v>
      </c>
      <c r="M514" s="3">
        <f t="shared" ref="M514" si="555">AVERAGE(I514:I515)</f>
        <v>0.50948317913385832</v>
      </c>
      <c r="N514" s="3">
        <f t="shared" ref="N514" si="556">AVERAGE(J514:J515)</f>
        <v>0.1154393083661419</v>
      </c>
    </row>
    <row r="515" spans="1:14" x14ac:dyDescent="0.2">
      <c r="A515" s="21"/>
      <c r="B515" s="4">
        <v>100</v>
      </c>
      <c r="C515" s="4">
        <v>7</v>
      </c>
      <c r="D515" s="33">
        <v>5.45</v>
      </c>
      <c r="E515" s="23">
        <v>2.7</v>
      </c>
      <c r="F515" s="23">
        <f t="shared" si="554"/>
        <v>5.45</v>
      </c>
      <c r="G515" s="23">
        <f t="shared" si="554"/>
        <v>2.7</v>
      </c>
      <c r="H515" s="4">
        <f t="shared" si="511"/>
        <v>9.7450000000000002E-3</v>
      </c>
      <c r="I515" s="2">
        <f t="shared" si="512"/>
        <v>0.47900127952755911</v>
      </c>
      <c r="J515" s="4">
        <f t="shared" si="513"/>
        <v>0.11826977047244107</v>
      </c>
      <c r="K515" s="4">
        <f t="shared" si="514"/>
        <v>0.59727105000000014</v>
      </c>
      <c r="L515" s="13">
        <f t="shared" si="515"/>
        <v>4.0500736377025</v>
      </c>
      <c r="M515" s="3"/>
      <c r="N515" s="3"/>
    </row>
    <row r="516" spans="1:14" x14ac:dyDescent="0.2">
      <c r="A516" s="22">
        <v>488636</v>
      </c>
      <c r="B516" s="4">
        <v>100</v>
      </c>
      <c r="C516" s="4">
        <v>7</v>
      </c>
      <c r="D516" s="33">
        <v>4.2</v>
      </c>
      <c r="E516" s="23">
        <v>2.0499999999999998</v>
      </c>
      <c r="F516" s="23">
        <f t="shared" si="554"/>
        <v>4.2</v>
      </c>
      <c r="G516" s="23">
        <f t="shared" si="554"/>
        <v>2.0499999999999998</v>
      </c>
      <c r="H516" s="4">
        <f t="shared" si="511"/>
        <v>9.7450000000000002E-3</v>
      </c>
      <c r="I516" s="2">
        <f t="shared" si="512"/>
        <v>0.37449190944881899</v>
      </c>
      <c r="J516" s="4">
        <f t="shared" si="513"/>
        <v>7.8991665551181048E-2</v>
      </c>
      <c r="K516" s="4">
        <f t="shared" si="514"/>
        <v>0.45348357500000003</v>
      </c>
      <c r="L516" s="13">
        <f t="shared" si="515"/>
        <v>4.7409040793825845</v>
      </c>
      <c r="M516" s="3">
        <f t="shared" ref="M516" si="557">AVERAGE(I516:I517)</f>
        <v>0.49641950787401579</v>
      </c>
      <c r="N516" s="3">
        <f t="shared" ref="N516" si="558">AVERAGE(J516:J517)</f>
        <v>-4.2239203740157757E-3</v>
      </c>
    </row>
    <row r="517" spans="1:14" x14ac:dyDescent="0.2">
      <c r="A517" s="22"/>
      <c r="B517" s="4">
        <v>100</v>
      </c>
      <c r="C517" s="4">
        <v>7</v>
      </c>
      <c r="D517" s="33">
        <v>5.95</v>
      </c>
      <c r="E517" s="23">
        <v>2.4</v>
      </c>
      <c r="F517" s="23">
        <f t="shared" si="554"/>
        <v>5.95</v>
      </c>
      <c r="G517" s="23">
        <f t="shared" si="554"/>
        <v>2.4</v>
      </c>
      <c r="H517" s="4">
        <f t="shared" si="511"/>
        <v>9.7450000000000002E-3</v>
      </c>
      <c r="I517" s="2">
        <f t="shared" si="512"/>
        <v>0.61834710629921263</v>
      </c>
      <c r="J517" s="4">
        <f t="shared" si="513"/>
        <v>-8.7439506299212599E-2</v>
      </c>
      <c r="K517" s="4">
        <f t="shared" si="514"/>
        <v>0.53090760000000004</v>
      </c>
      <c r="L517" s="13">
        <f t="shared" si="515"/>
        <v>-7.0717131474103585</v>
      </c>
      <c r="M517" s="3"/>
      <c r="N517" s="3"/>
    </row>
    <row r="518" spans="1:14" x14ac:dyDescent="0.2">
      <c r="A518" s="22">
        <v>488639</v>
      </c>
      <c r="B518" s="4">
        <v>100</v>
      </c>
      <c r="C518" s="4">
        <v>8</v>
      </c>
      <c r="D518" s="33">
        <v>1.85</v>
      </c>
      <c r="E518" s="23">
        <v>1.6</v>
      </c>
      <c r="F518" s="23">
        <f t="shared" si="554"/>
        <v>1.85</v>
      </c>
      <c r="G518" s="23">
        <f t="shared" si="554"/>
        <v>1.6</v>
      </c>
      <c r="H518" s="4">
        <f t="shared" si="511"/>
        <v>3.8630000000000001E-3</v>
      </c>
      <c r="I518" s="2">
        <f t="shared" si="512"/>
        <v>1.726183070866142E-2</v>
      </c>
      <c r="J518" s="4">
        <f t="shared" si="513"/>
        <v>0.1230423292913386</v>
      </c>
      <c r="K518" s="4">
        <f t="shared" si="514"/>
        <v>0.14030416000000001</v>
      </c>
      <c r="L518" s="13">
        <f t="shared" si="515"/>
        <v>0.14029180695847362</v>
      </c>
      <c r="M518" s="3">
        <f t="shared" ref="M518" si="559">AVERAGE(I518:I519)</f>
        <v>2.2440379921259843E-2</v>
      </c>
      <c r="N518" s="3">
        <f t="shared" ref="N518" si="560">AVERAGE(J518:J519)</f>
        <v>0.10690251757874017</v>
      </c>
    </row>
    <row r="519" spans="1:14" x14ac:dyDescent="0.2">
      <c r="A519" s="22"/>
      <c r="B519" s="4">
        <v>100</v>
      </c>
      <c r="C519" s="4">
        <v>8</v>
      </c>
      <c r="D519" s="33">
        <v>1.75</v>
      </c>
      <c r="E519" s="23">
        <v>1.35</v>
      </c>
      <c r="F519" s="23">
        <f t="shared" si="554"/>
        <v>1.75</v>
      </c>
      <c r="G519" s="23">
        <f t="shared" si="554"/>
        <v>1.35</v>
      </c>
      <c r="H519" s="4">
        <f t="shared" si="511"/>
        <v>3.8630000000000001E-3</v>
      </c>
      <c r="I519" s="2">
        <f t="shared" si="512"/>
        <v>2.7618929133858265E-2</v>
      </c>
      <c r="J519" s="4">
        <f t="shared" si="513"/>
        <v>9.0762705866141755E-2</v>
      </c>
      <c r="K519" s="4">
        <f t="shared" si="514"/>
        <v>0.11838163500000001</v>
      </c>
      <c r="L519" s="13">
        <f t="shared" si="515"/>
        <v>0.30429821224800296</v>
      </c>
      <c r="M519" s="3"/>
      <c r="N519" s="3"/>
    </row>
    <row r="520" spans="1:14" x14ac:dyDescent="0.2">
      <c r="A520" s="22">
        <v>488640</v>
      </c>
      <c r="B520" s="4">
        <v>100</v>
      </c>
      <c r="C520" s="4">
        <v>8</v>
      </c>
      <c r="D520" s="33">
        <v>2.25</v>
      </c>
      <c r="E520" s="23">
        <v>1.7</v>
      </c>
      <c r="F520" s="23">
        <f t="shared" si="554"/>
        <v>2.25</v>
      </c>
      <c r="G520" s="23">
        <f t="shared" si="554"/>
        <v>1.7</v>
      </c>
      <c r="H520" s="4">
        <f t="shared" si="511"/>
        <v>3.8630000000000001E-3</v>
      </c>
      <c r="I520" s="2">
        <f t="shared" si="512"/>
        <v>3.7976027559055124E-2</v>
      </c>
      <c r="J520" s="4">
        <f t="shared" si="513"/>
        <v>0.11109714244094489</v>
      </c>
      <c r="K520" s="4">
        <f t="shared" si="514"/>
        <v>0.14907317</v>
      </c>
      <c r="L520" s="13">
        <f t="shared" si="515"/>
        <v>0.34182722187694226</v>
      </c>
      <c r="M520" s="3">
        <f t="shared" ref="M520" si="561">AVERAGE(I520:I521)</f>
        <v>5.1785492125984253E-2</v>
      </c>
      <c r="N520" s="3">
        <f t="shared" ref="N520" si="562">AVERAGE(J520:J521)</f>
        <v>0.11482569787401575</v>
      </c>
    </row>
    <row r="521" spans="1:14" x14ac:dyDescent="0.2">
      <c r="A521" s="22"/>
      <c r="B521" s="4">
        <v>100</v>
      </c>
      <c r="C521" s="4">
        <v>8</v>
      </c>
      <c r="D521" s="33">
        <v>3.05</v>
      </c>
      <c r="E521" s="23">
        <v>2.1</v>
      </c>
      <c r="F521" s="23">
        <f t="shared" si="554"/>
        <v>3.05</v>
      </c>
      <c r="G521" s="23">
        <f t="shared" si="554"/>
        <v>2.1</v>
      </c>
      <c r="H521" s="4">
        <f t="shared" si="511"/>
        <v>3.8630000000000001E-3</v>
      </c>
      <c r="I521" s="2">
        <f t="shared" si="512"/>
        <v>6.5594956692913375E-2</v>
      </c>
      <c r="J521" s="4">
        <f t="shared" si="513"/>
        <v>0.11855425330708663</v>
      </c>
      <c r="K521" s="4">
        <f t="shared" si="514"/>
        <v>0.18414921000000001</v>
      </c>
      <c r="L521" s="13">
        <f t="shared" si="515"/>
        <v>0.55329062317996491</v>
      </c>
      <c r="M521" s="3"/>
      <c r="N521" s="3"/>
    </row>
    <row r="522" spans="1:14" x14ac:dyDescent="0.2">
      <c r="A522" s="22">
        <v>488641</v>
      </c>
      <c r="B522" s="4">
        <v>100</v>
      </c>
      <c r="C522" s="4">
        <v>8</v>
      </c>
      <c r="D522" s="33">
        <v>2.2999999999999998</v>
      </c>
      <c r="E522" s="23">
        <v>1.6</v>
      </c>
      <c r="F522" s="23">
        <f t="shared" si="554"/>
        <v>2.2999999999999998</v>
      </c>
      <c r="G522" s="23">
        <f t="shared" si="554"/>
        <v>1.6</v>
      </c>
      <c r="H522" s="4">
        <f t="shared" si="511"/>
        <v>3.8630000000000001E-3</v>
      </c>
      <c r="I522" s="2">
        <f t="shared" si="512"/>
        <v>4.8333125984251948E-2</v>
      </c>
      <c r="J522" s="4">
        <f t="shared" si="513"/>
        <v>9.1971034015748063E-2</v>
      </c>
      <c r="K522" s="4">
        <f t="shared" si="514"/>
        <v>0.14030416000000001</v>
      </c>
      <c r="L522" s="13">
        <f t="shared" si="515"/>
        <v>0.52552552552552512</v>
      </c>
      <c r="M522" s="3">
        <f t="shared" ref="M522" si="563">AVERAGE(I522:I523)</f>
        <v>4.8333125984251962E-2</v>
      </c>
      <c r="N522" s="3">
        <f t="shared" ref="N522" si="564">AVERAGE(J522:J523)</f>
        <v>9.8547791515748051E-2</v>
      </c>
    </row>
    <row r="523" spans="1:14" x14ac:dyDescent="0.2">
      <c r="A523" s="22"/>
      <c r="B523" s="4">
        <v>100</v>
      </c>
      <c r="C523" s="4">
        <v>8</v>
      </c>
      <c r="D523" s="33">
        <v>2.4500000000000002</v>
      </c>
      <c r="E523" s="23">
        <v>1.75</v>
      </c>
      <c r="F523" s="23">
        <f t="shared" si="554"/>
        <v>2.4500000000000002</v>
      </c>
      <c r="G523" s="23">
        <f t="shared" si="554"/>
        <v>1.75</v>
      </c>
      <c r="H523" s="4">
        <f t="shared" si="511"/>
        <v>3.8630000000000001E-3</v>
      </c>
      <c r="I523" s="2">
        <f t="shared" si="512"/>
        <v>4.8333125984251983E-2</v>
      </c>
      <c r="J523" s="4">
        <f t="shared" si="513"/>
        <v>0.10512454901574803</v>
      </c>
      <c r="K523" s="4">
        <f t="shared" si="514"/>
        <v>0.15345767500000002</v>
      </c>
      <c r="L523" s="13">
        <f t="shared" si="515"/>
        <v>0.4597701149425289</v>
      </c>
      <c r="M523" s="3"/>
      <c r="N523" s="3"/>
    </row>
    <row r="524" spans="1:14" x14ac:dyDescent="0.2">
      <c r="A524" s="22">
        <v>488642</v>
      </c>
      <c r="B524" s="4">
        <v>100</v>
      </c>
      <c r="C524" s="4">
        <v>8</v>
      </c>
      <c r="D524" s="33">
        <v>3.45</v>
      </c>
      <c r="E524" s="23">
        <v>2.15</v>
      </c>
      <c r="F524" s="23">
        <f t="shared" si="554"/>
        <v>3.45</v>
      </c>
      <c r="G524" s="23">
        <f t="shared" si="554"/>
        <v>2.15</v>
      </c>
      <c r="H524" s="4">
        <f t="shared" si="511"/>
        <v>3.8630000000000001E-3</v>
      </c>
      <c r="I524" s="2">
        <f t="shared" si="512"/>
        <v>8.9761519685039384E-2</v>
      </c>
      <c r="J524" s="4">
        <f t="shared" si="513"/>
        <v>9.8772195314960579E-2</v>
      </c>
      <c r="K524" s="4">
        <f t="shared" si="514"/>
        <v>0.18853371499999996</v>
      </c>
      <c r="L524" s="13">
        <f t="shared" si="515"/>
        <v>0.90877315623907784</v>
      </c>
      <c r="M524" s="3">
        <f t="shared" ref="M524" si="565">AVERAGE(I524:I525)</f>
        <v>8.8035336614173232E-2</v>
      </c>
      <c r="N524" s="3">
        <f t="shared" ref="N524" si="566">AVERAGE(J524:J525)</f>
        <v>9.6113873385826748E-2</v>
      </c>
    </row>
    <row r="525" spans="1:14" x14ac:dyDescent="0.2">
      <c r="A525" s="22"/>
      <c r="B525" s="4">
        <v>100</v>
      </c>
      <c r="C525" s="4">
        <v>8</v>
      </c>
      <c r="D525" s="33">
        <v>3.3</v>
      </c>
      <c r="E525" s="23">
        <v>2.0499999999999998</v>
      </c>
      <c r="F525" s="23">
        <f t="shared" si="554"/>
        <v>3.3</v>
      </c>
      <c r="G525" s="23">
        <f t="shared" si="554"/>
        <v>2.0499999999999998</v>
      </c>
      <c r="H525" s="4">
        <f t="shared" si="511"/>
        <v>3.8630000000000001E-3</v>
      </c>
      <c r="I525" s="2">
        <f t="shared" si="512"/>
        <v>8.6309153543307093E-2</v>
      </c>
      <c r="J525" s="4">
        <f t="shared" si="513"/>
        <v>9.3455551456692904E-2</v>
      </c>
      <c r="K525" s="4">
        <f t="shared" si="514"/>
        <v>0.179764705</v>
      </c>
      <c r="L525" s="13">
        <f t="shared" si="515"/>
        <v>0.9235315847801997</v>
      </c>
      <c r="M525" s="3"/>
      <c r="N525" s="3"/>
    </row>
    <row r="526" spans="1:14" x14ac:dyDescent="0.2">
      <c r="A526" s="22">
        <v>488643</v>
      </c>
      <c r="B526" s="4">
        <v>100</v>
      </c>
      <c r="C526" s="4">
        <v>8</v>
      </c>
      <c r="D526" s="33">
        <v>5.3</v>
      </c>
      <c r="E526" s="23">
        <v>2.95</v>
      </c>
      <c r="F526" s="23">
        <f t="shared" si="554"/>
        <v>5.3</v>
      </c>
      <c r="G526" s="23">
        <f t="shared" si="554"/>
        <v>2.95</v>
      </c>
      <c r="H526" s="4">
        <f t="shared" si="511"/>
        <v>3.8630000000000001E-3</v>
      </c>
      <c r="I526" s="2">
        <f t="shared" si="512"/>
        <v>0.1622612086614173</v>
      </c>
      <c r="J526" s="4">
        <f t="shared" si="513"/>
        <v>9.6424586338582738E-2</v>
      </c>
      <c r="K526" s="4">
        <f t="shared" si="514"/>
        <v>0.25868579500000005</v>
      </c>
      <c r="L526" s="13">
        <f t="shared" si="515"/>
        <v>1.6827783745076965</v>
      </c>
      <c r="M526" s="3">
        <f t="shared" ref="M526" si="567">AVERAGE(I526:I527)</f>
        <v>0.22918554527559057</v>
      </c>
      <c r="N526" s="3">
        <f t="shared" ref="N526" si="568">AVERAGE(J526:J527)</f>
        <v>6.6065977224409447E-2</v>
      </c>
    </row>
    <row r="527" spans="1:14" x14ac:dyDescent="0.2">
      <c r="A527" s="22"/>
      <c r="B527" s="4">
        <v>100</v>
      </c>
      <c r="C527" s="4">
        <v>7</v>
      </c>
      <c r="D527" s="33">
        <v>3.2</v>
      </c>
      <c r="E527" s="23">
        <v>1.5</v>
      </c>
      <c r="F527" s="23">
        <f t="shared" si="554"/>
        <v>3.2</v>
      </c>
      <c r="G527" s="23">
        <f t="shared" si="554"/>
        <v>1.5</v>
      </c>
      <c r="H527" s="4">
        <f t="shared" si="511"/>
        <v>9.7450000000000002E-3</v>
      </c>
      <c r="I527" s="2">
        <f t="shared" si="512"/>
        <v>0.29610988188976384</v>
      </c>
      <c r="J527" s="4">
        <f t="shared" si="513"/>
        <v>3.5707368110236157E-2</v>
      </c>
      <c r="K527" s="4">
        <f t="shared" si="514"/>
        <v>0.33181725000000001</v>
      </c>
      <c r="L527" s="13">
        <f t="shared" si="515"/>
        <v>8.2926829268292845</v>
      </c>
      <c r="M527" s="3"/>
      <c r="N527" s="3"/>
    </row>
    <row r="528" spans="1:14" x14ac:dyDescent="0.2">
      <c r="A528" s="22">
        <v>488644</v>
      </c>
      <c r="B528" s="4">
        <v>100</v>
      </c>
      <c r="C528" s="4">
        <v>6</v>
      </c>
      <c r="D528" s="33">
        <v>6.65</v>
      </c>
      <c r="E528" s="23">
        <v>3.2</v>
      </c>
      <c r="F528" s="23">
        <f t="shared" si="554"/>
        <v>6.65</v>
      </c>
      <c r="G528" s="23">
        <f t="shared" si="554"/>
        <v>3.2</v>
      </c>
      <c r="H528" s="4">
        <f t="shared" si="511"/>
        <v>3.5767E-2</v>
      </c>
      <c r="I528" s="2">
        <f t="shared" si="512"/>
        <v>2.2055847283464569</v>
      </c>
      <c r="J528" s="4">
        <f t="shared" si="513"/>
        <v>0.39253015165354377</v>
      </c>
      <c r="K528" s="4">
        <f t="shared" si="514"/>
        <v>2.5981148800000007</v>
      </c>
      <c r="L528" s="13">
        <f t="shared" si="515"/>
        <v>5.6188925081433165</v>
      </c>
      <c r="M528" s="3">
        <f t="shared" ref="M528" si="569">AVERAGE(I528:I529)</f>
        <v>2.2055847283464569</v>
      </c>
      <c r="N528" s="3">
        <f t="shared" ref="N528" si="570">AVERAGE(J528:J529)</f>
        <v>0.39253015165354377</v>
      </c>
    </row>
    <row r="529" spans="1:14" x14ac:dyDescent="0.2">
      <c r="A529" s="22"/>
      <c r="B529" s="4">
        <v>100</v>
      </c>
      <c r="C529" s="4">
        <v>6</v>
      </c>
      <c r="D529" s="33">
        <v>6.65</v>
      </c>
      <c r="E529" s="23">
        <v>3.2</v>
      </c>
      <c r="F529" s="23">
        <f t="shared" si="554"/>
        <v>6.65</v>
      </c>
      <c r="G529" s="23">
        <f t="shared" si="554"/>
        <v>3.2</v>
      </c>
      <c r="H529" s="4">
        <f t="shared" si="511"/>
        <v>3.5767E-2</v>
      </c>
      <c r="I529" s="2">
        <f t="shared" si="512"/>
        <v>2.2055847283464569</v>
      </c>
      <c r="J529" s="4">
        <f t="shared" si="513"/>
        <v>0.39253015165354377</v>
      </c>
      <c r="K529" s="4">
        <f t="shared" si="514"/>
        <v>2.5981148800000007</v>
      </c>
      <c r="L529" s="13">
        <f t="shared" si="515"/>
        <v>5.6188925081433165</v>
      </c>
      <c r="M529" s="3"/>
      <c r="N529" s="3"/>
    </row>
    <row r="530" spans="1:14" x14ac:dyDescent="0.2">
      <c r="A530" s="22">
        <v>488645</v>
      </c>
      <c r="B530" s="4">
        <v>100</v>
      </c>
      <c r="C530" s="4">
        <v>6</v>
      </c>
      <c r="D530" s="33">
        <v>4.3499999999999996</v>
      </c>
      <c r="E530" s="23">
        <v>2.15</v>
      </c>
      <c r="F530" s="23">
        <f t="shared" si="554"/>
        <v>4.3499999999999996</v>
      </c>
      <c r="G530" s="23">
        <f t="shared" si="554"/>
        <v>2.15</v>
      </c>
      <c r="H530" s="4">
        <f t="shared" si="511"/>
        <v>3.5767E-2</v>
      </c>
      <c r="I530" s="2">
        <f t="shared" si="512"/>
        <v>1.4064598267716537</v>
      </c>
      <c r="J530" s="4">
        <f t="shared" si="513"/>
        <v>0.33914860822834675</v>
      </c>
      <c r="K530" s="4">
        <f t="shared" si="514"/>
        <v>1.7456084350000005</v>
      </c>
      <c r="L530" s="13">
        <f t="shared" si="515"/>
        <v>4.1470311027332674</v>
      </c>
      <c r="M530" s="3">
        <f t="shared" ref="M530" si="571">AVERAGE(I530:I531)</f>
        <v>1.4064598267716537</v>
      </c>
      <c r="N530" s="3">
        <f t="shared" ref="N530" si="572">AVERAGE(J530:J531)</f>
        <v>0.29855306322834652</v>
      </c>
    </row>
    <row r="531" spans="1:14" x14ac:dyDescent="0.2">
      <c r="A531" s="22"/>
      <c r="B531" s="4">
        <v>100</v>
      </c>
      <c r="C531" s="4">
        <v>6</v>
      </c>
      <c r="D531" s="33">
        <v>4.25</v>
      </c>
      <c r="E531" s="23">
        <v>2.0499999999999998</v>
      </c>
      <c r="F531" s="23">
        <f t="shared" si="554"/>
        <v>4.25</v>
      </c>
      <c r="G531" s="23">
        <f t="shared" si="554"/>
        <v>2.0499999999999998</v>
      </c>
      <c r="H531" s="4">
        <f t="shared" si="511"/>
        <v>3.5767E-2</v>
      </c>
      <c r="I531" s="2">
        <f t="shared" si="512"/>
        <v>1.4064598267716539</v>
      </c>
      <c r="J531" s="4">
        <f t="shared" si="513"/>
        <v>0.25795751822834628</v>
      </c>
      <c r="K531" s="4">
        <f t="shared" si="514"/>
        <v>1.6644173450000002</v>
      </c>
      <c r="L531" s="13">
        <f t="shared" si="515"/>
        <v>5.4522924411400302</v>
      </c>
      <c r="M531" s="3"/>
      <c r="N531" s="3"/>
    </row>
    <row r="532" spans="1:14" x14ac:dyDescent="0.2">
      <c r="A532" s="22">
        <v>488646</v>
      </c>
      <c r="B532" s="4">
        <v>100</v>
      </c>
      <c r="C532" s="4">
        <v>6</v>
      </c>
      <c r="D532" s="33">
        <v>2.35</v>
      </c>
      <c r="E532" s="23">
        <v>1.05</v>
      </c>
      <c r="F532" s="23">
        <f t="shared" si="554"/>
        <v>2.35</v>
      </c>
      <c r="G532" s="23">
        <f t="shared" si="554"/>
        <v>1.05</v>
      </c>
      <c r="H532" s="4">
        <f t="shared" si="511"/>
        <v>3.5767E-2</v>
      </c>
      <c r="I532" s="2">
        <f t="shared" si="512"/>
        <v>0.83108989763779528</v>
      </c>
      <c r="J532" s="4">
        <f t="shared" si="513"/>
        <v>2.1416547362204795E-2</v>
      </c>
      <c r="K532" s="4">
        <f t="shared" si="514"/>
        <v>0.85250644500000006</v>
      </c>
      <c r="L532" s="13">
        <f t="shared" si="515"/>
        <v>38.805970149253604</v>
      </c>
      <c r="M532" s="3">
        <f t="shared" ref="M532" si="573">AVERAGE(I532:I533)</f>
        <v>0.83108989763779528</v>
      </c>
      <c r="N532" s="3">
        <f t="shared" ref="N532" si="574">AVERAGE(J532:J533)</f>
        <v>8.2309864862204762E-2</v>
      </c>
    </row>
    <row r="533" spans="1:14" x14ac:dyDescent="0.2">
      <c r="A533" s="22"/>
      <c r="B533" s="4">
        <v>100</v>
      </c>
      <c r="C533" s="4">
        <v>6</v>
      </c>
      <c r="D533" s="33">
        <v>2.5</v>
      </c>
      <c r="E533" s="23">
        <v>1.2</v>
      </c>
      <c r="F533" s="23">
        <f t="shared" si="554"/>
        <v>2.5</v>
      </c>
      <c r="G533" s="23">
        <f t="shared" si="554"/>
        <v>1.2</v>
      </c>
      <c r="H533" s="4">
        <f t="shared" si="511"/>
        <v>3.5767E-2</v>
      </c>
      <c r="I533" s="2">
        <f t="shared" si="512"/>
        <v>0.83108989763779528</v>
      </c>
      <c r="J533" s="4">
        <f t="shared" si="513"/>
        <v>0.14320318236220472</v>
      </c>
      <c r="K533" s="4">
        <f t="shared" si="514"/>
        <v>0.97429308000000003</v>
      </c>
      <c r="L533" s="13">
        <f t="shared" si="515"/>
        <v>5.8035714285714288</v>
      </c>
      <c r="M533" s="3"/>
      <c r="N533" s="3"/>
    </row>
    <row r="534" spans="1:14" x14ac:dyDescent="0.2">
      <c r="A534" s="22">
        <v>488647</v>
      </c>
      <c r="B534" s="4">
        <v>100</v>
      </c>
      <c r="C534" s="4">
        <v>7</v>
      </c>
      <c r="D534" s="33">
        <v>6.95</v>
      </c>
      <c r="E534" s="23">
        <v>3.3</v>
      </c>
      <c r="F534" s="23">
        <f t="shared" si="554"/>
        <v>6.95</v>
      </c>
      <c r="G534" s="23">
        <f t="shared" si="554"/>
        <v>3.3</v>
      </c>
      <c r="H534" s="4">
        <f t="shared" si="511"/>
        <v>9.7450000000000002E-3</v>
      </c>
      <c r="I534" s="2">
        <f t="shared" si="512"/>
        <v>0.63576533464566942</v>
      </c>
      <c r="J534" s="4">
        <f t="shared" si="513"/>
        <v>9.4232615354330612E-2</v>
      </c>
      <c r="K534" s="4">
        <f t="shared" si="514"/>
        <v>0.72999795000000001</v>
      </c>
      <c r="L534" s="13">
        <f t="shared" si="515"/>
        <v>6.7467652495379014</v>
      </c>
      <c r="M534" s="3">
        <f t="shared" ref="M534" si="575">AVERAGE(I534:I535)</f>
        <v>0.64882900590551196</v>
      </c>
      <c r="N534" s="3">
        <f t="shared" ref="N534" si="576">AVERAGE(J534:J535)</f>
        <v>8.6699231594488196E-2</v>
      </c>
    </row>
    <row r="535" spans="1:14" x14ac:dyDescent="0.2">
      <c r="A535" s="22"/>
      <c r="B535" s="4">
        <v>100</v>
      </c>
      <c r="C535" s="4">
        <v>7</v>
      </c>
      <c r="D535" s="33">
        <v>7.15</v>
      </c>
      <c r="E535" s="23">
        <v>3.35</v>
      </c>
      <c r="F535" s="23">
        <f t="shared" si="554"/>
        <v>7.15</v>
      </c>
      <c r="G535" s="23">
        <f t="shared" si="554"/>
        <v>3.35</v>
      </c>
      <c r="H535" s="4">
        <f t="shared" si="511"/>
        <v>9.7450000000000002E-3</v>
      </c>
      <c r="I535" s="2">
        <f t="shared" si="512"/>
        <v>0.66189267716535438</v>
      </c>
      <c r="J535" s="4">
        <f t="shared" si="513"/>
        <v>7.9165847834645794E-2</v>
      </c>
      <c r="K535" s="4">
        <f t="shared" si="514"/>
        <v>0.74105852500000013</v>
      </c>
      <c r="L535" s="13">
        <f t="shared" si="515"/>
        <v>8.3608360836083477</v>
      </c>
      <c r="M535" s="3"/>
      <c r="N535" s="3"/>
    </row>
    <row r="536" spans="1:14" x14ac:dyDescent="0.2">
      <c r="A536" s="32">
        <v>488254</v>
      </c>
      <c r="B536" s="4">
        <v>100</v>
      </c>
      <c r="C536" s="4">
        <v>7</v>
      </c>
      <c r="D536" s="33">
        <v>4.95</v>
      </c>
      <c r="E536" s="23">
        <v>2.4</v>
      </c>
      <c r="F536" s="23">
        <f t="shared" si="554"/>
        <v>4.95</v>
      </c>
      <c r="G536" s="23">
        <f t="shared" si="554"/>
        <v>2.4</v>
      </c>
      <c r="H536" s="4">
        <f t="shared" si="511"/>
        <v>9.7450000000000002E-3</v>
      </c>
      <c r="I536" s="2">
        <f t="shared" si="512"/>
        <v>0.44416482283464576</v>
      </c>
      <c r="J536" s="4">
        <f t="shared" si="513"/>
        <v>8.6742777165354321E-2</v>
      </c>
      <c r="K536" s="4">
        <f t="shared" si="514"/>
        <v>0.53090760000000004</v>
      </c>
      <c r="L536" s="13">
        <f t="shared" si="515"/>
        <v>5.1204819277108449</v>
      </c>
      <c r="M536" s="3">
        <f t="shared" ref="M536" si="577">AVERAGE(I536:I537)</f>
        <v>0.44416482283464576</v>
      </c>
      <c r="N536" s="3">
        <f t="shared" ref="N536" si="578">AVERAGE(J536:J537)</f>
        <v>9.2273064665354398E-2</v>
      </c>
    </row>
    <row r="537" spans="1:14" x14ac:dyDescent="0.2">
      <c r="A537" s="22"/>
      <c r="B537" s="4">
        <v>100</v>
      </c>
      <c r="C537" s="4">
        <v>7</v>
      </c>
      <c r="D537" s="33">
        <v>5</v>
      </c>
      <c r="E537" s="23">
        <v>2.4500000000000002</v>
      </c>
      <c r="F537" s="23">
        <f t="shared" si="554"/>
        <v>5</v>
      </c>
      <c r="G537" s="23">
        <f t="shared" si="554"/>
        <v>2.4500000000000002</v>
      </c>
      <c r="H537" s="4">
        <f t="shared" si="511"/>
        <v>9.7450000000000002E-3</v>
      </c>
      <c r="I537" s="2">
        <f t="shared" si="512"/>
        <v>0.4441648228346457</v>
      </c>
      <c r="J537" s="4">
        <f t="shared" si="513"/>
        <v>9.7803352165354462E-2</v>
      </c>
      <c r="K537" s="4">
        <f t="shared" si="514"/>
        <v>0.54196817500000016</v>
      </c>
      <c r="L537" s="13">
        <f t="shared" si="515"/>
        <v>4.5414069456812056</v>
      </c>
      <c r="M537" s="3"/>
      <c r="N537" s="3"/>
    </row>
    <row r="538" spans="1:14" x14ac:dyDescent="0.2">
      <c r="A538" s="22">
        <v>488650</v>
      </c>
      <c r="B538" s="4">
        <v>100</v>
      </c>
      <c r="C538" s="4">
        <v>8</v>
      </c>
      <c r="D538" s="33">
        <v>1.45</v>
      </c>
      <c r="E538" s="23">
        <v>1</v>
      </c>
      <c r="F538" s="23">
        <f t="shared" si="554"/>
        <v>1.45</v>
      </c>
      <c r="G538" s="23">
        <f t="shared" si="554"/>
        <v>1</v>
      </c>
      <c r="H538" s="4">
        <f t="shared" si="511"/>
        <v>3.8630000000000001E-3</v>
      </c>
      <c r="I538" s="2">
        <f t="shared" si="512"/>
        <v>3.1071295275590546E-2</v>
      </c>
      <c r="J538" s="4">
        <f t="shared" si="513"/>
        <v>5.6618804724409451E-2</v>
      </c>
      <c r="K538" s="4">
        <f t="shared" si="514"/>
        <v>8.7690099999999993E-2</v>
      </c>
      <c r="L538" s="13">
        <f t="shared" si="515"/>
        <v>0.54878048780487798</v>
      </c>
      <c r="M538" s="3">
        <f t="shared" ref="M538" si="579">AVERAGE(I538:I539)</f>
        <v>2.9345112204724404E-2</v>
      </c>
      <c r="N538" s="3">
        <f t="shared" ref="N538" si="580">AVERAGE(J538:J539)</f>
        <v>5.8344987795275596E-2</v>
      </c>
    </row>
    <row r="539" spans="1:14" x14ac:dyDescent="0.2">
      <c r="A539" s="22"/>
      <c r="B539" s="4">
        <v>100</v>
      </c>
      <c r="C539" s="4">
        <v>8</v>
      </c>
      <c r="D539" s="33">
        <v>1.4</v>
      </c>
      <c r="E539" s="23">
        <v>1</v>
      </c>
      <c r="F539" s="23">
        <f t="shared" si="554"/>
        <v>1.4</v>
      </c>
      <c r="G539" s="23">
        <f t="shared" si="554"/>
        <v>1</v>
      </c>
      <c r="H539" s="4">
        <f t="shared" si="511"/>
        <v>3.8630000000000001E-3</v>
      </c>
      <c r="I539" s="2">
        <f t="shared" si="512"/>
        <v>2.7618929133858265E-2</v>
      </c>
      <c r="J539" s="4">
        <f t="shared" si="513"/>
        <v>6.0071170866141749E-2</v>
      </c>
      <c r="K539" s="4">
        <f t="shared" si="514"/>
        <v>8.7690100000000021E-2</v>
      </c>
      <c r="L539" s="13">
        <f t="shared" si="515"/>
        <v>0.45977011494252856</v>
      </c>
      <c r="M539" s="3"/>
      <c r="N539" s="3"/>
    </row>
    <row r="540" spans="1:14" x14ac:dyDescent="0.2">
      <c r="A540" s="22">
        <v>488651</v>
      </c>
      <c r="B540" s="4">
        <v>100</v>
      </c>
      <c r="C540" s="4">
        <v>8</v>
      </c>
      <c r="D540" s="33">
        <v>4.8499999999999996</v>
      </c>
      <c r="E540" s="23">
        <v>2.8</v>
      </c>
      <c r="F540" s="23">
        <f t="shared" si="554"/>
        <v>4.8499999999999996</v>
      </c>
      <c r="G540" s="23">
        <f t="shared" si="554"/>
        <v>2.8</v>
      </c>
      <c r="H540" s="4">
        <f t="shared" ref="H540:H555" si="581">IF(C540=1,32.7101,IF(C540=2,8.14893,IF(C540=3,1.42818,IF(C540=4,0.44041,IF(C540=5,0.123026,IF(C540=6,0.035767,IF(C540=7,0.009745,0.003863)))))))</f>
        <v>3.8630000000000001E-3</v>
      </c>
      <c r="I540" s="2">
        <f t="shared" ref="I540:I555" si="582">H540*$A$3*(F540-G540)*1000/B540</f>
        <v>0.14154701181102361</v>
      </c>
      <c r="J540" s="4">
        <f t="shared" ref="J540:J555" si="583">2.27*($A$3*G540-($A$3-1)*F540)*H540*1000/B540</f>
        <v>0.10398526818897638</v>
      </c>
      <c r="K540" s="4">
        <f t="shared" ref="K540:K555" si="584">(I540+J540)</f>
        <v>0.24553227999999999</v>
      </c>
      <c r="L540" s="13">
        <f t="shared" ref="L540:L555" si="585">(I540/J540)</f>
        <v>1.3612217795484727</v>
      </c>
      <c r="M540" s="3">
        <f t="shared" ref="M540" si="586">AVERAGE(I540:I541)</f>
        <v>0.10529716732283463</v>
      </c>
      <c r="N540" s="3">
        <f t="shared" ref="N540" si="587">AVERAGE(J540:J541)</f>
        <v>9.6390062677165378E-2</v>
      </c>
    </row>
    <row r="541" spans="1:14" x14ac:dyDescent="0.2">
      <c r="A541" s="22"/>
      <c r="B541" s="4">
        <v>100</v>
      </c>
      <c r="C541" s="4">
        <v>8</v>
      </c>
      <c r="D541" s="33">
        <v>2.8</v>
      </c>
      <c r="E541" s="23">
        <v>1.8</v>
      </c>
      <c r="F541" s="23">
        <f t="shared" si="554"/>
        <v>2.8</v>
      </c>
      <c r="G541" s="23">
        <f t="shared" si="554"/>
        <v>1.8</v>
      </c>
      <c r="H541" s="4">
        <f t="shared" si="581"/>
        <v>3.8630000000000001E-3</v>
      </c>
      <c r="I541" s="2">
        <f t="shared" si="582"/>
        <v>6.9047322834645652E-2</v>
      </c>
      <c r="J541" s="4">
        <f t="shared" si="583"/>
        <v>8.879485716535436E-2</v>
      </c>
      <c r="K541" s="4">
        <f t="shared" si="584"/>
        <v>0.15784218</v>
      </c>
      <c r="L541" s="13">
        <f t="shared" si="585"/>
        <v>0.77760497667185025</v>
      </c>
      <c r="M541" s="3"/>
      <c r="N541" s="3"/>
    </row>
    <row r="542" spans="1:14" x14ac:dyDescent="0.2">
      <c r="A542" s="22">
        <v>488652</v>
      </c>
      <c r="B542" s="4">
        <v>100</v>
      </c>
      <c r="C542" s="4">
        <v>7</v>
      </c>
      <c r="D542" s="33">
        <v>3.1</v>
      </c>
      <c r="E542" s="23">
        <v>2</v>
      </c>
      <c r="F542" s="23">
        <f t="shared" si="554"/>
        <v>3.1</v>
      </c>
      <c r="G542" s="23">
        <f t="shared" si="554"/>
        <v>2</v>
      </c>
      <c r="H542" s="4">
        <f t="shared" si="581"/>
        <v>9.7450000000000002E-3</v>
      </c>
      <c r="I542" s="2">
        <f t="shared" si="582"/>
        <v>0.19160051181102367</v>
      </c>
      <c r="J542" s="4">
        <f t="shared" si="583"/>
        <v>0.25082248818897646</v>
      </c>
      <c r="K542" s="4">
        <f t="shared" si="584"/>
        <v>0.44242300000000012</v>
      </c>
      <c r="L542" s="13">
        <f t="shared" si="585"/>
        <v>0.76388888888888884</v>
      </c>
      <c r="M542" s="3">
        <f t="shared" ref="M542" si="588">AVERAGE(I542:I543)</f>
        <v>0.200309625984252</v>
      </c>
      <c r="N542" s="3">
        <f t="shared" ref="N542" si="589">AVERAGE(J542:J543)</f>
        <v>0.24211337401574806</v>
      </c>
    </row>
    <row r="543" spans="1:14" x14ac:dyDescent="0.2">
      <c r="A543" s="22"/>
      <c r="B543" s="4">
        <v>100</v>
      </c>
      <c r="C543" s="4">
        <v>7</v>
      </c>
      <c r="D543" s="33">
        <v>3.2</v>
      </c>
      <c r="E543" s="23">
        <v>2</v>
      </c>
      <c r="F543" s="23">
        <f t="shared" si="554"/>
        <v>3.2</v>
      </c>
      <c r="G543" s="23">
        <f t="shared" si="554"/>
        <v>2</v>
      </c>
      <c r="H543" s="4">
        <f t="shared" si="581"/>
        <v>9.7450000000000002E-3</v>
      </c>
      <c r="I543" s="2">
        <f t="shared" si="582"/>
        <v>0.20901874015748034</v>
      </c>
      <c r="J543" s="4">
        <f t="shared" si="583"/>
        <v>0.23340425984251964</v>
      </c>
      <c r="K543" s="4">
        <f t="shared" si="584"/>
        <v>0.44242300000000001</v>
      </c>
      <c r="L543" s="13">
        <f t="shared" si="585"/>
        <v>0.89552238805970175</v>
      </c>
      <c r="M543" s="3"/>
      <c r="N543" s="3"/>
    </row>
    <row r="544" spans="1:14" x14ac:dyDescent="0.2">
      <c r="A544" s="22">
        <v>488653</v>
      </c>
      <c r="B544" s="4">
        <v>100</v>
      </c>
      <c r="C544" s="4">
        <v>7</v>
      </c>
      <c r="D544" s="33">
        <v>5.35</v>
      </c>
      <c r="E544" s="23">
        <v>3.25</v>
      </c>
      <c r="F544" s="23">
        <f t="shared" si="554"/>
        <v>5.35</v>
      </c>
      <c r="G544" s="23">
        <f t="shared" si="554"/>
        <v>3.25</v>
      </c>
      <c r="H544" s="4">
        <f t="shared" si="581"/>
        <v>9.7450000000000002E-3</v>
      </c>
      <c r="I544" s="2">
        <f t="shared" si="582"/>
        <v>0.36578279527559049</v>
      </c>
      <c r="J544" s="4">
        <f t="shared" si="583"/>
        <v>0.35315457972440945</v>
      </c>
      <c r="K544" s="4">
        <f t="shared" si="584"/>
        <v>0.71893737499999988</v>
      </c>
      <c r="L544" s="13">
        <f t="shared" si="585"/>
        <v>1.035758323057953</v>
      </c>
      <c r="M544" s="3">
        <f t="shared" ref="M544" si="590">AVERAGE(I544:I545)</f>
        <v>0.37013735236220474</v>
      </c>
      <c r="N544" s="3">
        <f t="shared" ref="N544" si="591">AVERAGE(J544:J545)</f>
        <v>0.35433031013779526</v>
      </c>
    </row>
    <row r="545" spans="1:14" x14ac:dyDescent="0.2">
      <c r="A545" s="22"/>
      <c r="B545" s="4">
        <v>100</v>
      </c>
      <c r="C545" s="4">
        <v>7</v>
      </c>
      <c r="D545" s="33">
        <v>5.45</v>
      </c>
      <c r="E545" s="23">
        <v>3.3</v>
      </c>
      <c r="F545" s="23">
        <f t="shared" si="554"/>
        <v>5.45</v>
      </c>
      <c r="G545" s="23">
        <f t="shared" si="554"/>
        <v>3.3</v>
      </c>
      <c r="H545" s="4">
        <f t="shared" si="581"/>
        <v>9.7450000000000002E-3</v>
      </c>
      <c r="I545" s="2">
        <f t="shared" si="582"/>
        <v>0.37449190944881899</v>
      </c>
      <c r="J545" s="4">
        <f t="shared" si="583"/>
        <v>0.35550604055118112</v>
      </c>
      <c r="K545" s="4">
        <f t="shared" si="584"/>
        <v>0.72999795000000012</v>
      </c>
      <c r="L545" s="13">
        <f t="shared" si="585"/>
        <v>1.0534051935325823</v>
      </c>
      <c r="M545" s="3"/>
      <c r="N545" s="3"/>
    </row>
    <row r="546" spans="1:14" x14ac:dyDescent="0.2">
      <c r="A546" s="22">
        <v>488654</v>
      </c>
      <c r="B546" s="4">
        <v>100</v>
      </c>
      <c r="C546" s="4">
        <v>6</v>
      </c>
      <c r="D546" s="33">
        <v>3.85</v>
      </c>
      <c r="E546" s="23">
        <v>2.0499999999999998</v>
      </c>
      <c r="F546" s="23">
        <f t="shared" si="554"/>
        <v>3.85</v>
      </c>
      <c r="G546" s="23">
        <f t="shared" si="554"/>
        <v>2.0499999999999998</v>
      </c>
      <c r="H546" s="4">
        <f t="shared" si="581"/>
        <v>3.5767E-2</v>
      </c>
      <c r="I546" s="2">
        <f t="shared" si="582"/>
        <v>1.1507398582677169</v>
      </c>
      <c r="J546" s="4">
        <f t="shared" si="583"/>
        <v>0.51367748673228331</v>
      </c>
      <c r="K546" s="4">
        <f t="shared" si="584"/>
        <v>1.6644173450000002</v>
      </c>
      <c r="L546" s="13">
        <f t="shared" si="585"/>
        <v>2.2401991288114513</v>
      </c>
      <c r="M546" s="3">
        <f t="shared" ref="M546" si="592">AVERAGE(I546:I547)</f>
        <v>1.214669850393701</v>
      </c>
      <c r="N546" s="3">
        <f t="shared" ref="N546" si="593">AVERAGE(J546:J547)</f>
        <v>0.40915194960629908</v>
      </c>
    </row>
    <row r="547" spans="1:14" x14ac:dyDescent="0.2">
      <c r="A547" s="22"/>
      <c r="B547" s="4">
        <v>100</v>
      </c>
      <c r="C547" s="4">
        <v>6</v>
      </c>
      <c r="D547" s="33">
        <v>3.95</v>
      </c>
      <c r="E547" s="23">
        <v>1.95</v>
      </c>
      <c r="F547" s="23">
        <f t="shared" si="554"/>
        <v>3.95</v>
      </c>
      <c r="G547" s="23">
        <f t="shared" si="554"/>
        <v>1.95</v>
      </c>
      <c r="H547" s="4">
        <f t="shared" si="581"/>
        <v>3.5767E-2</v>
      </c>
      <c r="I547" s="2">
        <f t="shared" si="582"/>
        <v>1.2785998425196852</v>
      </c>
      <c r="J547" s="4">
        <f t="shared" si="583"/>
        <v>0.30462641248031486</v>
      </c>
      <c r="K547" s="4">
        <f t="shared" si="584"/>
        <v>1.583226255</v>
      </c>
      <c r="L547" s="13">
        <f t="shared" si="585"/>
        <v>4.1972717733473264</v>
      </c>
      <c r="M547" s="3"/>
      <c r="N547" s="3"/>
    </row>
    <row r="548" spans="1:14" x14ac:dyDescent="0.2">
      <c r="A548" s="22">
        <v>488655</v>
      </c>
      <c r="B548" s="4">
        <v>100</v>
      </c>
      <c r="C548" s="4">
        <v>6</v>
      </c>
      <c r="D548" s="33">
        <v>4.8499999999999996</v>
      </c>
      <c r="E548" s="23">
        <v>2.4500000000000002</v>
      </c>
      <c r="F548" s="23">
        <f t="shared" si="554"/>
        <v>4.8499999999999996</v>
      </c>
      <c r="G548" s="23">
        <f t="shared" si="554"/>
        <v>2.4500000000000002</v>
      </c>
      <c r="H548" s="4">
        <f t="shared" si="581"/>
        <v>3.5767E-2</v>
      </c>
      <c r="I548" s="2">
        <f t="shared" si="582"/>
        <v>1.5343198110236216</v>
      </c>
      <c r="J548" s="4">
        <f t="shared" si="583"/>
        <v>0.45486189397637872</v>
      </c>
      <c r="K548" s="4">
        <f t="shared" si="584"/>
        <v>1.9891817050000002</v>
      </c>
      <c r="L548" s="13">
        <f t="shared" si="585"/>
        <v>3.373155305692193</v>
      </c>
      <c r="M548" s="3">
        <f t="shared" ref="M548" si="594">AVERAGE(I548:I549)</f>
        <v>1.5183373129921258</v>
      </c>
      <c r="N548" s="3">
        <f t="shared" ref="N548" si="595">AVERAGE(J548:J549)</f>
        <v>0.43024884700787447</v>
      </c>
    </row>
    <row r="549" spans="1:14" x14ac:dyDescent="0.2">
      <c r="A549" s="22"/>
      <c r="B549" s="4">
        <v>100</v>
      </c>
      <c r="C549" s="4">
        <v>6</v>
      </c>
      <c r="D549" s="33">
        <v>4.7</v>
      </c>
      <c r="E549" s="23">
        <v>2.35</v>
      </c>
      <c r="F549" s="23">
        <f t="shared" si="554"/>
        <v>4.7</v>
      </c>
      <c r="G549" s="23">
        <f t="shared" si="554"/>
        <v>2.35</v>
      </c>
      <c r="H549" s="4">
        <f t="shared" si="581"/>
        <v>3.5767E-2</v>
      </c>
      <c r="I549" s="2">
        <f t="shared" si="582"/>
        <v>1.5023548149606298</v>
      </c>
      <c r="J549" s="4">
        <f t="shared" si="583"/>
        <v>0.40563580003937028</v>
      </c>
      <c r="K549" s="4">
        <f t="shared" si="584"/>
        <v>1.9079906150000001</v>
      </c>
      <c r="L549" s="13">
        <f t="shared" si="585"/>
        <v>3.7037037037037015</v>
      </c>
      <c r="M549" s="3"/>
      <c r="N549" s="3"/>
    </row>
    <row r="550" spans="1:14" x14ac:dyDescent="0.2">
      <c r="A550" s="22">
        <v>488656</v>
      </c>
      <c r="B550" s="4">
        <v>100</v>
      </c>
      <c r="C550" s="4">
        <v>5</v>
      </c>
      <c r="D550" s="33">
        <v>3.45</v>
      </c>
      <c r="E550" s="23">
        <v>1.65</v>
      </c>
      <c r="F550" s="23">
        <f t="shared" si="554"/>
        <v>3.45</v>
      </c>
      <c r="G550" s="23">
        <f t="shared" si="554"/>
        <v>1.65</v>
      </c>
      <c r="H550" s="4">
        <f t="shared" si="581"/>
        <v>0.123026</v>
      </c>
      <c r="I550" s="2">
        <f t="shared" si="582"/>
        <v>3.9581435905511815</v>
      </c>
      <c r="J550" s="4">
        <f t="shared" si="583"/>
        <v>0.64979523944881823</v>
      </c>
      <c r="K550" s="4">
        <f t="shared" si="584"/>
        <v>4.6079388300000002</v>
      </c>
      <c r="L550" s="13">
        <f t="shared" si="585"/>
        <v>6.0913705583756412</v>
      </c>
      <c r="M550" s="3">
        <f t="shared" ref="M550" si="596">AVERAGE(I550:I551)</f>
        <v>3.9581435905511815</v>
      </c>
      <c r="N550" s="3">
        <f t="shared" ref="N550" si="597">AVERAGE(J550:J551)</f>
        <v>0.64979523944881823</v>
      </c>
    </row>
    <row r="551" spans="1:14" x14ac:dyDescent="0.2">
      <c r="A551" s="22"/>
      <c r="B551" s="4">
        <v>100</v>
      </c>
      <c r="C551" s="4">
        <v>5</v>
      </c>
      <c r="D551" s="33">
        <v>3.45</v>
      </c>
      <c r="E551" s="23">
        <v>1.65</v>
      </c>
      <c r="F551" s="23">
        <f t="shared" si="554"/>
        <v>3.45</v>
      </c>
      <c r="G551" s="23">
        <f t="shared" si="554"/>
        <v>1.65</v>
      </c>
      <c r="H551" s="4">
        <f t="shared" si="581"/>
        <v>0.123026</v>
      </c>
      <c r="I551" s="2">
        <f t="shared" si="582"/>
        <v>3.9581435905511815</v>
      </c>
      <c r="J551" s="4">
        <f t="shared" si="583"/>
        <v>0.64979523944881823</v>
      </c>
      <c r="K551" s="4">
        <f t="shared" si="584"/>
        <v>4.6079388300000002</v>
      </c>
      <c r="L551" s="13">
        <f t="shared" si="585"/>
        <v>6.0913705583756412</v>
      </c>
      <c r="M551" s="3"/>
      <c r="N551" s="3"/>
    </row>
    <row r="552" spans="1:14" x14ac:dyDescent="0.2">
      <c r="A552" s="22">
        <v>488657</v>
      </c>
      <c r="B552" s="4">
        <v>100</v>
      </c>
      <c r="C552" s="4">
        <v>5</v>
      </c>
      <c r="D552" s="33">
        <v>2.85</v>
      </c>
      <c r="E552" s="23">
        <v>1.35</v>
      </c>
      <c r="F552" s="23">
        <f t="shared" si="554"/>
        <v>2.85</v>
      </c>
      <c r="G552" s="23">
        <f t="shared" si="554"/>
        <v>1.35</v>
      </c>
      <c r="H552" s="4">
        <f t="shared" si="581"/>
        <v>0.123026</v>
      </c>
      <c r="I552" s="2">
        <f t="shared" si="582"/>
        <v>3.2984529921259842</v>
      </c>
      <c r="J552" s="4">
        <f t="shared" si="583"/>
        <v>0.47167877787401563</v>
      </c>
      <c r="K552" s="4">
        <f t="shared" si="584"/>
        <v>3.7701317699999999</v>
      </c>
      <c r="L552" s="13">
        <f t="shared" si="585"/>
        <v>6.9930069930069942</v>
      </c>
      <c r="M552" s="3">
        <f t="shared" ref="M552" si="598">AVERAGE(I552:I553)</f>
        <v>3.1885045590551178</v>
      </c>
      <c r="N552" s="3">
        <f t="shared" ref="N552" si="599">AVERAGE(J552:J553)</f>
        <v>0.51180995594488188</v>
      </c>
    </row>
    <row r="553" spans="1:14" x14ac:dyDescent="0.2">
      <c r="A553" s="22"/>
      <c r="B553" s="4">
        <v>100</v>
      </c>
      <c r="C553" s="4">
        <v>5</v>
      </c>
      <c r="D553" s="33">
        <v>2.7</v>
      </c>
      <c r="E553" s="23">
        <v>1.3</v>
      </c>
      <c r="F553" s="23">
        <f t="shared" si="554"/>
        <v>2.7</v>
      </c>
      <c r="G553" s="23">
        <f t="shared" si="554"/>
        <v>1.3</v>
      </c>
      <c r="H553" s="4">
        <f t="shared" si="581"/>
        <v>0.123026</v>
      </c>
      <c r="I553" s="2">
        <f t="shared" si="582"/>
        <v>3.0785561259842518</v>
      </c>
      <c r="J553" s="4">
        <f t="shared" si="583"/>
        <v>0.55194113401574807</v>
      </c>
      <c r="K553" s="4">
        <f t="shared" si="584"/>
        <v>3.6304972599999998</v>
      </c>
      <c r="L553" s="13">
        <f t="shared" si="585"/>
        <v>5.5776892430278879</v>
      </c>
      <c r="M553" s="3"/>
      <c r="N553" s="3"/>
    </row>
    <row r="554" spans="1:14" x14ac:dyDescent="0.2">
      <c r="A554" s="22">
        <v>488658</v>
      </c>
      <c r="B554" s="4">
        <v>100</v>
      </c>
      <c r="C554" s="4">
        <v>5</v>
      </c>
      <c r="D554" s="33">
        <v>2.65</v>
      </c>
      <c r="E554" s="23">
        <v>1.3</v>
      </c>
      <c r="F554" s="23">
        <f t="shared" si="554"/>
        <v>2.65</v>
      </c>
      <c r="G554" s="23">
        <f t="shared" si="554"/>
        <v>1.3</v>
      </c>
      <c r="H554" s="4">
        <f t="shared" si="581"/>
        <v>0.123026</v>
      </c>
      <c r="I554" s="2">
        <f t="shared" si="582"/>
        <v>2.9686076929133858</v>
      </c>
      <c r="J554" s="4">
        <f t="shared" si="583"/>
        <v>0.66188956708661395</v>
      </c>
      <c r="K554" s="4">
        <f t="shared" si="584"/>
        <v>3.6304972599999998</v>
      </c>
      <c r="L554" s="13">
        <f t="shared" si="585"/>
        <v>4.4850498338870448</v>
      </c>
      <c r="M554" s="3">
        <f t="shared" ref="M554" si="600">AVERAGE(I554:I555)</f>
        <v>2.9686076929133858</v>
      </c>
      <c r="N554" s="3">
        <f t="shared" ref="N554" si="601">AVERAGE(J554:J555)</f>
        <v>0.73170682208661431</v>
      </c>
    </row>
    <row r="555" spans="1:14" x14ac:dyDescent="0.2">
      <c r="B555" s="4">
        <v>100</v>
      </c>
      <c r="C555" s="4">
        <v>5</v>
      </c>
      <c r="D555" s="33">
        <v>2.7</v>
      </c>
      <c r="E555" s="23">
        <v>1.35</v>
      </c>
      <c r="F555" s="23">
        <f t="shared" si="554"/>
        <v>2.7</v>
      </c>
      <c r="G555" s="23">
        <f t="shared" si="554"/>
        <v>1.35</v>
      </c>
      <c r="H555" s="4">
        <f t="shared" si="581"/>
        <v>0.123026</v>
      </c>
      <c r="I555" s="2">
        <f t="shared" si="582"/>
        <v>2.9686076929133862</v>
      </c>
      <c r="J555" s="4">
        <f t="shared" si="583"/>
        <v>0.80152407708661466</v>
      </c>
      <c r="K555" s="4">
        <f t="shared" si="584"/>
        <v>3.7701317700000008</v>
      </c>
      <c r="L555" s="13">
        <f t="shared" si="585"/>
        <v>3.7037037037037019</v>
      </c>
      <c r="M555" s="3"/>
      <c r="N555" s="3"/>
    </row>
    <row r="556" spans="1:14" x14ac:dyDescent="0.2">
      <c r="A556" s="4">
        <v>488660</v>
      </c>
      <c r="B556" s="4">
        <v>100</v>
      </c>
      <c r="C556" s="4">
        <v>8</v>
      </c>
      <c r="D556" s="33">
        <v>3.8</v>
      </c>
      <c r="E556" s="23">
        <v>2.5499999999999998</v>
      </c>
      <c r="F556" s="23">
        <f t="shared" si="554"/>
        <v>3.8</v>
      </c>
      <c r="G556" s="23">
        <f t="shared" ref="G556:G810" si="602">IF($C556=5,E556-$D$5,IF($C556=6,E556-$D$6,IF($C556=7,E556-$D$7,IF($C556=8,E556-$D$8,E556))))</f>
        <v>2.5499999999999998</v>
      </c>
      <c r="H556" s="4">
        <f t="shared" ref="H556:H619" si="603">IF(C556=1,32.7101,IF(C556=2,8.14893,IF(C556=3,1.42818,IF(C556=4,0.44041,IF(C556=5,0.123026,IF(C556=6,0.035767,IF(C556=7,0.009745,0.003863)))))))</f>
        <v>3.8630000000000001E-3</v>
      </c>
      <c r="I556" s="2">
        <f t="shared" ref="I556:I619" si="604">H556*$A$3*(F556-G556)*1000/B556</f>
        <v>8.6309153543307093E-2</v>
      </c>
      <c r="J556" s="4">
        <f t="shared" ref="J556:J619" si="605">2.27*($A$3*G556-($A$3-1)*F556)*H556*1000/B556</f>
        <v>0.13730060145669293</v>
      </c>
      <c r="K556" s="4">
        <f t="shared" ref="K556:K619" si="606">(I556+J556)</f>
        <v>0.22360975500000002</v>
      </c>
      <c r="L556" s="13">
        <f t="shared" ref="L556:L619" si="607">(I556/J556)</f>
        <v>0.62861453356801611</v>
      </c>
      <c r="M556" s="3">
        <f t="shared" ref="M556" si="608">AVERAGE(I556:I557)</f>
        <v>7.9404421259842539E-2</v>
      </c>
      <c r="N556" s="3">
        <f t="shared" ref="N556" si="609">AVERAGE(J556:J557)</f>
        <v>0.13324407124015747</v>
      </c>
    </row>
    <row r="557" spans="1:14" x14ac:dyDescent="0.2">
      <c r="A557" s="22"/>
      <c r="B557" s="4">
        <v>100</v>
      </c>
      <c r="C557" s="4">
        <v>8</v>
      </c>
      <c r="D557" s="33">
        <v>3.35</v>
      </c>
      <c r="E557" s="23">
        <v>2.2999999999999998</v>
      </c>
      <c r="F557" s="23">
        <f t="shared" si="554"/>
        <v>3.35</v>
      </c>
      <c r="G557" s="23">
        <f t="shared" si="602"/>
        <v>2.2999999999999998</v>
      </c>
      <c r="H557" s="4">
        <f t="shared" si="603"/>
        <v>3.8630000000000001E-3</v>
      </c>
      <c r="I557" s="2">
        <f t="shared" si="604"/>
        <v>7.2499688976377971E-2</v>
      </c>
      <c r="J557" s="4">
        <f t="shared" si="605"/>
        <v>0.12918754102362201</v>
      </c>
      <c r="K557" s="4">
        <f t="shared" si="606"/>
        <v>0.20168723</v>
      </c>
      <c r="L557" s="13">
        <f t="shared" si="607"/>
        <v>0.56119722073757383</v>
      </c>
      <c r="M557" s="3"/>
      <c r="N557" s="3"/>
    </row>
    <row r="558" spans="1:14" x14ac:dyDescent="0.2">
      <c r="A558" s="22">
        <v>488661</v>
      </c>
      <c r="B558" s="4">
        <v>100</v>
      </c>
      <c r="C558" s="4">
        <v>8</v>
      </c>
      <c r="D558" s="33">
        <v>3.25</v>
      </c>
      <c r="E558" s="23">
        <v>2.2999999999999998</v>
      </c>
      <c r="F558" s="23">
        <f t="shared" si="554"/>
        <v>3.25</v>
      </c>
      <c r="G558" s="23">
        <f t="shared" si="602"/>
        <v>2.2999999999999998</v>
      </c>
      <c r="H558" s="4">
        <f t="shared" si="603"/>
        <v>3.8630000000000001E-3</v>
      </c>
      <c r="I558" s="2">
        <f t="shared" si="604"/>
        <v>6.5594956692913403E-2</v>
      </c>
      <c r="J558" s="4">
        <f t="shared" si="605"/>
        <v>0.13609227330708656</v>
      </c>
      <c r="K558" s="4">
        <f t="shared" si="606"/>
        <v>0.20168722999999997</v>
      </c>
      <c r="L558" s="13">
        <f t="shared" si="607"/>
        <v>0.48198883815322202</v>
      </c>
      <c r="M558" s="3">
        <f t="shared" ref="M558" si="610">AVERAGE(I558:I559)</f>
        <v>6.7321139763779542E-2</v>
      </c>
      <c r="N558" s="3">
        <f t="shared" ref="N558" si="611">AVERAGE(J558:J559)</f>
        <v>0.14094284773622046</v>
      </c>
    </row>
    <row r="559" spans="1:14" x14ac:dyDescent="0.2">
      <c r="A559" s="22"/>
      <c r="B559" s="4">
        <v>100</v>
      </c>
      <c r="C559" s="4">
        <v>8</v>
      </c>
      <c r="D559" s="33">
        <v>3.45</v>
      </c>
      <c r="E559" s="23">
        <v>2.4500000000000002</v>
      </c>
      <c r="F559" s="23">
        <f t="shared" si="554"/>
        <v>3.45</v>
      </c>
      <c r="G559" s="23">
        <f t="shared" si="602"/>
        <v>2.4500000000000002</v>
      </c>
      <c r="H559" s="4">
        <f t="shared" si="603"/>
        <v>3.8630000000000001E-3</v>
      </c>
      <c r="I559" s="2">
        <f t="shared" si="604"/>
        <v>6.904732283464568E-2</v>
      </c>
      <c r="J559" s="4">
        <f t="shared" si="605"/>
        <v>0.14579342216535435</v>
      </c>
      <c r="K559" s="4">
        <f t="shared" si="606"/>
        <v>0.21484074500000003</v>
      </c>
      <c r="L559" s="13">
        <f t="shared" si="607"/>
        <v>0.47359696897939857</v>
      </c>
      <c r="M559" s="3"/>
      <c r="N559" s="3"/>
    </row>
    <row r="560" spans="1:14" x14ac:dyDescent="0.2">
      <c r="A560" s="22">
        <v>488662</v>
      </c>
      <c r="B560" s="4">
        <v>100</v>
      </c>
      <c r="C560" s="4">
        <v>8</v>
      </c>
      <c r="D560" s="33">
        <v>3</v>
      </c>
      <c r="E560" s="23">
        <v>2</v>
      </c>
      <c r="F560" s="23">
        <f t="shared" si="554"/>
        <v>3</v>
      </c>
      <c r="G560" s="23">
        <f t="shared" si="602"/>
        <v>2</v>
      </c>
      <c r="H560" s="4">
        <f t="shared" si="603"/>
        <v>3.8630000000000001E-3</v>
      </c>
      <c r="I560" s="2">
        <f t="shared" si="604"/>
        <v>6.904732283464568E-2</v>
      </c>
      <c r="J560" s="4">
        <f t="shared" si="605"/>
        <v>0.10633287716535433</v>
      </c>
      <c r="K560" s="4">
        <f t="shared" si="606"/>
        <v>0.17538020000000001</v>
      </c>
      <c r="L560" s="13">
        <f t="shared" si="607"/>
        <v>0.64935064935064946</v>
      </c>
      <c r="M560" s="3">
        <f t="shared" ref="M560" si="612">AVERAGE(I560:I561)</f>
        <v>7.2499688976377957E-2</v>
      </c>
      <c r="N560" s="3">
        <f t="shared" ref="N560" si="613">AVERAGE(J560:J561)</f>
        <v>0.11822627852362204</v>
      </c>
    </row>
    <row r="561" spans="1:14" x14ac:dyDescent="0.2">
      <c r="A561" s="22"/>
      <c r="B561" s="4">
        <v>100</v>
      </c>
      <c r="C561" s="4">
        <v>8</v>
      </c>
      <c r="D561" s="33">
        <v>3.45</v>
      </c>
      <c r="E561" s="23">
        <v>2.35</v>
      </c>
      <c r="F561" s="23">
        <f t="shared" si="554"/>
        <v>3.45</v>
      </c>
      <c r="G561" s="23">
        <f t="shared" si="602"/>
        <v>2.35</v>
      </c>
      <c r="H561" s="4">
        <f t="shared" si="603"/>
        <v>3.8630000000000001E-3</v>
      </c>
      <c r="I561" s="2">
        <f t="shared" si="604"/>
        <v>7.5952055118110248E-2</v>
      </c>
      <c r="J561" s="4">
        <f t="shared" si="605"/>
        <v>0.13011967988188974</v>
      </c>
      <c r="K561" s="4">
        <f t="shared" si="606"/>
        <v>0.20607173499999998</v>
      </c>
      <c r="L561" s="13">
        <f t="shared" si="607"/>
        <v>0.5837092066861238</v>
      </c>
      <c r="M561" s="3"/>
      <c r="N561" s="3"/>
    </row>
    <row r="562" spans="1:14" x14ac:dyDescent="0.2">
      <c r="A562" s="22">
        <v>488663</v>
      </c>
      <c r="B562" s="4">
        <v>100</v>
      </c>
      <c r="C562" s="4">
        <v>8</v>
      </c>
      <c r="D562" s="33">
        <v>5.25</v>
      </c>
      <c r="E562" s="23">
        <v>3.2</v>
      </c>
      <c r="F562" s="23">
        <f t="shared" si="554"/>
        <v>5.25</v>
      </c>
      <c r="G562" s="23">
        <f t="shared" si="602"/>
        <v>3.2</v>
      </c>
      <c r="H562" s="4">
        <f t="shared" si="603"/>
        <v>3.8630000000000001E-3</v>
      </c>
      <c r="I562" s="2">
        <f t="shared" si="604"/>
        <v>0.14154701181102361</v>
      </c>
      <c r="J562" s="4">
        <f t="shared" si="605"/>
        <v>0.13906130818897641</v>
      </c>
      <c r="K562" s="4">
        <f t="shared" si="606"/>
        <v>0.28060832000000002</v>
      </c>
      <c r="L562" s="13">
        <f t="shared" si="607"/>
        <v>1.0178748758689173</v>
      </c>
      <c r="M562" s="3">
        <f t="shared" ref="M562" si="614">AVERAGE(I562:I563)</f>
        <v>0.15363029330708661</v>
      </c>
      <c r="N562" s="3">
        <f t="shared" ref="N562" si="615">AVERAGE(J562:J563)</f>
        <v>0.16424631919291338</v>
      </c>
    </row>
    <row r="563" spans="1:14" x14ac:dyDescent="0.2">
      <c r="A563" s="22"/>
      <c r="B563" s="4">
        <v>100</v>
      </c>
      <c r="C563" s="4">
        <v>8</v>
      </c>
      <c r="D563" s="33">
        <v>6.45</v>
      </c>
      <c r="E563" s="23">
        <v>4.05</v>
      </c>
      <c r="F563" s="23">
        <f t="shared" si="554"/>
        <v>6.45</v>
      </c>
      <c r="G563" s="23">
        <f t="shared" si="602"/>
        <v>4.05</v>
      </c>
      <c r="H563" s="4">
        <f t="shared" si="603"/>
        <v>3.8630000000000001E-3</v>
      </c>
      <c r="I563" s="2">
        <f t="shared" si="604"/>
        <v>0.16571357480314963</v>
      </c>
      <c r="J563" s="4">
        <f t="shared" si="605"/>
        <v>0.18943133019685035</v>
      </c>
      <c r="K563" s="4">
        <f t="shared" si="606"/>
        <v>0.35514490499999996</v>
      </c>
      <c r="L563" s="13">
        <f t="shared" si="607"/>
        <v>0.87479496992892325</v>
      </c>
      <c r="M563" s="3"/>
      <c r="N563" s="3"/>
    </row>
    <row r="564" spans="1:14" x14ac:dyDescent="0.2">
      <c r="A564" s="22">
        <v>488664</v>
      </c>
      <c r="B564" s="4">
        <v>100</v>
      </c>
      <c r="C564" s="4">
        <v>7</v>
      </c>
      <c r="D564" s="33">
        <v>3.2</v>
      </c>
      <c r="E564" s="23">
        <v>2</v>
      </c>
      <c r="F564" s="23">
        <f t="shared" si="554"/>
        <v>3.2</v>
      </c>
      <c r="G564" s="23">
        <f t="shared" si="602"/>
        <v>2</v>
      </c>
      <c r="H564" s="4">
        <f t="shared" si="603"/>
        <v>9.7450000000000002E-3</v>
      </c>
      <c r="I564" s="2">
        <f t="shared" si="604"/>
        <v>0.20901874015748034</v>
      </c>
      <c r="J564" s="4">
        <f t="shared" si="605"/>
        <v>0.23340425984251964</v>
      </c>
      <c r="K564" s="4">
        <f t="shared" si="606"/>
        <v>0.44242300000000001</v>
      </c>
      <c r="L564" s="13">
        <f t="shared" si="607"/>
        <v>0.89552238805970175</v>
      </c>
      <c r="M564" s="3">
        <f t="shared" ref="M564" si="616">AVERAGE(I564:I565)</f>
        <v>0.20901874015748034</v>
      </c>
      <c r="N564" s="3">
        <f t="shared" ref="N564" si="617">AVERAGE(J564:J565)</f>
        <v>0.20575282234251968</v>
      </c>
    </row>
    <row r="565" spans="1:14" x14ac:dyDescent="0.2">
      <c r="A565" s="22"/>
      <c r="B565" s="4">
        <v>100</v>
      </c>
      <c r="C565" s="4">
        <v>7</v>
      </c>
      <c r="D565" s="33">
        <v>2.95</v>
      </c>
      <c r="E565" s="23">
        <v>1.75</v>
      </c>
      <c r="F565" s="23">
        <f t="shared" si="554"/>
        <v>2.95</v>
      </c>
      <c r="G565" s="23">
        <f t="shared" si="602"/>
        <v>1.75</v>
      </c>
      <c r="H565" s="4">
        <f t="shared" si="603"/>
        <v>9.7450000000000002E-3</v>
      </c>
      <c r="I565" s="2">
        <f t="shared" si="604"/>
        <v>0.20901874015748034</v>
      </c>
      <c r="J565" s="4">
        <f t="shared" si="605"/>
        <v>0.17810138484251969</v>
      </c>
      <c r="K565" s="4">
        <f t="shared" si="606"/>
        <v>0.38712012500000004</v>
      </c>
      <c r="L565" s="13">
        <f t="shared" si="607"/>
        <v>1.1735941320293399</v>
      </c>
      <c r="M565" s="3"/>
      <c r="N565" s="3"/>
    </row>
    <row r="566" spans="1:14" x14ac:dyDescent="0.2">
      <c r="A566" s="22">
        <v>488665</v>
      </c>
      <c r="B566" s="4">
        <v>100</v>
      </c>
      <c r="C566" s="4">
        <v>7</v>
      </c>
      <c r="D566" s="33">
        <v>4.3</v>
      </c>
      <c r="E566" s="23">
        <v>2.4</v>
      </c>
      <c r="F566" s="23">
        <f t="shared" si="554"/>
        <v>4.3</v>
      </c>
      <c r="G566" s="23">
        <f t="shared" si="602"/>
        <v>2.4</v>
      </c>
      <c r="H566" s="4">
        <f t="shared" si="603"/>
        <v>9.7450000000000002E-3</v>
      </c>
      <c r="I566" s="2">
        <f t="shared" si="604"/>
        <v>0.33094633858267719</v>
      </c>
      <c r="J566" s="4">
        <f t="shared" si="605"/>
        <v>0.19996126141732279</v>
      </c>
      <c r="K566" s="4">
        <f t="shared" si="606"/>
        <v>0.53090759999999992</v>
      </c>
      <c r="L566" s="13">
        <f t="shared" si="607"/>
        <v>1.655052264808363</v>
      </c>
      <c r="M566" s="3">
        <f t="shared" ref="M566" si="618">AVERAGE(I566:I567)</f>
        <v>0.3222372244094488</v>
      </c>
      <c r="N566" s="3">
        <f t="shared" ref="N566" si="619">AVERAGE(J566:J567)</f>
        <v>0.22526123809055121</v>
      </c>
    </row>
    <row r="567" spans="1:14" x14ac:dyDescent="0.2">
      <c r="A567" s="22"/>
      <c r="B567" s="4">
        <v>100</v>
      </c>
      <c r="C567" s="4">
        <v>7</v>
      </c>
      <c r="D567" s="33">
        <v>4.3499999999999996</v>
      </c>
      <c r="E567" s="23">
        <v>2.5499999999999998</v>
      </c>
      <c r="F567" s="23">
        <f t="shared" si="554"/>
        <v>4.3499999999999996</v>
      </c>
      <c r="G567" s="23">
        <f t="shared" si="602"/>
        <v>2.5499999999999998</v>
      </c>
      <c r="H567" s="4">
        <f t="shared" si="603"/>
        <v>9.7450000000000002E-3</v>
      </c>
      <c r="I567" s="2">
        <f t="shared" si="604"/>
        <v>0.3135281102362204</v>
      </c>
      <c r="J567" s="4">
        <f t="shared" si="605"/>
        <v>0.25056121476377963</v>
      </c>
      <c r="K567" s="4">
        <f t="shared" si="606"/>
        <v>0.56408932500000009</v>
      </c>
      <c r="L567" s="13">
        <f t="shared" si="607"/>
        <v>1.2513034410844621</v>
      </c>
      <c r="M567" s="3"/>
      <c r="N567" s="3"/>
    </row>
    <row r="568" spans="1:14" x14ac:dyDescent="0.2">
      <c r="A568" s="22">
        <v>488666</v>
      </c>
      <c r="B568" s="4">
        <v>100</v>
      </c>
      <c r="C568" s="4">
        <v>6</v>
      </c>
      <c r="D568" s="33">
        <v>2.35</v>
      </c>
      <c r="E568" s="23">
        <v>1.25</v>
      </c>
      <c r="F568" s="23">
        <f t="shared" si="554"/>
        <v>2.35</v>
      </c>
      <c r="G568" s="23">
        <f t="shared" si="602"/>
        <v>1.25</v>
      </c>
      <c r="H568" s="4">
        <f t="shared" si="603"/>
        <v>3.5767E-2</v>
      </c>
      <c r="I568" s="2">
        <f t="shared" si="604"/>
        <v>0.70322991338582697</v>
      </c>
      <c r="J568" s="4">
        <f t="shared" si="605"/>
        <v>0.31165871161417341</v>
      </c>
      <c r="K568" s="4">
        <f t="shared" si="606"/>
        <v>1.0148886250000004</v>
      </c>
      <c r="L568" s="13">
        <f t="shared" si="607"/>
        <v>2.2564102564102555</v>
      </c>
      <c r="M568" s="3">
        <f t="shared" ref="M568" si="620">AVERAGE(I568:I569)</f>
        <v>0.70322991338582685</v>
      </c>
      <c r="N568" s="3">
        <f t="shared" ref="N568" si="621">AVERAGE(J568:J569)</f>
        <v>0.29136093911417338</v>
      </c>
    </row>
    <row r="569" spans="1:14" x14ac:dyDescent="0.2">
      <c r="A569" s="22"/>
      <c r="B569" s="4">
        <v>100</v>
      </c>
      <c r="C569" s="4">
        <v>6</v>
      </c>
      <c r="D569" s="33">
        <v>2.2999999999999998</v>
      </c>
      <c r="E569" s="23">
        <v>1.2</v>
      </c>
      <c r="F569" s="23">
        <f t="shared" si="554"/>
        <v>2.2999999999999998</v>
      </c>
      <c r="G569" s="23">
        <f t="shared" si="602"/>
        <v>1.2</v>
      </c>
      <c r="H569" s="4">
        <f t="shared" si="603"/>
        <v>3.5767E-2</v>
      </c>
      <c r="I569" s="2">
        <f t="shared" si="604"/>
        <v>0.70322991338582685</v>
      </c>
      <c r="J569" s="4">
        <f t="shared" si="605"/>
        <v>0.2710631666141734</v>
      </c>
      <c r="K569" s="4">
        <f t="shared" si="606"/>
        <v>0.97429308000000026</v>
      </c>
      <c r="L569" s="13">
        <f t="shared" si="607"/>
        <v>2.5943396226415083</v>
      </c>
      <c r="M569" s="3"/>
      <c r="N569" s="3"/>
    </row>
    <row r="570" spans="1:14" x14ac:dyDescent="0.2">
      <c r="A570" s="22">
        <v>488667</v>
      </c>
      <c r="B570" s="4">
        <v>100</v>
      </c>
      <c r="C570" s="4">
        <v>6</v>
      </c>
      <c r="D570" s="33">
        <v>5.15</v>
      </c>
      <c r="E570" s="23">
        <v>2.5499999999999998</v>
      </c>
      <c r="F570" s="23">
        <f t="shared" si="554"/>
        <v>5.15</v>
      </c>
      <c r="G570" s="23">
        <f t="shared" si="602"/>
        <v>2.5499999999999998</v>
      </c>
      <c r="H570" s="4">
        <f t="shared" si="603"/>
        <v>3.5767E-2</v>
      </c>
      <c r="I570" s="2">
        <f t="shared" si="604"/>
        <v>1.662179795275591</v>
      </c>
      <c r="J570" s="4">
        <f t="shared" si="605"/>
        <v>0.40819299972440937</v>
      </c>
      <c r="K570" s="4">
        <f t="shared" si="606"/>
        <v>2.0703727950000004</v>
      </c>
      <c r="L570" s="13">
        <f t="shared" si="607"/>
        <v>4.072043852779955</v>
      </c>
      <c r="M570" s="3">
        <f t="shared" ref="M570" si="622">AVERAGE(I570:I571)</f>
        <v>1.6461972972440946</v>
      </c>
      <c r="N570" s="3">
        <f t="shared" ref="N570" si="623">AVERAGE(J570:J571)</f>
        <v>0.42417549775590579</v>
      </c>
    </row>
    <row r="571" spans="1:14" x14ac:dyDescent="0.2">
      <c r="A571" s="22"/>
      <c r="B571" s="4">
        <v>100</v>
      </c>
      <c r="C571" s="4">
        <v>6</v>
      </c>
      <c r="D571" s="33">
        <v>5.0999999999999996</v>
      </c>
      <c r="E571" s="23">
        <v>2.5499999999999998</v>
      </c>
      <c r="F571" s="23">
        <f t="shared" si="554"/>
        <v>5.0999999999999996</v>
      </c>
      <c r="G571" s="23">
        <f t="shared" si="602"/>
        <v>2.5499999999999998</v>
      </c>
      <c r="H571" s="4">
        <f t="shared" si="603"/>
        <v>3.5767E-2</v>
      </c>
      <c r="I571" s="2">
        <f t="shared" si="604"/>
        <v>1.6302147992125984</v>
      </c>
      <c r="J571" s="4">
        <f t="shared" si="605"/>
        <v>0.44015799578740217</v>
      </c>
      <c r="K571" s="4">
        <f t="shared" si="606"/>
        <v>2.0703727950000004</v>
      </c>
      <c r="L571" s="13">
        <f t="shared" si="607"/>
        <v>3.7037037037036984</v>
      </c>
      <c r="M571" s="3"/>
      <c r="N571" s="3"/>
    </row>
    <row r="572" spans="1:14" x14ac:dyDescent="0.2">
      <c r="A572" s="22">
        <v>488668</v>
      </c>
      <c r="B572" s="4">
        <v>100</v>
      </c>
      <c r="C572" s="4">
        <v>6</v>
      </c>
      <c r="D572" s="33">
        <v>6</v>
      </c>
      <c r="E572" s="23">
        <v>2.9</v>
      </c>
      <c r="F572" s="23">
        <f t="shared" si="554"/>
        <v>6</v>
      </c>
      <c r="G572" s="23">
        <f t="shared" si="602"/>
        <v>2.9</v>
      </c>
      <c r="H572" s="4">
        <f t="shared" si="603"/>
        <v>3.5767E-2</v>
      </c>
      <c r="I572" s="2">
        <f t="shared" si="604"/>
        <v>1.981829755905512</v>
      </c>
      <c r="J572" s="4">
        <f t="shared" si="605"/>
        <v>0.37271185409448843</v>
      </c>
      <c r="K572" s="4">
        <f t="shared" si="606"/>
        <v>2.3545416100000005</v>
      </c>
      <c r="L572" s="13">
        <f t="shared" si="607"/>
        <v>5.3173241852487108</v>
      </c>
      <c r="M572" s="3">
        <f t="shared" ref="M572" si="624">AVERAGE(I572:I573)</f>
        <v>1.9658472578740158</v>
      </c>
      <c r="N572" s="3">
        <f t="shared" ref="N572" si="625">AVERAGE(J572:J573)</f>
        <v>0.42928989712598431</v>
      </c>
    </row>
    <row r="573" spans="1:14" x14ac:dyDescent="0.2">
      <c r="A573" s="22"/>
      <c r="B573" s="4">
        <v>100</v>
      </c>
      <c r="C573" s="4">
        <v>6</v>
      </c>
      <c r="D573" s="33">
        <v>6.05</v>
      </c>
      <c r="E573" s="23">
        <v>3</v>
      </c>
      <c r="F573" s="23">
        <f t="shared" si="554"/>
        <v>6.05</v>
      </c>
      <c r="G573" s="23">
        <f t="shared" si="602"/>
        <v>3</v>
      </c>
      <c r="H573" s="4">
        <f t="shared" si="603"/>
        <v>3.5767E-2</v>
      </c>
      <c r="I573" s="2">
        <f t="shared" si="604"/>
        <v>1.9498647598425196</v>
      </c>
      <c r="J573" s="4">
        <f t="shared" si="605"/>
        <v>0.48586794015748019</v>
      </c>
      <c r="K573" s="4">
        <f t="shared" si="606"/>
        <v>2.4357327</v>
      </c>
      <c r="L573" s="13">
        <f t="shared" si="607"/>
        <v>4.0131578947368434</v>
      </c>
      <c r="M573" s="3"/>
      <c r="N573" s="3"/>
    </row>
    <row r="574" spans="1:14" x14ac:dyDescent="0.2">
      <c r="A574" s="22">
        <v>488669</v>
      </c>
      <c r="B574" s="4">
        <v>100</v>
      </c>
      <c r="C574" s="4">
        <v>6</v>
      </c>
      <c r="D574" s="33">
        <v>2.4</v>
      </c>
      <c r="E574" s="23">
        <v>1.4</v>
      </c>
      <c r="F574" s="23">
        <f t="shared" si="554"/>
        <v>2.4</v>
      </c>
      <c r="G574" s="23">
        <f t="shared" si="602"/>
        <v>1.4</v>
      </c>
      <c r="H574" s="4">
        <f t="shared" si="603"/>
        <v>3.5767E-2</v>
      </c>
      <c r="I574" s="2">
        <f t="shared" si="604"/>
        <v>0.63929992125984259</v>
      </c>
      <c r="J574" s="4">
        <f t="shared" si="605"/>
        <v>0.49737533874015744</v>
      </c>
      <c r="K574" s="4">
        <f t="shared" si="606"/>
        <v>1.1366752600000001</v>
      </c>
      <c r="L574" s="13">
        <f t="shared" si="607"/>
        <v>1.2853470437017998</v>
      </c>
      <c r="M574" s="3">
        <f t="shared" ref="M574" si="626">AVERAGE(I574:I575)</f>
        <v>0.65528241929133868</v>
      </c>
      <c r="N574" s="3">
        <f t="shared" ref="N574" si="627">AVERAGE(J574:J575)</f>
        <v>0.48139284070866128</v>
      </c>
    </row>
    <row r="575" spans="1:14" x14ac:dyDescent="0.2">
      <c r="A575" s="22"/>
      <c r="B575" s="4">
        <v>100</v>
      </c>
      <c r="C575" s="4">
        <v>6</v>
      </c>
      <c r="D575" s="33">
        <v>2.4500000000000002</v>
      </c>
      <c r="E575" s="23">
        <v>1.4</v>
      </c>
      <c r="F575" s="23">
        <f t="shared" si="554"/>
        <v>2.4500000000000002</v>
      </c>
      <c r="G575" s="23">
        <f t="shared" si="602"/>
        <v>1.4</v>
      </c>
      <c r="H575" s="4">
        <f t="shared" si="603"/>
        <v>3.5767E-2</v>
      </c>
      <c r="I575" s="2">
        <f t="shared" si="604"/>
        <v>0.67126491732283489</v>
      </c>
      <c r="J575" s="4">
        <f t="shared" si="605"/>
        <v>0.46541034267716519</v>
      </c>
      <c r="K575" s="4">
        <f t="shared" si="606"/>
        <v>1.1366752600000001</v>
      </c>
      <c r="L575" s="13">
        <f t="shared" si="607"/>
        <v>1.4423076923076934</v>
      </c>
      <c r="M575" s="3"/>
      <c r="N575" s="3"/>
    </row>
    <row r="576" spans="1:14" x14ac:dyDescent="0.2">
      <c r="A576" s="22">
        <v>488670</v>
      </c>
      <c r="B576" s="4">
        <v>100</v>
      </c>
      <c r="C576" s="4">
        <v>6</v>
      </c>
      <c r="D576" s="33">
        <v>2.65</v>
      </c>
      <c r="E576" s="23">
        <v>1.5</v>
      </c>
      <c r="F576" s="23">
        <f t="shared" si="554"/>
        <v>2.65</v>
      </c>
      <c r="G576" s="23">
        <f t="shared" si="602"/>
        <v>1.5</v>
      </c>
      <c r="H576" s="4">
        <f t="shared" si="603"/>
        <v>3.5767E-2</v>
      </c>
      <c r="I576" s="2">
        <f t="shared" si="604"/>
        <v>0.73519490944881893</v>
      </c>
      <c r="J576" s="4">
        <f t="shared" si="605"/>
        <v>0.482671440551181</v>
      </c>
      <c r="K576" s="4">
        <f t="shared" si="606"/>
        <v>1.21786635</v>
      </c>
      <c r="L576" s="13">
        <f t="shared" si="607"/>
        <v>1.5231788079470203</v>
      </c>
      <c r="M576" s="3">
        <f t="shared" ref="M576" si="628">AVERAGE(I576:I577)</f>
        <v>0.75117740748031492</v>
      </c>
      <c r="N576" s="3">
        <f t="shared" ref="N576" si="629">AVERAGE(J576:J577)</f>
        <v>0.48698671501968505</v>
      </c>
    </row>
    <row r="577" spans="1:14" x14ac:dyDescent="0.2">
      <c r="A577" s="22"/>
      <c r="B577" s="4">
        <v>100</v>
      </c>
      <c r="C577" s="4">
        <v>6</v>
      </c>
      <c r="D577" s="33">
        <v>2.75</v>
      </c>
      <c r="E577" s="23">
        <v>1.55</v>
      </c>
      <c r="F577" s="23">
        <f t="shared" si="554"/>
        <v>2.75</v>
      </c>
      <c r="G577" s="23">
        <f t="shared" si="602"/>
        <v>1.55</v>
      </c>
      <c r="H577" s="4">
        <f t="shared" si="603"/>
        <v>3.5767E-2</v>
      </c>
      <c r="I577" s="2">
        <f t="shared" si="604"/>
        <v>0.7671599055118109</v>
      </c>
      <c r="J577" s="4">
        <f t="shared" si="605"/>
        <v>0.49130198948818915</v>
      </c>
      <c r="K577" s="4">
        <f t="shared" si="606"/>
        <v>1.2584618949999999</v>
      </c>
      <c r="L577" s="13">
        <f t="shared" si="607"/>
        <v>1.5614834092387759</v>
      </c>
      <c r="M577" s="3"/>
      <c r="N577" s="3"/>
    </row>
    <row r="578" spans="1:14" x14ac:dyDescent="0.2">
      <c r="A578" s="22">
        <v>488671</v>
      </c>
      <c r="B578" s="4">
        <v>100</v>
      </c>
      <c r="C578" s="4">
        <v>6</v>
      </c>
      <c r="D578" s="33">
        <v>2.9</v>
      </c>
      <c r="E578" s="23">
        <v>1.55</v>
      </c>
      <c r="F578" s="23">
        <f t="shared" si="554"/>
        <v>2.9</v>
      </c>
      <c r="G578" s="23">
        <f t="shared" si="602"/>
        <v>1.55</v>
      </c>
      <c r="H578" s="4">
        <f t="shared" si="603"/>
        <v>3.5767E-2</v>
      </c>
      <c r="I578" s="2">
        <f t="shared" si="604"/>
        <v>0.86305489370078736</v>
      </c>
      <c r="J578" s="4">
        <f t="shared" si="605"/>
        <v>0.39540700129921258</v>
      </c>
      <c r="K578" s="4">
        <f t="shared" si="606"/>
        <v>1.2584618949999999</v>
      </c>
      <c r="L578" s="13">
        <f t="shared" si="607"/>
        <v>2.182700080840744</v>
      </c>
      <c r="M578" s="3">
        <f t="shared" ref="M578" si="630">AVERAGE(I578:I579)</f>
        <v>0.92698488582677174</v>
      </c>
      <c r="N578" s="3">
        <f t="shared" ref="N578" si="631">AVERAGE(J578:J579)</f>
        <v>0.39237032667322841</v>
      </c>
    </row>
    <row r="579" spans="1:14" x14ac:dyDescent="0.2">
      <c r="A579" s="22"/>
      <c r="B579" s="4">
        <v>100</v>
      </c>
      <c r="C579" s="4">
        <v>6</v>
      </c>
      <c r="D579" s="33">
        <v>3.25</v>
      </c>
      <c r="E579" s="23">
        <v>1.7</v>
      </c>
      <c r="F579" s="23">
        <f t="shared" si="554"/>
        <v>3.25</v>
      </c>
      <c r="G579" s="23">
        <f t="shared" si="602"/>
        <v>1.7</v>
      </c>
      <c r="H579" s="4">
        <f t="shared" si="603"/>
        <v>3.5767E-2</v>
      </c>
      <c r="I579" s="2">
        <f t="shared" si="604"/>
        <v>0.99091487795275601</v>
      </c>
      <c r="J579" s="4">
        <f t="shared" si="605"/>
        <v>0.38933365204724424</v>
      </c>
      <c r="K579" s="4">
        <f t="shared" si="606"/>
        <v>1.3802485300000003</v>
      </c>
      <c r="L579" s="13">
        <f t="shared" si="607"/>
        <v>2.5451559934318548</v>
      </c>
      <c r="M579" s="3"/>
      <c r="N579" s="3"/>
    </row>
    <row r="580" spans="1:14" x14ac:dyDescent="0.2">
      <c r="A580" s="22">
        <v>488672</v>
      </c>
      <c r="B580" s="4">
        <v>100</v>
      </c>
      <c r="C580" s="4">
        <v>6</v>
      </c>
      <c r="D580" s="33">
        <v>3.75</v>
      </c>
      <c r="E580" s="23">
        <v>2</v>
      </c>
      <c r="F580" s="23">
        <f t="shared" si="554"/>
        <v>3.75</v>
      </c>
      <c r="G580" s="23">
        <f t="shared" si="602"/>
        <v>2</v>
      </c>
      <c r="H580" s="4">
        <f t="shared" si="603"/>
        <v>3.5767E-2</v>
      </c>
      <c r="I580" s="2">
        <f t="shared" si="604"/>
        <v>1.1187748622047244</v>
      </c>
      <c r="J580" s="4">
        <f t="shared" si="605"/>
        <v>0.50504693779527576</v>
      </c>
      <c r="K580" s="4">
        <f t="shared" si="606"/>
        <v>1.6238218000000002</v>
      </c>
      <c r="L580" s="13">
        <f t="shared" si="607"/>
        <v>2.2151898734177209</v>
      </c>
      <c r="M580" s="3">
        <f t="shared" ref="M580" si="632">AVERAGE(I580:I581)</f>
        <v>1.0708273681102363</v>
      </c>
      <c r="N580" s="3">
        <f t="shared" ref="N580" si="633">AVERAGE(J580:J581)</f>
        <v>0.49210111438976389</v>
      </c>
    </row>
    <row r="581" spans="1:14" x14ac:dyDescent="0.2">
      <c r="A581" s="22"/>
      <c r="B581" s="4">
        <v>100</v>
      </c>
      <c r="C581" s="4">
        <v>6</v>
      </c>
      <c r="D581" s="33">
        <v>3.45</v>
      </c>
      <c r="E581" s="23">
        <v>1.85</v>
      </c>
      <c r="F581" s="23">
        <f t="shared" si="554"/>
        <v>3.45</v>
      </c>
      <c r="G581" s="23">
        <f t="shared" si="602"/>
        <v>1.85</v>
      </c>
      <c r="H581" s="4">
        <f t="shared" si="603"/>
        <v>3.5767E-2</v>
      </c>
      <c r="I581" s="2">
        <f t="shared" si="604"/>
        <v>1.0228798740157481</v>
      </c>
      <c r="J581" s="4">
        <f t="shared" si="605"/>
        <v>0.47915529098425202</v>
      </c>
      <c r="K581" s="4">
        <f t="shared" si="606"/>
        <v>1.5020351650000001</v>
      </c>
      <c r="L581" s="13">
        <f t="shared" si="607"/>
        <v>2.1347565043362242</v>
      </c>
      <c r="M581" s="3"/>
      <c r="N581" s="3"/>
    </row>
    <row r="582" spans="1:14" x14ac:dyDescent="0.2">
      <c r="A582" s="22">
        <v>488673</v>
      </c>
      <c r="B582" s="4">
        <v>100</v>
      </c>
      <c r="C582" s="4">
        <v>6</v>
      </c>
      <c r="D582" s="33">
        <v>3.3</v>
      </c>
      <c r="E582" s="23">
        <v>1.75</v>
      </c>
      <c r="F582" s="23">
        <f t="shared" si="554"/>
        <v>3.3</v>
      </c>
      <c r="G582" s="23">
        <f t="shared" si="602"/>
        <v>1.75</v>
      </c>
      <c r="H582" s="4">
        <f t="shared" si="603"/>
        <v>3.5767E-2</v>
      </c>
      <c r="I582" s="2">
        <f t="shared" si="604"/>
        <v>0.99091487795275579</v>
      </c>
      <c r="J582" s="4">
        <f t="shared" si="605"/>
        <v>0.42992919704724403</v>
      </c>
      <c r="K582" s="4">
        <f t="shared" si="606"/>
        <v>1.4208440749999998</v>
      </c>
      <c r="L582" s="13">
        <f t="shared" si="607"/>
        <v>2.3048327137546467</v>
      </c>
      <c r="M582" s="3">
        <f t="shared" ref="M582" si="634">AVERAGE(I582:I583)</f>
        <v>0.97493237992125992</v>
      </c>
      <c r="N582" s="3">
        <f t="shared" ref="N582" si="635">AVERAGE(J582:J583)</f>
        <v>0.42561392257874009</v>
      </c>
    </row>
    <row r="583" spans="1:14" x14ac:dyDescent="0.2">
      <c r="A583" s="22"/>
      <c r="B583" s="4">
        <v>100</v>
      </c>
      <c r="C583" s="4">
        <v>6</v>
      </c>
      <c r="D583" s="33">
        <v>3.2</v>
      </c>
      <c r="E583" s="23">
        <v>1.7</v>
      </c>
      <c r="F583" s="23">
        <f t="shared" si="554"/>
        <v>3.2</v>
      </c>
      <c r="G583" s="23">
        <f t="shared" si="602"/>
        <v>1.7</v>
      </c>
      <c r="H583" s="4">
        <f t="shared" si="603"/>
        <v>3.5767E-2</v>
      </c>
      <c r="I583" s="2">
        <f t="shared" si="604"/>
        <v>0.95894988188976393</v>
      </c>
      <c r="J583" s="4">
        <f t="shared" si="605"/>
        <v>0.42129864811023621</v>
      </c>
      <c r="K583" s="4">
        <f t="shared" si="606"/>
        <v>1.3802485300000003</v>
      </c>
      <c r="L583" s="13">
        <f t="shared" si="607"/>
        <v>2.2761760242792115</v>
      </c>
      <c r="M583" s="3"/>
      <c r="N583" s="3"/>
    </row>
    <row r="584" spans="1:14" x14ac:dyDescent="0.2">
      <c r="A584" s="22">
        <v>488674</v>
      </c>
      <c r="B584" s="4">
        <v>100</v>
      </c>
      <c r="C584" s="4">
        <v>6</v>
      </c>
      <c r="D584" s="33">
        <v>3.25</v>
      </c>
      <c r="E584" s="23">
        <v>1.7</v>
      </c>
      <c r="F584" s="23">
        <f t="shared" si="554"/>
        <v>3.25</v>
      </c>
      <c r="G584" s="23">
        <f t="shared" si="602"/>
        <v>1.7</v>
      </c>
      <c r="H584" s="4">
        <f t="shared" si="603"/>
        <v>3.5767E-2</v>
      </c>
      <c r="I584" s="2">
        <f t="shared" si="604"/>
        <v>0.99091487795275601</v>
      </c>
      <c r="J584" s="4">
        <f t="shared" si="605"/>
        <v>0.38933365204724424</v>
      </c>
      <c r="K584" s="4">
        <f t="shared" si="606"/>
        <v>1.3802485300000003</v>
      </c>
      <c r="L584" s="13">
        <f t="shared" si="607"/>
        <v>2.5451559934318548</v>
      </c>
      <c r="M584" s="3">
        <f t="shared" ref="M584" si="636">AVERAGE(I584:I585)</f>
        <v>0.97493237992125992</v>
      </c>
      <c r="N584" s="3">
        <f t="shared" ref="N584" si="637">AVERAGE(J584:J585)</f>
        <v>0.38501837757874036</v>
      </c>
    </row>
    <row r="585" spans="1:14" x14ac:dyDescent="0.2">
      <c r="A585" s="22"/>
      <c r="B585" s="4">
        <v>100</v>
      </c>
      <c r="C585" s="4">
        <v>6</v>
      </c>
      <c r="D585" s="33">
        <v>3.15</v>
      </c>
      <c r="E585" s="23">
        <v>1.65</v>
      </c>
      <c r="F585" s="23">
        <f t="shared" si="554"/>
        <v>3.15</v>
      </c>
      <c r="G585" s="23">
        <f t="shared" si="602"/>
        <v>1.65</v>
      </c>
      <c r="H585" s="4">
        <f t="shared" si="603"/>
        <v>3.5767E-2</v>
      </c>
      <c r="I585" s="2">
        <f t="shared" si="604"/>
        <v>0.95894988188976371</v>
      </c>
      <c r="J585" s="4">
        <f t="shared" si="605"/>
        <v>0.38070310311023642</v>
      </c>
      <c r="K585" s="4">
        <f t="shared" si="606"/>
        <v>1.3396529850000001</v>
      </c>
      <c r="L585" s="13">
        <f t="shared" si="607"/>
        <v>2.5188916876574292</v>
      </c>
      <c r="M585" s="3"/>
      <c r="N585" s="3"/>
    </row>
    <row r="586" spans="1:14" x14ac:dyDescent="0.2">
      <c r="A586" s="22">
        <v>488675</v>
      </c>
      <c r="B586" s="4">
        <v>100</v>
      </c>
      <c r="C586" s="4">
        <v>6</v>
      </c>
      <c r="D586" s="33">
        <v>3.35</v>
      </c>
      <c r="E586" s="23">
        <v>1.7</v>
      </c>
      <c r="F586" s="23">
        <f t="shared" si="554"/>
        <v>3.35</v>
      </c>
      <c r="G586" s="23">
        <f t="shared" si="602"/>
        <v>1.7</v>
      </c>
      <c r="H586" s="4">
        <f t="shared" si="603"/>
        <v>3.5767E-2</v>
      </c>
      <c r="I586" s="2">
        <f t="shared" si="604"/>
        <v>1.0548448700787403</v>
      </c>
      <c r="J586" s="4">
        <f t="shared" si="605"/>
        <v>0.32540365992126008</v>
      </c>
      <c r="K586" s="4">
        <f t="shared" si="606"/>
        <v>1.3802485300000003</v>
      </c>
      <c r="L586" s="13">
        <f t="shared" si="607"/>
        <v>3.2416502946954795</v>
      </c>
      <c r="M586" s="3">
        <f t="shared" ref="M586" si="638">AVERAGE(I586:I587)</f>
        <v>1.0868098661417323</v>
      </c>
      <c r="N586" s="3">
        <f t="shared" ref="N586" si="639">AVERAGE(J586:J587)</f>
        <v>0.33403420885826807</v>
      </c>
    </row>
    <row r="587" spans="1:14" x14ac:dyDescent="0.2">
      <c r="A587" s="22"/>
      <c r="B587" s="4">
        <v>100</v>
      </c>
      <c r="C587" s="4">
        <v>6</v>
      </c>
      <c r="D587" s="33">
        <v>3.55</v>
      </c>
      <c r="E587" s="23">
        <v>1.8</v>
      </c>
      <c r="F587" s="23">
        <f t="shared" si="554"/>
        <v>3.55</v>
      </c>
      <c r="G587" s="23">
        <f t="shared" si="602"/>
        <v>1.8</v>
      </c>
      <c r="H587" s="4">
        <f t="shared" si="603"/>
        <v>3.5767E-2</v>
      </c>
      <c r="I587" s="2">
        <f t="shared" si="604"/>
        <v>1.1187748622047244</v>
      </c>
      <c r="J587" s="4">
        <f t="shared" si="605"/>
        <v>0.34266475779527605</v>
      </c>
      <c r="K587" s="4">
        <f t="shared" si="606"/>
        <v>1.4614396200000006</v>
      </c>
      <c r="L587" s="13">
        <f t="shared" si="607"/>
        <v>3.2649253731343242</v>
      </c>
      <c r="M587" s="3"/>
      <c r="N587" s="3"/>
    </row>
    <row r="588" spans="1:14" x14ac:dyDescent="0.2">
      <c r="A588" s="22">
        <v>488676</v>
      </c>
      <c r="B588" s="4">
        <v>100</v>
      </c>
      <c r="C588" s="4">
        <v>6</v>
      </c>
      <c r="D588" s="33">
        <v>3.45</v>
      </c>
      <c r="E588" s="23">
        <v>1.75</v>
      </c>
      <c r="F588" s="23">
        <f t="shared" si="554"/>
        <v>3.45</v>
      </c>
      <c r="G588" s="23">
        <f t="shared" si="602"/>
        <v>1.75</v>
      </c>
      <c r="H588" s="4">
        <f t="shared" si="603"/>
        <v>3.5767E-2</v>
      </c>
      <c r="I588" s="2">
        <f t="shared" si="604"/>
        <v>1.0868098661417325</v>
      </c>
      <c r="J588" s="4">
        <f t="shared" si="605"/>
        <v>0.33403420885826746</v>
      </c>
      <c r="K588" s="4">
        <f t="shared" si="606"/>
        <v>1.420844075</v>
      </c>
      <c r="L588" s="13">
        <f t="shared" si="607"/>
        <v>3.2535885167464147</v>
      </c>
      <c r="M588" s="3">
        <f t="shared" ref="M588" si="640">AVERAGE(I588:I589)</f>
        <v>1.0708273681102365</v>
      </c>
      <c r="N588" s="3">
        <f t="shared" ref="N588" si="641">AVERAGE(J588:J589)</f>
        <v>0.32971893438976374</v>
      </c>
    </row>
    <row r="589" spans="1:14" x14ac:dyDescent="0.2">
      <c r="A589" s="22"/>
      <c r="B589" s="4">
        <v>100</v>
      </c>
      <c r="C589" s="4">
        <v>6</v>
      </c>
      <c r="D589" s="33">
        <v>3.35</v>
      </c>
      <c r="E589" s="23">
        <v>1.7</v>
      </c>
      <c r="F589" s="23">
        <f t="shared" si="554"/>
        <v>3.35</v>
      </c>
      <c r="G589" s="23">
        <f t="shared" si="602"/>
        <v>1.7</v>
      </c>
      <c r="H589" s="4">
        <f t="shared" si="603"/>
        <v>3.5767E-2</v>
      </c>
      <c r="I589" s="2">
        <f t="shared" si="604"/>
        <v>1.0548448700787403</v>
      </c>
      <c r="J589" s="4">
        <f t="shared" si="605"/>
        <v>0.32540365992126008</v>
      </c>
      <c r="K589" s="4">
        <f t="shared" si="606"/>
        <v>1.3802485300000003</v>
      </c>
      <c r="L589" s="13">
        <f t="shared" si="607"/>
        <v>3.2416502946954795</v>
      </c>
      <c r="M589" s="3"/>
      <c r="N589" s="3"/>
    </row>
    <row r="590" spans="1:14" x14ac:dyDescent="0.2">
      <c r="A590" s="22">
        <v>488677</v>
      </c>
      <c r="B590" s="4">
        <v>100</v>
      </c>
      <c r="C590" s="4">
        <v>8</v>
      </c>
      <c r="D590" s="33">
        <v>3.95</v>
      </c>
      <c r="E590" s="23">
        <v>2.65</v>
      </c>
      <c r="F590" s="23">
        <f t="shared" si="554"/>
        <v>3.95</v>
      </c>
      <c r="G590" s="23">
        <f t="shared" si="602"/>
        <v>2.65</v>
      </c>
      <c r="H590" s="4">
        <f t="shared" si="603"/>
        <v>3.8630000000000001E-3</v>
      </c>
      <c r="I590" s="2">
        <f t="shared" si="604"/>
        <v>8.9761519685039384E-2</v>
      </c>
      <c r="J590" s="4">
        <f t="shared" si="605"/>
        <v>0.14261724531496059</v>
      </c>
      <c r="K590" s="4">
        <f t="shared" si="606"/>
        <v>0.23237876499999999</v>
      </c>
      <c r="L590" s="13">
        <f t="shared" si="607"/>
        <v>0.62938755749213293</v>
      </c>
      <c r="M590" s="3">
        <f t="shared" ref="M590" si="642">AVERAGE(I590:I591)</f>
        <v>8.2856787401574816E-2</v>
      </c>
      <c r="N590" s="3">
        <f t="shared" ref="N590" si="643">AVERAGE(J590:J591)</f>
        <v>0.14513747259842519</v>
      </c>
    </row>
    <row r="591" spans="1:14" x14ac:dyDescent="0.2">
      <c r="A591" s="22"/>
      <c r="B591" s="4">
        <v>100</v>
      </c>
      <c r="C591" s="4">
        <v>8</v>
      </c>
      <c r="D591" s="33">
        <v>3.65</v>
      </c>
      <c r="E591" s="23">
        <v>2.5499999999999998</v>
      </c>
      <c r="F591" s="23">
        <f t="shared" si="554"/>
        <v>3.65</v>
      </c>
      <c r="G591" s="23">
        <f t="shared" si="602"/>
        <v>2.5499999999999998</v>
      </c>
      <c r="H591" s="4">
        <f t="shared" si="603"/>
        <v>3.8630000000000001E-3</v>
      </c>
      <c r="I591" s="2">
        <f t="shared" si="604"/>
        <v>7.5952055118110248E-2</v>
      </c>
      <c r="J591" s="4">
        <f t="shared" si="605"/>
        <v>0.14765769988188976</v>
      </c>
      <c r="K591" s="4">
        <f t="shared" si="606"/>
        <v>0.22360975500000002</v>
      </c>
      <c r="L591" s="13">
        <f t="shared" si="607"/>
        <v>0.51437923778349315</v>
      </c>
      <c r="M591" s="3"/>
      <c r="N591" s="3"/>
    </row>
    <row r="592" spans="1:14" x14ac:dyDescent="0.2">
      <c r="A592" s="22">
        <v>488678</v>
      </c>
      <c r="B592" s="4">
        <v>100</v>
      </c>
      <c r="C592" s="4">
        <v>8</v>
      </c>
      <c r="D592" s="33">
        <v>4.5</v>
      </c>
      <c r="E592" s="23">
        <v>3.05</v>
      </c>
      <c r="F592" s="23">
        <f t="shared" si="554"/>
        <v>4.5</v>
      </c>
      <c r="G592" s="23">
        <f t="shared" si="602"/>
        <v>3.05</v>
      </c>
      <c r="H592" s="4">
        <f t="shared" si="603"/>
        <v>3.8630000000000001E-3</v>
      </c>
      <c r="I592" s="2">
        <f t="shared" si="604"/>
        <v>0.10011861811023623</v>
      </c>
      <c r="J592" s="4">
        <f t="shared" si="605"/>
        <v>0.16733618688976371</v>
      </c>
      <c r="K592" s="4">
        <f t="shared" si="606"/>
        <v>0.26745480499999996</v>
      </c>
      <c r="L592" s="13">
        <f t="shared" si="607"/>
        <v>0.59830823189601845</v>
      </c>
      <c r="M592" s="3">
        <f t="shared" ref="M592" si="644">AVERAGE(I592:I593)</f>
        <v>0.10529716732283464</v>
      </c>
      <c r="N592" s="3">
        <f t="shared" ref="N592" si="645">AVERAGE(J592:J593)</f>
        <v>0.17969565767716533</v>
      </c>
    </row>
    <row r="593" spans="1:14" x14ac:dyDescent="0.2">
      <c r="A593" s="22"/>
      <c r="B593" s="4">
        <v>100</v>
      </c>
      <c r="C593" s="4">
        <v>8</v>
      </c>
      <c r="D593" s="33">
        <v>5.05</v>
      </c>
      <c r="E593" s="23">
        <v>3.45</v>
      </c>
      <c r="F593" s="23">
        <f t="shared" si="554"/>
        <v>5.05</v>
      </c>
      <c r="G593" s="23">
        <f t="shared" si="602"/>
        <v>3.45</v>
      </c>
      <c r="H593" s="4">
        <f t="shared" si="603"/>
        <v>3.8630000000000001E-3</v>
      </c>
      <c r="I593" s="2">
        <f t="shared" si="604"/>
        <v>0.11047571653543306</v>
      </c>
      <c r="J593" s="4">
        <f t="shared" si="605"/>
        <v>0.19205512846456696</v>
      </c>
      <c r="K593" s="4">
        <f t="shared" si="606"/>
        <v>0.30253084500000005</v>
      </c>
      <c r="L593" s="13">
        <f t="shared" si="607"/>
        <v>0.57522919288153862</v>
      </c>
      <c r="M593" s="3"/>
      <c r="N593" s="3"/>
    </row>
    <row r="594" spans="1:14" x14ac:dyDescent="0.2">
      <c r="A594" s="22">
        <v>488679</v>
      </c>
      <c r="B594" s="4">
        <v>100</v>
      </c>
      <c r="C594" s="4">
        <v>8</v>
      </c>
      <c r="D594" s="33">
        <v>6.6</v>
      </c>
      <c r="E594" s="23">
        <v>4.3499999999999996</v>
      </c>
      <c r="F594" s="23">
        <f t="shared" si="554"/>
        <v>6.6</v>
      </c>
      <c r="G594" s="23">
        <f t="shared" si="602"/>
        <v>4.3499999999999996</v>
      </c>
      <c r="H594" s="4">
        <f t="shared" si="603"/>
        <v>3.8630000000000001E-3</v>
      </c>
      <c r="I594" s="2">
        <f t="shared" si="604"/>
        <v>0.15535647637795277</v>
      </c>
      <c r="J594" s="4">
        <f t="shared" si="605"/>
        <v>0.22609545862204719</v>
      </c>
      <c r="K594" s="4">
        <f t="shared" si="606"/>
        <v>0.38145193499999996</v>
      </c>
      <c r="L594" s="13">
        <f t="shared" si="607"/>
        <v>0.68712780577187382</v>
      </c>
      <c r="M594" s="3">
        <f t="shared" ref="M594" si="646">AVERAGE(I594:I595)</f>
        <v>0.15363029330708664</v>
      </c>
      <c r="N594" s="3">
        <f t="shared" ref="N594" si="647">AVERAGE(J594:J595)</f>
        <v>0.21466812669291338</v>
      </c>
    </row>
    <row r="595" spans="1:14" x14ac:dyDescent="0.2">
      <c r="A595" s="22"/>
      <c r="B595" s="4">
        <v>100</v>
      </c>
      <c r="C595" s="4">
        <v>8</v>
      </c>
      <c r="D595" s="33">
        <v>6.25</v>
      </c>
      <c r="E595" s="23">
        <v>4.05</v>
      </c>
      <c r="F595" s="23">
        <f t="shared" si="554"/>
        <v>6.25</v>
      </c>
      <c r="G595" s="23">
        <f t="shared" si="602"/>
        <v>4.05</v>
      </c>
      <c r="H595" s="4">
        <f t="shared" si="603"/>
        <v>3.8630000000000001E-3</v>
      </c>
      <c r="I595" s="2">
        <f t="shared" si="604"/>
        <v>0.1519041102362205</v>
      </c>
      <c r="J595" s="4">
        <f t="shared" si="605"/>
        <v>0.20324079476377957</v>
      </c>
      <c r="K595" s="4">
        <f t="shared" si="606"/>
        <v>0.35514490500000007</v>
      </c>
      <c r="L595" s="13">
        <f t="shared" si="607"/>
        <v>0.74740954645829794</v>
      </c>
      <c r="M595" s="3"/>
      <c r="N595" s="3"/>
    </row>
    <row r="596" spans="1:14" x14ac:dyDescent="0.2">
      <c r="A596" s="22">
        <v>488680</v>
      </c>
      <c r="B596" s="4">
        <v>100</v>
      </c>
      <c r="C596" s="4">
        <v>7</v>
      </c>
      <c r="D596" s="33">
        <v>3.55</v>
      </c>
      <c r="E596" s="23">
        <v>2.35</v>
      </c>
      <c r="F596" s="23">
        <f t="shared" si="554"/>
        <v>3.55</v>
      </c>
      <c r="G596" s="23">
        <f t="shared" si="602"/>
        <v>2.35</v>
      </c>
      <c r="H596" s="4">
        <f t="shared" si="603"/>
        <v>9.7450000000000002E-3</v>
      </c>
      <c r="I596" s="2">
        <f t="shared" si="604"/>
        <v>0.20901874015748029</v>
      </c>
      <c r="J596" s="4">
        <f t="shared" si="605"/>
        <v>0.31082828484251979</v>
      </c>
      <c r="K596" s="4">
        <f t="shared" si="606"/>
        <v>0.51984702500000002</v>
      </c>
      <c r="L596" s="13">
        <f t="shared" si="607"/>
        <v>0.67245727094424179</v>
      </c>
      <c r="M596" s="3">
        <f t="shared" ref="M596" si="648">AVERAGE(I596:I597)</f>
        <v>0.21772785433070863</v>
      </c>
      <c r="N596" s="3">
        <f t="shared" ref="N596" si="649">AVERAGE(J596:J597)</f>
        <v>0.30211917066929139</v>
      </c>
    </row>
    <row r="597" spans="1:14" x14ac:dyDescent="0.2">
      <c r="A597" s="22"/>
      <c r="B597" s="4">
        <v>100</v>
      </c>
      <c r="C597" s="4">
        <v>7</v>
      </c>
      <c r="D597" s="33">
        <v>3.65</v>
      </c>
      <c r="E597" s="23">
        <v>2.35</v>
      </c>
      <c r="F597" s="23">
        <f t="shared" si="554"/>
        <v>3.65</v>
      </c>
      <c r="G597" s="23">
        <f t="shared" si="602"/>
        <v>2.35</v>
      </c>
      <c r="H597" s="4">
        <f t="shared" si="603"/>
        <v>9.7450000000000002E-3</v>
      </c>
      <c r="I597" s="2">
        <f t="shared" si="604"/>
        <v>0.22643696850393699</v>
      </c>
      <c r="J597" s="4">
        <f t="shared" si="605"/>
        <v>0.293410056496063</v>
      </c>
      <c r="K597" s="4">
        <f t="shared" si="606"/>
        <v>0.51984702500000002</v>
      </c>
      <c r="L597" s="13">
        <f t="shared" si="607"/>
        <v>0.77174235678242797</v>
      </c>
      <c r="M597" s="3"/>
      <c r="N597" s="3"/>
    </row>
    <row r="598" spans="1:14" x14ac:dyDescent="0.2">
      <c r="A598" s="22">
        <v>488681</v>
      </c>
      <c r="B598" s="4">
        <v>100</v>
      </c>
      <c r="C598" s="4">
        <v>7</v>
      </c>
      <c r="D598" s="33">
        <v>5.15</v>
      </c>
      <c r="E598" s="23">
        <v>3.25</v>
      </c>
      <c r="F598" s="23">
        <f t="shared" si="554"/>
        <v>5.15</v>
      </c>
      <c r="G598" s="23">
        <f t="shared" si="602"/>
        <v>3.25</v>
      </c>
      <c r="H598" s="4">
        <f t="shared" si="603"/>
        <v>9.7450000000000002E-3</v>
      </c>
      <c r="I598" s="2">
        <f t="shared" si="604"/>
        <v>0.33094633858267725</v>
      </c>
      <c r="J598" s="4">
        <f t="shared" si="605"/>
        <v>0.38799103641732285</v>
      </c>
      <c r="K598" s="4">
        <f t="shared" si="606"/>
        <v>0.7189373750000001</v>
      </c>
      <c r="L598" s="13">
        <f t="shared" si="607"/>
        <v>0.85297418630751975</v>
      </c>
      <c r="M598" s="3">
        <f t="shared" ref="M598" si="650">AVERAGE(I598:I599)</f>
        <v>0.33530089566929144</v>
      </c>
      <c r="N598" s="3">
        <f t="shared" ref="N598" si="651">AVERAGE(J598:J599)</f>
        <v>0.38916676683070861</v>
      </c>
    </row>
    <row r="599" spans="1:14" x14ac:dyDescent="0.2">
      <c r="A599" s="22"/>
      <c r="B599" s="4">
        <v>100</v>
      </c>
      <c r="C599" s="4">
        <v>7</v>
      </c>
      <c r="D599" s="33">
        <v>5.25</v>
      </c>
      <c r="E599" s="23">
        <v>3.3</v>
      </c>
      <c r="F599" s="23">
        <f t="shared" si="554"/>
        <v>5.25</v>
      </c>
      <c r="G599" s="23">
        <f t="shared" si="602"/>
        <v>3.3</v>
      </c>
      <c r="H599" s="4">
        <f t="shared" si="603"/>
        <v>9.7450000000000002E-3</v>
      </c>
      <c r="I599" s="2">
        <f t="shared" si="604"/>
        <v>0.33965545275590558</v>
      </c>
      <c r="J599" s="4">
        <f t="shared" si="605"/>
        <v>0.39034249724409442</v>
      </c>
      <c r="K599" s="4">
        <f t="shared" si="606"/>
        <v>0.72999795000000001</v>
      </c>
      <c r="L599" s="13">
        <f t="shared" si="607"/>
        <v>0.87014725568942475</v>
      </c>
      <c r="M599" s="3"/>
      <c r="N599" s="3"/>
    </row>
    <row r="600" spans="1:14" x14ac:dyDescent="0.2">
      <c r="A600" s="22">
        <v>488682</v>
      </c>
      <c r="B600" s="4">
        <v>100</v>
      </c>
      <c r="C600" s="4">
        <v>6</v>
      </c>
      <c r="D600" s="33">
        <v>2.75</v>
      </c>
      <c r="E600" s="23">
        <v>1.45</v>
      </c>
      <c r="F600" s="23">
        <f t="shared" si="554"/>
        <v>2.75</v>
      </c>
      <c r="G600" s="23">
        <f t="shared" si="602"/>
        <v>1.45</v>
      </c>
      <c r="H600" s="4">
        <f t="shared" si="603"/>
        <v>3.5767E-2</v>
      </c>
      <c r="I600" s="2">
        <f t="shared" si="604"/>
        <v>0.83108989763779528</v>
      </c>
      <c r="J600" s="4">
        <f t="shared" si="605"/>
        <v>0.34618090736220497</v>
      </c>
      <c r="K600" s="4">
        <f t="shared" si="606"/>
        <v>1.1772708050000003</v>
      </c>
      <c r="L600" s="13">
        <f t="shared" si="607"/>
        <v>2.4007386888273299</v>
      </c>
      <c r="M600" s="3">
        <f t="shared" ref="M600" si="652">AVERAGE(I600:I601)</f>
        <v>0.81510739960629919</v>
      </c>
      <c r="N600" s="3">
        <f t="shared" ref="N600" si="653">AVERAGE(J600:J601)</f>
        <v>0.34186563289370087</v>
      </c>
    </row>
    <row r="601" spans="1:14" x14ac:dyDescent="0.2">
      <c r="A601" s="22"/>
      <c r="B601" s="4">
        <v>100</v>
      </c>
      <c r="C601" s="4">
        <v>6</v>
      </c>
      <c r="D601" s="33">
        <v>2.65</v>
      </c>
      <c r="E601" s="23">
        <v>1.4</v>
      </c>
      <c r="F601" s="23">
        <f t="shared" si="554"/>
        <v>2.65</v>
      </c>
      <c r="G601" s="23">
        <f t="shared" si="602"/>
        <v>1.4</v>
      </c>
      <c r="H601" s="4">
        <f t="shared" si="603"/>
        <v>3.5767E-2</v>
      </c>
      <c r="I601" s="2">
        <f t="shared" si="604"/>
        <v>0.7991249015748032</v>
      </c>
      <c r="J601" s="4">
        <f t="shared" si="605"/>
        <v>0.33755035842519676</v>
      </c>
      <c r="K601" s="4">
        <f t="shared" si="606"/>
        <v>1.1366752600000001</v>
      </c>
      <c r="L601" s="13">
        <f t="shared" si="607"/>
        <v>2.3674242424242431</v>
      </c>
      <c r="M601" s="3"/>
      <c r="N601" s="3"/>
    </row>
    <row r="602" spans="1:14" x14ac:dyDescent="0.2">
      <c r="A602" s="22">
        <v>488683</v>
      </c>
      <c r="B602" s="4">
        <v>100</v>
      </c>
      <c r="C602" s="4">
        <v>7</v>
      </c>
      <c r="D602" s="33">
        <v>3.75</v>
      </c>
      <c r="E602" s="23">
        <v>1.9</v>
      </c>
      <c r="F602" s="23">
        <f t="shared" si="554"/>
        <v>3.75</v>
      </c>
      <c r="G602" s="23">
        <f t="shared" si="602"/>
        <v>1.9</v>
      </c>
      <c r="H602" s="4">
        <f t="shared" si="603"/>
        <v>9.7450000000000002E-3</v>
      </c>
      <c r="I602" s="2">
        <f t="shared" si="604"/>
        <v>0.32223722440944891</v>
      </c>
      <c r="J602" s="4">
        <f t="shared" si="605"/>
        <v>9.8064625590551249E-2</v>
      </c>
      <c r="K602" s="4">
        <f t="shared" si="606"/>
        <v>0.42030185000000014</v>
      </c>
      <c r="L602" s="13">
        <f t="shared" si="607"/>
        <v>3.2859680284191817</v>
      </c>
      <c r="M602" s="3">
        <f t="shared" ref="M602" si="654">AVERAGE(I602:I603)</f>
        <v>0.33094633858267725</v>
      </c>
      <c r="N602" s="3">
        <f t="shared" ref="N602" si="655">AVERAGE(J602:J603)</f>
        <v>0.10594637391732287</v>
      </c>
    </row>
    <row r="603" spans="1:14" x14ac:dyDescent="0.2">
      <c r="A603" s="22"/>
      <c r="B603" s="4">
        <v>100</v>
      </c>
      <c r="C603" s="4">
        <v>7</v>
      </c>
      <c r="D603" s="33">
        <v>4</v>
      </c>
      <c r="E603" s="23">
        <v>2.0499999999999998</v>
      </c>
      <c r="F603" s="23">
        <f t="shared" si="554"/>
        <v>4</v>
      </c>
      <c r="G603" s="23">
        <f t="shared" si="602"/>
        <v>2.0499999999999998</v>
      </c>
      <c r="H603" s="4">
        <f t="shared" si="603"/>
        <v>9.7450000000000002E-3</v>
      </c>
      <c r="I603" s="2">
        <f t="shared" si="604"/>
        <v>0.33965545275590558</v>
      </c>
      <c r="J603" s="4">
        <f t="shared" si="605"/>
        <v>0.11382812224409448</v>
      </c>
      <c r="K603" s="4">
        <f t="shared" si="606"/>
        <v>0.45348357500000008</v>
      </c>
      <c r="L603" s="13">
        <f t="shared" si="607"/>
        <v>2.9839326702371851</v>
      </c>
      <c r="M603" s="3"/>
      <c r="N603" s="3"/>
    </row>
    <row r="604" spans="1:14" x14ac:dyDescent="0.2">
      <c r="A604" s="22">
        <v>488684</v>
      </c>
      <c r="B604" s="4">
        <v>100</v>
      </c>
      <c r="C604" s="4">
        <v>7</v>
      </c>
      <c r="D604" s="33">
        <v>3.45</v>
      </c>
      <c r="E604" s="23">
        <v>1.7</v>
      </c>
      <c r="F604" s="23">
        <f t="shared" si="554"/>
        <v>3.45</v>
      </c>
      <c r="G604" s="23">
        <f t="shared" si="602"/>
        <v>1.7</v>
      </c>
      <c r="H604" s="4">
        <f t="shared" si="603"/>
        <v>9.7450000000000002E-3</v>
      </c>
      <c r="I604" s="2">
        <f t="shared" si="604"/>
        <v>0.30481899606299218</v>
      </c>
      <c r="J604" s="4">
        <f t="shared" si="605"/>
        <v>7.1240553937007858E-2</v>
      </c>
      <c r="K604" s="4">
        <f t="shared" si="606"/>
        <v>0.37605955000000002</v>
      </c>
      <c r="L604" s="13">
        <f t="shared" si="607"/>
        <v>4.2787286063569701</v>
      </c>
      <c r="M604" s="3">
        <f t="shared" ref="M604" si="656">AVERAGE(I604:I605)</f>
        <v>0.30046443897637798</v>
      </c>
      <c r="N604" s="3">
        <f t="shared" ref="N604" si="657">AVERAGE(J604:J605)</f>
        <v>7.0064823523622047E-2</v>
      </c>
    </row>
    <row r="605" spans="1:14" x14ac:dyDescent="0.2">
      <c r="A605" s="22"/>
      <c r="B605" s="4">
        <v>100</v>
      </c>
      <c r="C605" s="4">
        <v>7</v>
      </c>
      <c r="D605" s="33">
        <v>3.35</v>
      </c>
      <c r="E605" s="23">
        <v>1.65</v>
      </c>
      <c r="F605" s="23">
        <f t="shared" si="554"/>
        <v>3.35</v>
      </c>
      <c r="G605" s="23">
        <f t="shared" si="602"/>
        <v>1.65</v>
      </c>
      <c r="H605" s="4">
        <f t="shared" si="603"/>
        <v>9.7450000000000002E-3</v>
      </c>
      <c r="I605" s="2">
        <f t="shared" si="604"/>
        <v>0.29610988188976384</v>
      </c>
      <c r="J605" s="4">
        <f t="shared" si="605"/>
        <v>6.8889093110236235E-2</v>
      </c>
      <c r="K605" s="4">
        <f t="shared" si="606"/>
        <v>0.36499897500000006</v>
      </c>
      <c r="L605" s="13">
        <f t="shared" si="607"/>
        <v>4.298356510745891</v>
      </c>
      <c r="M605" s="3"/>
      <c r="N605" s="3"/>
    </row>
    <row r="606" spans="1:14" x14ac:dyDescent="0.2">
      <c r="A606" s="32">
        <v>488255</v>
      </c>
      <c r="B606" s="4">
        <v>100</v>
      </c>
      <c r="C606" s="4">
        <v>7</v>
      </c>
      <c r="D606" s="33">
        <v>3.75</v>
      </c>
      <c r="E606" s="23">
        <v>1.9</v>
      </c>
      <c r="F606" s="23">
        <f t="shared" si="554"/>
        <v>3.75</v>
      </c>
      <c r="G606" s="23">
        <f t="shared" si="602"/>
        <v>1.9</v>
      </c>
      <c r="H606" s="4">
        <f t="shared" si="603"/>
        <v>9.7450000000000002E-3</v>
      </c>
      <c r="I606" s="2">
        <f t="shared" si="604"/>
        <v>0.32223722440944891</v>
      </c>
      <c r="J606" s="4">
        <f t="shared" si="605"/>
        <v>9.8064625590551249E-2</v>
      </c>
      <c r="K606" s="4">
        <f t="shared" si="606"/>
        <v>0.42030185000000014</v>
      </c>
      <c r="L606" s="13">
        <f t="shared" si="607"/>
        <v>3.2859680284191817</v>
      </c>
      <c r="M606" s="3">
        <f t="shared" ref="M606" si="658">AVERAGE(I606:I607)</f>
        <v>0.31352811023622051</v>
      </c>
      <c r="N606" s="3">
        <f t="shared" ref="N606" si="659">AVERAGE(J606:J607)</f>
        <v>9.5713164763779612E-2</v>
      </c>
    </row>
    <row r="607" spans="1:14" x14ac:dyDescent="0.2">
      <c r="A607" s="22"/>
      <c r="B607" s="4">
        <v>100</v>
      </c>
      <c r="C607" s="4">
        <v>7</v>
      </c>
      <c r="D607" s="33">
        <v>3.55</v>
      </c>
      <c r="E607" s="23">
        <v>1.8</v>
      </c>
      <c r="F607" s="23">
        <f t="shared" si="554"/>
        <v>3.55</v>
      </c>
      <c r="G607" s="23">
        <f t="shared" si="602"/>
        <v>1.8</v>
      </c>
      <c r="H607" s="4">
        <f t="shared" si="603"/>
        <v>9.7450000000000002E-3</v>
      </c>
      <c r="I607" s="2">
        <f t="shared" si="604"/>
        <v>0.30481899606299212</v>
      </c>
      <c r="J607" s="4">
        <f t="shared" si="605"/>
        <v>9.3361703937007989E-2</v>
      </c>
      <c r="K607" s="4">
        <f t="shared" si="606"/>
        <v>0.39818070000000011</v>
      </c>
      <c r="L607" s="13">
        <f t="shared" si="607"/>
        <v>3.2649253731343242</v>
      </c>
      <c r="M607" s="3"/>
      <c r="N607" s="3"/>
    </row>
    <row r="608" spans="1:14" x14ac:dyDescent="0.2">
      <c r="A608" s="22">
        <v>488686</v>
      </c>
      <c r="B608" s="4">
        <v>100</v>
      </c>
      <c r="C608" s="4">
        <v>8</v>
      </c>
      <c r="D608" s="33">
        <v>1</v>
      </c>
      <c r="E608" s="23">
        <v>0.75</v>
      </c>
      <c r="F608" s="23">
        <f t="shared" si="554"/>
        <v>1</v>
      </c>
      <c r="G608" s="23">
        <f t="shared" si="602"/>
        <v>0.75</v>
      </c>
      <c r="H608" s="4">
        <f t="shared" si="603"/>
        <v>3.8630000000000001E-3</v>
      </c>
      <c r="I608" s="2">
        <f t="shared" si="604"/>
        <v>1.726183070866142E-2</v>
      </c>
      <c r="J608" s="4">
        <f t="shared" si="605"/>
        <v>4.8505744291338575E-2</v>
      </c>
      <c r="K608" s="4">
        <f t="shared" si="606"/>
        <v>6.5767574999999995E-2</v>
      </c>
      <c r="L608" s="13">
        <f t="shared" si="607"/>
        <v>0.35587188612099657</v>
      </c>
      <c r="M608" s="3">
        <f t="shared" ref="M608" si="660">AVERAGE(I608:I609)</f>
        <v>1.7261830708661413E-2</v>
      </c>
      <c r="N608" s="3">
        <f t="shared" ref="N608" si="661">AVERAGE(J608:J609)</f>
        <v>5.5082501791338584E-2</v>
      </c>
    </row>
    <row r="609" spans="1:14" x14ac:dyDescent="0.2">
      <c r="A609" s="22"/>
      <c r="B609" s="4">
        <v>100</v>
      </c>
      <c r="C609" s="4">
        <v>8</v>
      </c>
      <c r="D609" s="33">
        <v>1.1499999999999999</v>
      </c>
      <c r="E609" s="23">
        <v>0.9</v>
      </c>
      <c r="F609" s="23">
        <f t="shared" si="554"/>
        <v>1.1499999999999999</v>
      </c>
      <c r="G609" s="23">
        <f t="shared" si="602"/>
        <v>0.9</v>
      </c>
      <c r="H609" s="4">
        <f t="shared" si="603"/>
        <v>3.8630000000000001E-3</v>
      </c>
      <c r="I609" s="2">
        <f t="shared" si="604"/>
        <v>1.726183070866141E-2</v>
      </c>
      <c r="J609" s="4">
        <f t="shared" si="605"/>
        <v>6.1659259291338593E-2</v>
      </c>
      <c r="K609" s="4">
        <f t="shared" si="606"/>
        <v>7.8921089999999999E-2</v>
      </c>
      <c r="L609" s="13">
        <f t="shared" si="607"/>
        <v>0.27995520716685313</v>
      </c>
      <c r="M609" s="3"/>
      <c r="N609" s="3"/>
    </row>
    <row r="610" spans="1:14" x14ac:dyDescent="0.2">
      <c r="A610" s="22">
        <v>488687</v>
      </c>
      <c r="B610" s="4">
        <v>100</v>
      </c>
      <c r="C610" s="4">
        <v>8</v>
      </c>
      <c r="D610" s="33">
        <v>1.8</v>
      </c>
      <c r="E610" s="23">
        <v>1.4</v>
      </c>
      <c r="F610" s="23">
        <f t="shared" si="554"/>
        <v>1.8</v>
      </c>
      <c r="G610" s="23">
        <f t="shared" si="602"/>
        <v>1.4</v>
      </c>
      <c r="H610" s="4">
        <f t="shared" si="603"/>
        <v>3.8630000000000001E-3</v>
      </c>
      <c r="I610" s="2">
        <f t="shared" si="604"/>
        <v>2.7618929133858276E-2</v>
      </c>
      <c r="J610" s="4">
        <f t="shared" si="605"/>
        <v>9.5147210866141738E-2</v>
      </c>
      <c r="K610" s="4">
        <f t="shared" si="606"/>
        <v>0.12276614000000001</v>
      </c>
      <c r="L610" s="13">
        <f t="shared" si="607"/>
        <v>0.29027576197387522</v>
      </c>
      <c r="M610" s="3">
        <f t="shared" ref="M610" si="662">AVERAGE(I610:I611)</f>
        <v>3.1071295275590556E-2</v>
      </c>
      <c r="N610" s="3">
        <f t="shared" ref="N610" si="663">AVERAGE(J610:J611)</f>
        <v>8.5118087224409472E-2</v>
      </c>
    </row>
    <row r="611" spans="1:14" x14ac:dyDescent="0.2">
      <c r="A611" s="22"/>
      <c r="B611" s="4">
        <v>100</v>
      </c>
      <c r="C611" s="4">
        <v>8</v>
      </c>
      <c r="D611" s="33">
        <v>1.75</v>
      </c>
      <c r="E611" s="23">
        <v>1.25</v>
      </c>
      <c r="F611" s="23">
        <f t="shared" si="554"/>
        <v>1.75</v>
      </c>
      <c r="G611" s="23">
        <f t="shared" si="602"/>
        <v>1.25</v>
      </c>
      <c r="H611" s="4">
        <f t="shared" si="603"/>
        <v>3.8630000000000001E-3</v>
      </c>
      <c r="I611" s="2">
        <f t="shared" si="604"/>
        <v>3.452366141732284E-2</v>
      </c>
      <c r="J611" s="4">
        <f t="shared" si="605"/>
        <v>7.5088963582677193E-2</v>
      </c>
      <c r="K611" s="4">
        <f t="shared" si="606"/>
        <v>0.10961262500000003</v>
      </c>
      <c r="L611" s="13">
        <f t="shared" si="607"/>
        <v>0.45977011494252862</v>
      </c>
      <c r="M611" s="3"/>
      <c r="N611" s="3"/>
    </row>
    <row r="612" spans="1:14" x14ac:dyDescent="0.2">
      <c r="A612" s="22">
        <v>488688</v>
      </c>
      <c r="B612" s="4">
        <v>100</v>
      </c>
      <c r="C612" s="4">
        <v>8</v>
      </c>
      <c r="D612" s="33">
        <v>3.3</v>
      </c>
      <c r="E612" s="23">
        <v>2.4</v>
      </c>
      <c r="F612" s="23">
        <f t="shared" si="554"/>
        <v>3.3</v>
      </c>
      <c r="G612" s="23">
        <f t="shared" si="602"/>
        <v>2.4</v>
      </c>
      <c r="H612" s="4">
        <f t="shared" si="603"/>
        <v>3.8630000000000001E-3</v>
      </c>
      <c r="I612" s="2">
        <f t="shared" si="604"/>
        <v>6.2142590551181091E-2</v>
      </c>
      <c r="J612" s="4">
        <f t="shared" si="605"/>
        <v>0.14831364944881886</v>
      </c>
      <c r="K612" s="4">
        <f t="shared" si="606"/>
        <v>0.21045623999999996</v>
      </c>
      <c r="L612" s="13">
        <f t="shared" si="607"/>
        <v>0.41899441340782123</v>
      </c>
      <c r="M612" s="3">
        <f t="shared" ref="M612" si="664">AVERAGE(I612:I613)</f>
        <v>6.9047322834645666E-2</v>
      </c>
      <c r="N612" s="3">
        <f t="shared" ref="N612" si="665">AVERAGE(J612:J613)</f>
        <v>0.14798567466535431</v>
      </c>
    </row>
    <row r="613" spans="1:14" x14ac:dyDescent="0.2">
      <c r="A613" s="22"/>
      <c r="B613" s="4">
        <v>100</v>
      </c>
      <c r="C613" s="4">
        <v>8</v>
      </c>
      <c r="D613" s="33">
        <v>3.65</v>
      </c>
      <c r="E613" s="23">
        <v>2.5499999999999998</v>
      </c>
      <c r="F613" s="23">
        <f t="shared" si="554"/>
        <v>3.65</v>
      </c>
      <c r="G613" s="23">
        <f t="shared" si="602"/>
        <v>2.5499999999999998</v>
      </c>
      <c r="H613" s="4">
        <f t="shared" si="603"/>
        <v>3.8630000000000001E-3</v>
      </c>
      <c r="I613" s="2">
        <f t="shared" si="604"/>
        <v>7.5952055118110248E-2</v>
      </c>
      <c r="J613" s="4">
        <f t="shared" si="605"/>
        <v>0.14765769988188976</v>
      </c>
      <c r="K613" s="4">
        <f t="shared" si="606"/>
        <v>0.22360975500000002</v>
      </c>
      <c r="L613" s="13">
        <f t="shared" si="607"/>
        <v>0.51437923778349315</v>
      </c>
      <c r="M613" s="3"/>
      <c r="N613" s="3"/>
    </row>
    <row r="614" spans="1:14" x14ac:dyDescent="0.2">
      <c r="A614" s="22">
        <v>488689</v>
      </c>
      <c r="B614" s="4">
        <v>100</v>
      </c>
      <c r="C614" s="4">
        <v>8</v>
      </c>
      <c r="D614" s="33">
        <v>4.95</v>
      </c>
      <c r="E614" s="23">
        <v>3.35</v>
      </c>
      <c r="F614" s="23">
        <f t="shared" si="554"/>
        <v>4.95</v>
      </c>
      <c r="G614" s="23">
        <f t="shared" si="602"/>
        <v>3.35</v>
      </c>
      <c r="H614" s="4">
        <f t="shared" si="603"/>
        <v>3.8630000000000001E-3</v>
      </c>
      <c r="I614" s="2">
        <f t="shared" si="604"/>
        <v>0.11047571653543307</v>
      </c>
      <c r="J614" s="4">
        <f t="shared" si="605"/>
        <v>0.18328611846456699</v>
      </c>
      <c r="K614" s="4">
        <f t="shared" si="606"/>
        <v>0.29376183500000008</v>
      </c>
      <c r="L614" s="13">
        <f t="shared" si="607"/>
        <v>0.60275004708984725</v>
      </c>
      <c r="M614" s="3">
        <f t="shared" ref="M614" si="666">AVERAGE(I614:I615)</f>
        <v>0.11047571653543307</v>
      </c>
      <c r="N614" s="3">
        <f t="shared" ref="N614" si="667">AVERAGE(J614:J615)</f>
        <v>0.19643963346456694</v>
      </c>
    </row>
    <row r="615" spans="1:14" x14ac:dyDescent="0.2">
      <c r="A615" s="22"/>
      <c r="B615" s="4">
        <v>100</v>
      </c>
      <c r="C615" s="4">
        <v>8</v>
      </c>
      <c r="D615" s="33">
        <v>5.25</v>
      </c>
      <c r="E615" s="23">
        <v>3.65</v>
      </c>
      <c r="F615" s="23">
        <f t="shared" si="554"/>
        <v>5.25</v>
      </c>
      <c r="G615" s="23">
        <f t="shared" si="602"/>
        <v>3.65</v>
      </c>
      <c r="H615" s="4">
        <f t="shared" si="603"/>
        <v>3.8630000000000001E-3</v>
      </c>
      <c r="I615" s="2">
        <f t="shared" si="604"/>
        <v>0.11047571653543307</v>
      </c>
      <c r="J615" s="4">
        <f t="shared" si="605"/>
        <v>0.20959314846456692</v>
      </c>
      <c r="K615" s="4">
        <f t="shared" si="606"/>
        <v>0.32006886499999998</v>
      </c>
      <c r="L615" s="13">
        <f t="shared" si="607"/>
        <v>0.52709603030802177</v>
      </c>
      <c r="M615" s="3"/>
      <c r="N615" s="3"/>
    </row>
    <row r="616" spans="1:14" x14ac:dyDescent="0.2">
      <c r="A616" s="22">
        <v>488690</v>
      </c>
      <c r="B616" s="4">
        <v>100</v>
      </c>
      <c r="C616" s="4">
        <v>7</v>
      </c>
      <c r="D616" s="33">
        <v>3.75</v>
      </c>
      <c r="E616" s="23">
        <v>2.2999999999999998</v>
      </c>
      <c r="F616" s="23">
        <f t="shared" si="554"/>
        <v>3.75</v>
      </c>
      <c r="G616" s="23">
        <f t="shared" si="602"/>
        <v>2.2999999999999998</v>
      </c>
      <c r="H616" s="4">
        <f t="shared" si="603"/>
        <v>9.7450000000000002E-3</v>
      </c>
      <c r="I616" s="2">
        <f t="shared" si="604"/>
        <v>0.25256431102362209</v>
      </c>
      <c r="J616" s="4">
        <f t="shared" si="605"/>
        <v>0.25622213897637791</v>
      </c>
      <c r="K616" s="4">
        <f t="shared" si="606"/>
        <v>0.50878645</v>
      </c>
      <c r="L616" s="13">
        <f t="shared" si="607"/>
        <v>0.98572399728076177</v>
      </c>
      <c r="M616" s="3">
        <f t="shared" ref="M616" si="668">AVERAGE(I616:I617)</f>
        <v>0.26562798228346463</v>
      </c>
      <c r="N616" s="3">
        <f t="shared" ref="N616" si="669">AVERAGE(J616:J617)</f>
        <v>0.24868875521653544</v>
      </c>
    </row>
    <row r="617" spans="1:14" x14ac:dyDescent="0.2">
      <c r="A617" s="22"/>
      <c r="B617" s="4">
        <v>100</v>
      </c>
      <c r="C617" s="4">
        <v>7</v>
      </c>
      <c r="D617" s="33">
        <v>3.95</v>
      </c>
      <c r="E617" s="23">
        <v>2.35</v>
      </c>
      <c r="F617" s="23">
        <f t="shared" si="554"/>
        <v>3.95</v>
      </c>
      <c r="G617" s="23">
        <f t="shared" si="602"/>
        <v>2.35</v>
      </c>
      <c r="H617" s="4">
        <f t="shared" si="603"/>
        <v>9.7450000000000002E-3</v>
      </c>
      <c r="I617" s="2">
        <f t="shared" si="604"/>
        <v>0.27869165354330711</v>
      </c>
      <c r="J617" s="4">
        <f t="shared" si="605"/>
        <v>0.24115537145669294</v>
      </c>
      <c r="K617" s="4">
        <f t="shared" si="606"/>
        <v>0.51984702500000002</v>
      </c>
      <c r="L617" s="13">
        <f t="shared" si="607"/>
        <v>1.1556518598772119</v>
      </c>
      <c r="M617" s="3"/>
      <c r="N617" s="3"/>
    </row>
    <row r="618" spans="1:14" x14ac:dyDescent="0.2">
      <c r="A618" s="22">
        <v>488691</v>
      </c>
      <c r="B618" s="4">
        <v>100</v>
      </c>
      <c r="C618" s="4">
        <v>7</v>
      </c>
      <c r="D618" s="33">
        <v>4.55</v>
      </c>
      <c r="E618" s="23">
        <v>2.95</v>
      </c>
      <c r="F618" s="23">
        <f t="shared" si="554"/>
        <v>4.55</v>
      </c>
      <c r="G618" s="23">
        <f t="shared" si="602"/>
        <v>2.95</v>
      </c>
      <c r="H618" s="4">
        <f t="shared" si="603"/>
        <v>9.7450000000000002E-3</v>
      </c>
      <c r="I618" s="2">
        <f t="shared" si="604"/>
        <v>0.27869165354330705</v>
      </c>
      <c r="J618" s="4">
        <f t="shared" si="605"/>
        <v>0.37388227145669312</v>
      </c>
      <c r="K618" s="4">
        <f t="shared" si="606"/>
        <v>0.65257392500000022</v>
      </c>
      <c r="L618" s="13">
        <f t="shared" si="607"/>
        <v>0.74539948753785179</v>
      </c>
      <c r="M618" s="3">
        <f t="shared" ref="M618" si="670">AVERAGE(I618:I619)</f>
        <v>0.28740076771653544</v>
      </c>
      <c r="N618" s="3">
        <f t="shared" ref="N618" si="671">AVERAGE(J618:J619)</f>
        <v>0.33752171978346468</v>
      </c>
    </row>
    <row r="619" spans="1:14" x14ac:dyDescent="0.2">
      <c r="A619" s="22"/>
      <c r="B619" s="4">
        <v>100</v>
      </c>
      <c r="C619" s="4">
        <v>7</v>
      </c>
      <c r="D619" s="33">
        <v>4.4000000000000004</v>
      </c>
      <c r="E619" s="23">
        <v>2.7</v>
      </c>
      <c r="F619" s="23">
        <f t="shared" si="554"/>
        <v>4.4000000000000004</v>
      </c>
      <c r="G619" s="23">
        <f t="shared" si="602"/>
        <v>2.7</v>
      </c>
      <c r="H619" s="4">
        <f t="shared" si="603"/>
        <v>9.7450000000000002E-3</v>
      </c>
      <c r="I619" s="2">
        <f t="shared" si="604"/>
        <v>0.29610988188976384</v>
      </c>
      <c r="J619" s="4">
        <f t="shared" si="605"/>
        <v>0.30116116811023624</v>
      </c>
      <c r="K619" s="4">
        <f t="shared" si="606"/>
        <v>0.59727105000000003</v>
      </c>
      <c r="L619" s="13">
        <f t="shared" si="607"/>
        <v>0.98322729901677286</v>
      </c>
      <c r="M619" s="3"/>
      <c r="N619" s="3"/>
    </row>
    <row r="620" spans="1:14" x14ac:dyDescent="0.2">
      <c r="A620" s="22">
        <v>488692</v>
      </c>
      <c r="B620" s="4">
        <v>100</v>
      </c>
      <c r="C620" s="4">
        <v>6</v>
      </c>
      <c r="D620" s="33">
        <v>2.5</v>
      </c>
      <c r="E620" s="23">
        <v>1.3</v>
      </c>
      <c r="F620" s="23">
        <f t="shared" si="554"/>
        <v>2.5</v>
      </c>
      <c r="G620" s="23">
        <f t="shared" si="602"/>
        <v>1.3</v>
      </c>
      <c r="H620" s="4">
        <f t="shared" ref="H620:H683" si="672">IF(C620=1,32.7101,IF(C620=2,8.14893,IF(C620=3,1.42818,IF(C620=4,0.44041,IF(C620=5,0.123026,IF(C620=6,0.035767,IF(C620=7,0.009745,0.003863)))))))</f>
        <v>3.5767E-2</v>
      </c>
      <c r="I620" s="2">
        <f t="shared" ref="I620:I683" si="673">H620*$A$3*(F620-G620)*1000/B620</f>
        <v>0.7671599055118109</v>
      </c>
      <c r="J620" s="4">
        <f t="shared" ref="J620:J683" si="674">2.27*($A$3*G620-($A$3-1)*F620)*H620*1000/B620</f>
        <v>0.28832426448818893</v>
      </c>
      <c r="K620" s="4">
        <f t="shared" ref="K620:K683" si="675">(I620+J620)</f>
        <v>1.0554841699999997</v>
      </c>
      <c r="L620" s="13">
        <f t="shared" ref="L620:L683" si="676">(I620/J620)</f>
        <v>2.6607538802660753</v>
      </c>
      <c r="M620" s="3">
        <f t="shared" ref="M620" si="677">AVERAGE(I620:I621)</f>
        <v>0.7991249015748032</v>
      </c>
      <c r="N620" s="3">
        <f t="shared" ref="N620" si="678">AVERAGE(J620:J621)</f>
        <v>0.29695481342519681</v>
      </c>
    </row>
    <row r="621" spans="1:14" x14ac:dyDescent="0.2">
      <c r="A621" s="22"/>
      <c r="B621" s="4">
        <v>100</v>
      </c>
      <c r="C621" s="4">
        <v>6</v>
      </c>
      <c r="D621" s="33">
        <v>2.7</v>
      </c>
      <c r="E621" s="23">
        <v>1.4</v>
      </c>
      <c r="F621" s="23">
        <f t="shared" si="554"/>
        <v>2.7</v>
      </c>
      <c r="G621" s="23">
        <f t="shared" si="602"/>
        <v>1.4</v>
      </c>
      <c r="H621" s="4">
        <f t="shared" si="672"/>
        <v>3.5767E-2</v>
      </c>
      <c r="I621" s="2">
        <f t="shared" si="673"/>
        <v>0.8310898976377955</v>
      </c>
      <c r="J621" s="4">
        <f t="shared" si="674"/>
        <v>0.30558536236220474</v>
      </c>
      <c r="K621" s="4">
        <f t="shared" si="675"/>
        <v>1.1366752600000003</v>
      </c>
      <c r="L621" s="13">
        <f t="shared" si="676"/>
        <v>2.719665271966528</v>
      </c>
      <c r="M621" s="3"/>
      <c r="N621" s="3"/>
    </row>
    <row r="622" spans="1:14" x14ac:dyDescent="0.2">
      <c r="A622" s="22">
        <v>488693</v>
      </c>
      <c r="B622" s="4">
        <v>100</v>
      </c>
      <c r="C622" s="4">
        <v>7</v>
      </c>
      <c r="D622" s="33">
        <v>4.3</v>
      </c>
      <c r="E622" s="23">
        <v>2.25</v>
      </c>
      <c r="F622" s="23">
        <f t="shared" si="554"/>
        <v>4.3</v>
      </c>
      <c r="G622" s="23">
        <f t="shared" si="602"/>
        <v>2.25</v>
      </c>
      <c r="H622" s="4">
        <f t="shared" si="672"/>
        <v>9.7450000000000002E-3</v>
      </c>
      <c r="I622" s="2">
        <f t="shared" si="673"/>
        <v>0.35707368110236215</v>
      </c>
      <c r="J622" s="4">
        <f t="shared" si="674"/>
        <v>0.14065219389763775</v>
      </c>
      <c r="K622" s="4">
        <f t="shared" si="675"/>
        <v>0.49772587499999987</v>
      </c>
      <c r="L622" s="13">
        <f t="shared" si="676"/>
        <v>2.5386996904024772</v>
      </c>
      <c r="M622" s="3">
        <f t="shared" ref="M622" si="679">AVERAGE(I622:I623)</f>
        <v>0.36578279527559054</v>
      </c>
      <c r="N622" s="3">
        <f t="shared" ref="N622" si="680">AVERAGE(J622:J623)</f>
        <v>0.13747336722440934</v>
      </c>
    </row>
    <row r="623" spans="1:14" x14ac:dyDescent="0.2">
      <c r="A623" s="22"/>
      <c r="B623" s="4">
        <v>100</v>
      </c>
      <c r="C623" s="4">
        <v>7</v>
      </c>
      <c r="D623" s="33">
        <v>4.45</v>
      </c>
      <c r="E623" s="23">
        <v>2.2999999999999998</v>
      </c>
      <c r="F623" s="23">
        <f t="shared" si="554"/>
        <v>4.45</v>
      </c>
      <c r="G623" s="23">
        <f t="shared" si="602"/>
        <v>2.2999999999999998</v>
      </c>
      <c r="H623" s="4">
        <f t="shared" si="672"/>
        <v>9.7450000000000002E-3</v>
      </c>
      <c r="I623" s="2">
        <f t="shared" si="673"/>
        <v>0.37449190944881899</v>
      </c>
      <c r="J623" s="4">
        <f t="shared" si="674"/>
        <v>0.13429454055118095</v>
      </c>
      <c r="K623" s="4">
        <f t="shared" si="675"/>
        <v>0.50878644999999989</v>
      </c>
      <c r="L623" s="13">
        <f t="shared" si="676"/>
        <v>2.7885862516212749</v>
      </c>
      <c r="M623" s="3"/>
      <c r="N623" s="3"/>
    </row>
    <row r="624" spans="1:14" x14ac:dyDescent="0.2">
      <c r="A624" s="22">
        <v>488694</v>
      </c>
      <c r="B624" s="4">
        <v>100</v>
      </c>
      <c r="C624" s="4">
        <v>7</v>
      </c>
      <c r="D624" s="33">
        <v>3.45</v>
      </c>
      <c r="E624" s="23">
        <v>1.75</v>
      </c>
      <c r="F624" s="23">
        <f t="shared" si="554"/>
        <v>3.45</v>
      </c>
      <c r="G624" s="23">
        <f t="shared" si="602"/>
        <v>1.75</v>
      </c>
      <c r="H624" s="4">
        <f t="shared" si="672"/>
        <v>9.7450000000000002E-3</v>
      </c>
      <c r="I624" s="2">
        <f t="shared" si="673"/>
        <v>0.29610988188976384</v>
      </c>
      <c r="J624" s="4">
        <f t="shared" si="674"/>
        <v>9.1010243110236158E-2</v>
      </c>
      <c r="K624" s="4">
        <f t="shared" si="675"/>
        <v>0.38712012499999998</v>
      </c>
      <c r="L624" s="13">
        <f t="shared" si="676"/>
        <v>3.2535885167464142</v>
      </c>
      <c r="M624" s="3">
        <f t="shared" ref="M624" si="681">AVERAGE(I624:I625)</f>
        <v>0.29610988188976384</v>
      </c>
      <c r="N624" s="3">
        <f t="shared" ref="N624" si="682">AVERAGE(J624:J625)</f>
        <v>9.6540530610236236E-2</v>
      </c>
    </row>
    <row r="625" spans="1:14" x14ac:dyDescent="0.2">
      <c r="A625" s="22"/>
      <c r="B625" s="4">
        <v>100</v>
      </c>
      <c r="C625" s="4">
        <v>7</v>
      </c>
      <c r="D625" s="33">
        <v>3.5</v>
      </c>
      <c r="E625" s="23">
        <v>1.8</v>
      </c>
      <c r="F625" s="23">
        <f t="shared" si="554"/>
        <v>3.5</v>
      </c>
      <c r="G625" s="23">
        <f t="shared" si="602"/>
        <v>1.8</v>
      </c>
      <c r="H625" s="4">
        <f t="shared" si="672"/>
        <v>9.7450000000000002E-3</v>
      </c>
      <c r="I625" s="2">
        <f t="shared" si="673"/>
        <v>0.29610988188976378</v>
      </c>
      <c r="J625" s="4">
        <f t="shared" si="674"/>
        <v>0.10207081811023631</v>
      </c>
      <c r="K625" s="4">
        <f t="shared" si="675"/>
        <v>0.39818070000000011</v>
      </c>
      <c r="L625" s="13">
        <f t="shared" si="676"/>
        <v>2.9010238907849804</v>
      </c>
      <c r="M625" s="3"/>
      <c r="N625" s="3"/>
    </row>
    <row r="626" spans="1:14" x14ac:dyDescent="0.2">
      <c r="A626" s="22">
        <v>488697</v>
      </c>
      <c r="B626" s="4">
        <v>100</v>
      </c>
      <c r="C626" s="4">
        <v>8</v>
      </c>
      <c r="D626" s="33">
        <v>0.75</v>
      </c>
      <c r="E626" s="23">
        <v>0.5</v>
      </c>
      <c r="F626" s="23">
        <f t="shared" si="554"/>
        <v>0.75</v>
      </c>
      <c r="G626" s="23">
        <f t="shared" si="602"/>
        <v>0.5</v>
      </c>
      <c r="H626" s="4">
        <f t="shared" si="672"/>
        <v>3.8630000000000001E-3</v>
      </c>
      <c r="I626" s="2">
        <f t="shared" si="673"/>
        <v>1.726183070866142E-2</v>
      </c>
      <c r="J626" s="4">
        <f t="shared" si="674"/>
        <v>2.6583219291338583E-2</v>
      </c>
      <c r="K626" s="4">
        <f t="shared" si="675"/>
        <v>4.3845050000000003E-2</v>
      </c>
      <c r="L626" s="13">
        <f t="shared" si="676"/>
        <v>0.64935064935064946</v>
      </c>
      <c r="M626" s="3">
        <f t="shared" ref="M626" si="683">AVERAGE(I626:I627)</f>
        <v>1.3809464566929133E-2</v>
      </c>
      <c r="N626" s="3">
        <f t="shared" ref="N626" si="684">AVERAGE(J626:J627)</f>
        <v>2.7843332933070869E-2</v>
      </c>
    </row>
    <row r="627" spans="1:14" x14ac:dyDescent="0.2">
      <c r="A627" s="22"/>
      <c r="B627" s="4">
        <v>100</v>
      </c>
      <c r="C627" s="4">
        <v>8</v>
      </c>
      <c r="D627" s="33">
        <v>0.6</v>
      </c>
      <c r="E627" s="23">
        <v>0.45</v>
      </c>
      <c r="F627" s="23">
        <f t="shared" si="554"/>
        <v>0.6</v>
      </c>
      <c r="G627" s="23">
        <f t="shared" si="602"/>
        <v>0.45</v>
      </c>
      <c r="H627" s="4">
        <f t="shared" si="672"/>
        <v>3.8630000000000001E-3</v>
      </c>
      <c r="I627" s="2">
        <f t="shared" si="673"/>
        <v>1.0357098425196847E-2</v>
      </c>
      <c r="J627" s="4">
        <f t="shared" si="674"/>
        <v>2.9103446574803155E-2</v>
      </c>
      <c r="K627" s="4">
        <f t="shared" si="675"/>
        <v>3.9460545E-2</v>
      </c>
      <c r="L627" s="13">
        <f t="shared" si="676"/>
        <v>0.35587188612099624</v>
      </c>
      <c r="M627" s="3"/>
      <c r="N627" s="3"/>
    </row>
    <row r="628" spans="1:14" x14ac:dyDescent="0.2">
      <c r="A628" s="22">
        <v>488698</v>
      </c>
      <c r="B628" s="4">
        <v>100</v>
      </c>
      <c r="C628" s="4">
        <v>8</v>
      </c>
      <c r="D628" s="33">
        <v>0.75</v>
      </c>
      <c r="E628" s="23">
        <v>0.5</v>
      </c>
      <c r="F628" s="23">
        <f t="shared" si="554"/>
        <v>0.75</v>
      </c>
      <c r="G628" s="23">
        <f t="shared" si="602"/>
        <v>0.5</v>
      </c>
      <c r="H628" s="4">
        <f t="shared" si="672"/>
        <v>3.8630000000000001E-3</v>
      </c>
      <c r="I628" s="2">
        <f t="shared" si="673"/>
        <v>1.726183070866142E-2</v>
      </c>
      <c r="J628" s="4">
        <f t="shared" si="674"/>
        <v>2.6583219291338583E-2</v>
      </c>
      <c r="K628" s="4">
        <f t="shared" si="675"/>
        <v>4.3845050000000003E-2</v>
      </c>
      <c r="L628" s="13">
        <f t="shared" si="676"/>
        <v>0.64935064935064946</v>
      </c>
      <c r="M628" s="3">
        <f t="shared" ref="M628" si="685">AVERAGE(I628:I629)</f>
        <v>1.726183070866142E-2</v>
      </c>
      <c r="N628" s="3">
        <f t="shared" ref="N628" si="686">AVERAGE(J628:J629)</f>
        <v>2.8775471791338585E-2</v>
      </c>
    </row>
    <row r="629" spans="1:14" x14ac:dyDescent="0.2">
      <c r="A629" s="22"/>
      <c r="B629" s="4">
        <v>100</v>
      </c>
      <c r="C629" s="4">
        <v>8</v>
      </c>
      <c r="D629" s="33">
        <v>0.8</v>
      </c>
      <c r="E629" s="23">
        <v>0.55000000000000004</v>
      </c>
      <c r="F629" s="23">
        <f t="shared" si="554"/>
        <v>0.8</v>
      </c>
      <c r="G629" s="23">
        <f t="shared" si="602"/>
        <v>0.55000000000000004</v>
      </c>
      <c r="H629" s="4">
        <f t="shared" si="672"/>
        <v>3.8630000000000001E-3</v>
      </c>
      <c r="I629" s="2">
        <f t="shared" si="673"/>
        <v>1.726183070866142E-2</v>
      </c>
      <c r="J629" s="4">
        <f t="shared" si="674"/>
        <v>3.0967724291338587E-2</v>
      </c>
      <c r="K629" s="4">
        <f t="shared" si="675"/>
        <v>4.8229555000000007E-2</v>
      </c>
      <c r="L629" s="13">
        <f t="shared" si="676"/>
        <v>0.55741360089186176</v>
      </c>
      <c r="M629" s="3"/>
      <c r="N629" s="3"/>
    </row>
    <row r="630" spans="1:14" x14ac:dyDescent="0.2">
      <c r="A630" s="22">
        <v>488699</v>
      </c>
      <c r="B630" s="4">
        <v>100</v>
      </c>
      <c r="C630" s="4">
        <v>8</v>
      </c>
      <c r="D630" s="33">
        <v>1.6</v>
      </c>
      <c r="E630" s="23">
        <v>1.1000000000000001</v>
      </c>
      <c r="F630" s="23">
        <f t="shared" si="554"/>
        <v>1.6</v>
      </c>
      <c r="G630" s="23">
        <f t="shared" si="602"/>
        <v>1.1000000000000001</v>
      </c>
      <c r="H630" s="4">
        <f t="shared" si="672"/>
        <v>3.8630000000000001E-3</v>
      </c>
      <c r="I630" s="2">
        <f t="shared" si="673"/>
        <v>3.452366141732284E-2</v>
      </c>
      <c r="J630" s="4">
        <f t="shared" si="674"/>
        <v>6.1935448582677174E-2</v>
      </c>
      <c r="K630" s="4">
        <f t="shared" si="675"/>
        <v>9.6459110000000015E-2</v>
      </c>
      <c r="L630" s="13">
        <f t="shared" si="676"/>
        <v>0.55741360089186176</v>
      </c>
      <c r="M630" s="3">
        <f t="shared" ref="M630" si="687">AVERAGE(I630:I631)</f>
        <v>3.9702210629921263E-2</v>
      </c>
      <c r="N630" s="3">
        <f t="shared" ref="N630" si="688">AVERAGE(J630:J631)</f>
        <v>6.5525909370078739E-2</v>
      </c>
    </row>
    <row r="631" spans="1:14" x14ac:dyDescent="0.2">
      <c r="A631" s="22"/>
      <c r="B631" s="4">
        <v>100</v>
      </c>
      <c r="C631" s="4">
        <v>8</v>
      </c>
      <c r="D631" s="33">
        <v>1.95</v>
      </c>
      <c r="E631" s="23">
        <v>1.3</v>
      </c>
      <c r="F631" s="23">
        <f t="shared" si="554"/>
        <v>1.95</v>
      </c>
      <c r="G631" s="23">
        <f t="shared" si="602"/>
        <v>1.3</v>
      </c>
      <c r="H631" s="4">
        <f t="shared" si="672"/>
        <v>3.8630000000000001E-3</v>
      </c>
      <c r="I631" s="2">
        <f t="shared" si="673"/>
        <v>4.4880759842519685E-2</v>
      </c>
      <c r="J631" s="4">
        <f t="shared" si="674"/>
        <v>6.9116370157480303E-2</v>
      </c>
      <c r="K631" s="4">
        <f t="shared" si="675"/>
        <v>0.11399712999999999</v>
      </c>
      <c r="L631" s="13">
        <f t="shared" si="676"/>
        <v>0.64935064935064946</v>
      </c>
      <c r="M631" s="3"/>
      <c r="N631" s="3"/>
    </row>
    <row r="632" spans="1:14" x14ac:dyDescent="0.2">
      <c r="A632" s="22">
        <v>488700</v>
      </c>
      <c r="B632" s="4">
        <v>100</v>
      </c>
      <c r="C632" s="4">
        <v>8</v>
      </c>
      <c r="D632" s="33">
        <v>4.3499999999999996</v>
      </c>
      <c r="E632" s="23">
        <v>2.75</v>
      </c>
      <c r="F632" s="23">
        <f t="shared" si="554"/>
        <v>4.3499999999999996</v>
      </c>
      <c r="G632" s="23">
        <f t="shared" si="602"/>
        <v>2.75</v>
      </c>
      <c r="H632" s="4">
        <f t="shared" si="672"/>
        <v>3.8630000000000001E-3</v>
      </c>
      <c r="I632" s="2">
        <f t="shared" si="673"/>
        <v>0.11047571653543306</v>
      </c>
      <c r="J632" s="4">
        <f t="shared" si="674"/>
        <v>0.13067205846456698</v>
      </c>
      <c r="K632" s="4">
        <f t="shared" si="675"/>
        <v>0.24114777500000004</v>
      </c>
      <c r="L632" s="13">
        <f t="shared" si="676"/>
        <v>0.84544253632760857</v>
      </c>
      <c r="M632" s="3">
        <f t="shared" ref="M632" si="689">AVERAGE(I632:I633)</f>
        <v>0.11392808267716537</v>
      </c>
      <c r="N632" s="3">
        <f t="shared" ref="N632" si="690">AVERAGE(J632:J633)</f>
        <v>0.14037320732283465</v>
      </c>
    </row>
    <row r="633" spans="1:14" x14ac:dyDescent="0.2">
      <c r="A633" s="22"/>
      <c r="B633" s="4">
        <v>100</v>
      </c>
      <c r="C633" s="4">
        <v>8</v>
      </c>
      <c r="D633" s="33">
        <v>4.75</v>
      </c>
      <c r="E633" s="23">
        <v>3.05</v>
      </c>
      <c r="F633" s="23">
        <f t="shared" si="554"/>
        <v>4.75</v>
      </c>
      <c r="G633" s="23">
        <f t="shared" si="602"/>
        <v>3.05</v>
      </c>
      <c r="H633" s="4">
        <f t="shared" si="672"/>
        <v>3.8630000000000001E-3</v>
      </c>
      <c r="I633" s="2">
        <f t="shared" si="673"/>
        <v>0.11738044881889766</v>
      </c>
      <c r="J633" s="4">
        <f t="shared" si="674"/>
        <v>0.15007435618110232</v>
      </c>
      <c r="K633" s="4">
        <f t="shared" si="675"/>
        <v>0.26745480499999996</v>
      </c>
      <c r="L633" s="13">
        <f t="shared" si="676"/>
        <v>0.78214860823556509</v>
      </c>
      <c r="M633" s="3"/>
      <c r="N633" s="3"/>
    </row>
    <row r="634" spans="1:14" x14ac:dyDescent="0.2">
      <c r="A634" s="22">
        <v>488701</v>
      </c>
      <c r="B634" s="4">
        <v>100</v>
      </c>
      <c r="C634" s="4">
        <v>7</v>
      </c>
      <c r="D634" s="33">
        <v>4.3</v>
      </c>
      <c r="E634" s="23">
        <v>2.5499999999999998</v>
      </c>
      <c r="F634" s="23">
        <f t="shared" si="554"/>
        <v>4.3</v>
      </c>
      <c r="G634" s="23">
        <f t="shared" si="602"/>
        <v>2.5499999999999998</v>
      </c>
      <c r="H634" s="4">
        <f t="shared" si="672"/>
        <v>9.7450000000000002E-3</v>
      </c>
      <c r="I634" s="2">
        <f t="shared" si="673"/>
        <v>0.30481899606299218</v>
      </c>
      <c r="J634" s="4">
        <f t="shared" si="674"/>
        <v>0.25927032893700791</v>
      </c>
      <c r="K634" s="4">
        <f t="shared" si="675"/>
        <v>0.56408932500000009</v>
      </c>
      <c r="L634" s="13">
        <f t="shared" si="676"/>
        <v>1.1756802149815251</v>
      </c>
      <c r="M634" s="3">
        <f t="shared" ref="M634" si="691">AVERAGE(I634:I635)</f>
        <v>0.30481899606299223</v>
      </c>
      <c r="N634" s="3">
        <f t="shared" ref="N634" si="692">AVERAGE(J634:J635)</f>
        <v>0.27033090393700782</v>
      </c>
    </row>
    <row r="635" spans="1:14" x14ac:dyDescent="0.2">
      <c r="A635" s="22"/>
      <c r="B635" s="4">
        <v>100</v>
      </c>
      <c r="C635" s="4">
        <v>7</v>
      </c>
      <c r="D635" s="33">
        <v>4.4000000000000004</v>
      </c>
      <c r="E635" s="23">
        <v>2.65</v>
      </c>
      <c r="F635" s="23">
        <f t="shared" si="554"/>
        <v>4.4000000000000004</v>
      </c>
      <c r="G635" s="23">
        <f t="shared" si="602"/>
        <v>2.65</v>
      </c>
      <c r="H635" s="4">
        <f t="shared" si="672"/>
        <v>9.7450000000000002E-3</v>
      </c>
      <c r="I635" s="2">
        <f t="shared" si="673"/>
        <v>0.30481899606299223</v>
      </c>
      <c r="J635" s="4">
        <f t="shared" si="674"/>
        <v>0.28139147893700772</v>
      </c>
      <c r="K635" s="4">
        <f t="shared" si="675"/>
        <v>0.5862104749999999</v>
      </c>
      <c r="L635" s="13">
        <f t="shared" si="676"/>
        <v>1.0832559579077694</v>
      </c>
      <c r="M635" s="3"/>
      <c r="N635" s="3"/>
    </row>
    <row r="636" spans="1:14" x14ac:dyDescent="0.2">
      <c r="A636" s="22">
        <v>488702</v>
      </c>
      <c r="B636" s="4">
        <v>100</v>
      </c>
      <c r="C636" s="4">
        <v>7</v>
      </c>
      <c r="D636" s="33">
        <v>7</v>
      </c>
      <c r="E636" s="23">
        <v>4</v>
      </c>
      <c r="F636" s="23">
        <f t="shared" si="554"/>
        <v>7</v>
      </c>
      <c r="G636" s="23">
        <f t="shared" si="602"/>
        <v>4</v>
      </c>
      <c r="H636" s="4">
        <f t="shared" si="672"/>
        <v>9.7450000000000002E-3</v>
      </c>
      <c r="I636" s="2">
        <f t="shared" si="673"/>
        <v>0.52254685039370086</v>
      </c>
      <c r="J636" s="4">
        <f t="shared" si="674"/>
        <v>0.36229914960629939</v>
      </c>
      <c r="K636" s="4">
        <f t="shared" si="675"/>
        <v>0.88484600000000024</v>
      </c>
      <c r="L636" s="13">
        <f t="shared" si="676"/>
        <v>1.4423076923076918</v>
      </c>
      <c r="M636" s="3">
        <f t="shared" ref="M636" si="693">AVERAGE(I636:I637)</f>
        <v>0.53125596456692925</v>
      </c>
      <c r="N636" s="3">
        <f t="shared" ref="N636" si="694">AVERAGE(J636:J637)</f>
        <v>0.39783233543307106</v>
      </c>
    </row>
    <row r="637" spans="1:14" x14ac:dyDescent="0.2">
      <c r="A637" s="22"/>
      <c r="B637" s="4">
        <v>100</v>
      </c>
      <c r="C637" s="4">
        <v>7</v>
      </c>
      <c r="D637" s="33">
        <v>7.5</v>
      </c>
      <c r="E637" s="23">
        <v>4.4000000000000004</v>
      </c>
      <c r="F637" s="23">
        <f t="shared" si="554"/>
        <v>7.5</v>
      </c>
      <c r="G637" s="23">
        <f t="shared" si="602"/>
        <v>4.4000000000000004</v>
      </c>
      <c r="H637" s="4">
        <f t="shared" si="672"/>
        <v>9.7450000000000002E-3</v>
      </c>
      <c r="I637" s="2">
        <f t="shared" si="673"/>
        <v>0.53996507874015753</v>
      </c>
      <c r="J637" s="4">
        <f t="shared" si="674"/>
        <v>0.43336552125984279</v>
      </c>
      <c r="K637" s="4">
        <f t="shared" si="675"/>
        <v>0.97333060000000038</v>
      </c>
      <c r="L637" s="13">
        <f t="shared" si="676"/>
        <v>1.2459807073954978</v>
      </c>
      <c r="M637" s="3"/>
      <c r="N637" s="3"/>
    </row>
    <row r="638" spans="1:14" x14ac:dyDescent="0.2">
      <c r="A638" s="22">
        <v>488703</v>
      </c>
      <c r="B638" s="4">
        <v>100</v>
      </c>
      <c r="C638" s="4">
        <v>7</v>
      </c>
      <c r="D638" s="33">
        <v>4.4000000000000004</v>
      </c>
      <c r="E638" s="23">
        <v>2.4</v>
      </c>
      <c r="F638" s="23">
        <f t="shared" si="554"/>
        <v>4.4000000000000004</v>
      </c>
      <c r="G638" s="23">
        <f t="shared" si="602"/>
        <v>2.4</v>
      </c>
      <c r="H638" s="4">
        <f t="shared" si="672"/>
        <v>9.7450000000000002E-3</v>
      </c>
      <c r="I638" s="2">
        <f t="shared" si="673"/>
        <v>0.34836456692913392</v>
      </c>
      <c r="J638" s="4">
        <f t="shared" si="674"/>
        <v>0.18254303307086606</v>
      </c>
      <c r="K638" s="4">
        <f t="shared" si="675"/>
        <v>0.53090759999999992</v>
      </c>
      <c r="L638" s="13">
        <f t="shared" si="676"/>
        <v>1.9083969465648867</v>
      </c>
      <c r="M638" s="3">
        <f t="shared" ref="M638" si="695">AVERAGE(I638:I639)</f>
        <v>0.35707368110236226</v>
      </c>
      <c r="N638" s="3">
        <f t="shared" ref="N638" si="696">AVERAGE(J638:J639)</f>
        <v>0.16277334389763767</v>
      </c>
    </row>
    <row r="639" spans="1:14" x14ac:dyDescent="0.2">
      <c r="A639" s="22"/>
      <c r="B639" s="4">
        <v>100</v>
      </c>
      <c r="C639" s="4">
        <v>7</v>
      </c>
      <c r="D639" s="33">
        <v>4.4000000000000004</v>
      </c>
      <c r="E639" s="23">
        <v>2.2999999999999998</v>
      </c>
      <c r="F639" s="23">
        <f t="shared" si="554"/>
        <v>4.4000000000000004</v>
      </c>
      <c r="G639" s="23">
        <f t="shared" si="602"/>
        <v>2.2999999999999998</v>
      </c>
      <c r="H639" s="4">
        <f t="shared" si="672"/>
        <v>9.7450000000000002E-3</v>
      </c>
      <c r="I639" s="2">
        <f t="shared" si="673"/>
        <v>0.3657827952755906</v>
      </c>
      <c r="J639" s="4">
        <f t="shared" si="674"/>
        <v>0.14300365472440929</v>
      </c>
      <c r="K639" s="4">
        <f t="shared" si="675"/>
        <v>0.50878644999999989</v>
      </c>
      <c r="L639" s="13">
        <f t="shared" si="676"/>
        <v>2.5578562728380057</v>
      </c>
      <c r="M639" s="3"/>
      <c r="N639" s="3"/>
    </row>
    <row r="640" spans="1:14" x14ac:dyDescent="0.2">
      <c r="A640" s="22">
        <v>488704</v>
      </c>
      <c r="B640" s="4">
        <v>100</v>
      </c>
      <c r="C640" s="4">
        <v>7</v>
      </c>
      <c r="D640" s="33">
        <v>3.05</v>
      </c>
      <c r="E640" s="23">
        <v>1.6</v>
      </c>
      <c r="F640" s="23">
        <f t="shared" si="554"/>
        <v>3.05</v>
      </c>
      <c r="G640" s="23">
        <f t="shared" si="602"/>
        <v>1.6</v>
      </c>
      <c r="H640" s="4">
        <f t="shared" si="672"/>
        <v>9.7450000000000002E-3</v>
      </c>
      <c r="I640" s="2">
        <f t="shared" si="673"/>
        <v>0.25256431102362198</v>
      </c>
      <c r="J640" s="4">
        <f t="shared" si="674"/>
        <v>0.10137408897637804</v>
      </c>
      <c r="K640" s="4">
        <f t="shared" si="675"/>
        <v>0.35393839999999999</v>
      </c>
      <c r="L640" s="13">
        <f t="shared" si="676"/>
        <v>2.4914089347079011</v>
      </c>
      <c r="M640" s="3">
        <f t="shared" ref="M640" si="697">AVERAGE(I640:I641)</f>
        <v>0.25691886811023623</v>
      </c>
      <c r="N640" s="3">
        <f t="shared" ref="N640" si="698">AVERAGE(J640:J641)</f>
        <v>0.10254981938976386</v>
      </c>
    </row>
    <row r="641" spans="1:14" x14ac:dyDescent="0.2">
      <c r="A641" s="22"/>
      <c r="B641" s="4">
        <v>100</v>
      </c>
      <c r="C641" s="4">
        <v>7</v>
      </c>
      <c r="D641" s="33">
        <v>3.15</v>
      </c>
      <c r="E641" s="23">
        <v>1.65</v>
      </c>
      <c r="F641" s="23">
        <f t="shared" si="554"/>
        <v>3.15</v>
      </c>
      <c r="G641" s="23">
        <f t="shared" si="602"/>
        <v>1.65</v>
      </c>
      <c r="H641" s="4">
        <f t="shared" si="672"/>
        <v>9.7450000000000002E-3</v>
      </c>
      <c r="I641" s="2">
        <f t="shared" si="673"/>
        <v>0.26127342519685043</v>
      </c>
      <c r="J641" s="4">
        <f t="shared" si="674"/>
        <v>0.10372554980314969</v>
      </c>
      <c r="K641" s="4">
        <f t="shared" si="675"/>
        <v>0.36499897500000011</v>
      </c>
      <c r="L641" s="13">
        <f t="shared" si="676"/>
        <v>2.5188916876574292</v>
      </c>
      <c r="M641" s="3"/>
      <c r="N641" s="3"/>
    </row>
    <row r="642" spans="1:14" x14ac:dyDescent="0.2">
      <c r="A642" s="22">
        <v>488705</v>
      </c>
      <c r="B642" s="4">
        <v>100</v>
      </c>
      <c r="C642" s="4">
        <v>7</v>
      </c>
      <c r="D642" s="33">
        <v>2.65</v>
      </c>
      <c r="E642" s="23">
        <v>1.35</v>
      </c>
      <c r="F642" s="23">
        <f t="shared" si="554"/>
        <v>2.65</v>
      </c>
      <c r="G642" s="23">
        <f t="shared" si="602"/>
        <v>1.35</v>
      </c>
      <c r="H642" s="4">
        <f t="shared" si="672"/>
        <v>9.7450000000000002E-3</v>
      </c>
      <c r="I642" s="2">
        <f t="shared" si="673"/>
        <v>0.22643696850393699</v>
      </c>
      <c r="J642" s="4">
        <f t="shared" si="674"/>
        <v>7.2198556496063035E-2</v>
      </c>
      <c r="K642" s="4">
        <f t="shared" si="675"/>
        <v>0.29863552500000001</v>
      </c>
      <c r="L642" s="13">
        <f t="shared" si="676"/>
        <v>3.1363088057901063</v>
      </c>
      <c r="M642" s="3">
        <f t="shared" ref="M642" si="699">AVERAGE(I642:I643)</f>
        <v>0.22643696850393705</v>
      </c>
      <c r="N642" s="3">
        <f t="shared" ref="N642" si="700">AVERAGE(J642:J643)</f>
        <v>7.7728843996063002E-2</v>
      </c>
    </row>
    <row r="643" spans="1:14" x14ac:dyDescent="0.2">
      <c r="A643" s="22"/>
      <c r="B643" s="4">
        <v>100</v>
      </c>
      <c r="C643" s="4">
        <v>7</v>
      </c>
      <c r="D643" s="33">
        <v>2.7</v>
      </c>
      <c r="E643" s="23">
        <v>1.4</v>
      </c>
      <c r="F643" s="23">
        <f t="shared" si="554"/>
        <v>2.7</v>
      </c>
      <c r="G643" s="23">
        <f t="shared" si="602"/>
        <v>1.4</v>
      </c>
      <c r="H643" s="4">
        <f t="shared" si="672"/>
        <v>9.7450000000000002E-3</v>
      </c>
      <c r="I643" s="2">
        <f t="shared" si="673"/>
        <v>0.2264369685039371</v>
      </c>
      <c r="J643" s="4">
        <f t="shared" si="674"/>
        <v>8.3259131496062982E-2</v>
      </c>
      <c r="K643" s="4">
        <f t="shared" si="675"/>
        <v>0.30969610000000009</v>
      </c>
      <c r="L643" s="13">
        <f t="shared" si="676"/>
        <v>2.7196652719665289</v>
      </c>
      <c r="M643" s="3"/>
      <c r="N643" s="3"/>
    </row>
    <row r="644" spans="1:14" x14ac:dyDescent="0.2">
      <c r="A644" s="22">
        <v>488707</v>
      </c>
      <c r="B644" s="4">
        <v>100</v>
      </c>
      <c r="C644" s="4">
        <v>8</v>
      </c>
      <c r="D644" s="33">
        <v>0.55000000000000004</v>
      </c>
      <c r="E644" s="23">
        <v>0.4</v>
      </c>
      <c r="F644" s="23">
        <f t="shared" si="554"/>
        <v>0.55000000000000004</v>
      </c>
      <c r="G644" s="23">
        <f t="shared" si="602"/>
        <v>0.4</v>
      </c>
      <c r="H644" s="4">
        <f t="shared" si="672"/>
        <v>3.8630000000000001E-3</v>
      </c>
      <c r="I644" s="2">
        <f t="shared" si="673"/>
        <v>1.0357098425196852E-2</v>
      </c>
      <c r="J644" s="4">
        <f t="shared" si="674"/>
        <v>2.4718941574803147E-2</v>
      </c>
      <c r="K644" s="4">
        <f t="shared" si="675"/>
        <v>3.5076040000000003E-2</v>
      </c>
      <c r="L644" s="13">
        <f t="shared" si="676"/>
        <v>0.41899441340782134</v>
      </c>
      <c r="M644" s="3">
        <f t="shared" ref="M644" si="701">AVERAGE(I644:I645)</f>
        <v>1.0357098425196852E-2</v>
      </c>
      <c r="N644" s="3">
        <f t="shared" ref="N644" si="702">AVERAGE(J644:J645)</f>
        <v>2.4718941574803147E-2</v>
      </c>
    </row>
    <row r="645" spans="1:14" x14ac:dyDescent="0.2">
      <c r="A645" s="22"/>
      <c r="B645" s="4">
        <v>100</v>
      </c>
      <c r="C645" s="4">
        <v>8</v>
      </c>
      <c r="D645" s="33">
        <v>0.55000000000000004</v>
      </c>
      <c r="E645" s="23">
        <v>0.4</v>
      </c>
      <c r="F645" s="23">
        <f t="shared" si="554"/>
        <v>0.55000000000000004</v>
      </c>
      <c r="G645" s="23">
        <f t="shared" si="602"/>
        <v>0.4</v>
      </c>
      <c r="H645" s="4">
        <f t="shared" si="672"/>
        <v>3.8630000000000001E-3</v>
      </c>
      <c r="I645" s="2">
        <f t="shared" si="673"/>
        <v>1.0357098425196852E-2</v>
      </c>
      <c r="J645" s="4">
        <f t="shared" si="674"/>
        <v>2.4718941574803147E-2</v>
      </c>
      <c r="K645" s="4">
        <f t="shared" si="675"/>
        <v>3.5076040000000003E-2</v>
      </c>
      <c r="L645" s="13">
        <f t="shared" si="676"/>
        <v>0.41899441340782134</v>
      </c>
      <c r="M645" s="3"/>
      <c r="N645" s="3"/>
    </row>
    <row r="646" spans="1:14" x14ac:dyDescent="0.2">
      <c r="A646" s="22">
        <v>488708</v>
      </c>
      <c r="B646" s="4">
        <v>100</v>
      </c>
      <c r="C646" s="4">
        <v>8</v>
      </c>
      <c r="D646" s="33">
        <v>0.75</v>
      </c>
      <c r="E646" s="23">
        <v>0.5</v>
      </c>
      <c r="F646" s="23">
        <f t="shared" si="554"/>
        <v>0.75</v>
      </c>
      <c r="G646" s="23">
        <f t="shared" si="602"/>
        <v>0.5</v>
      </c>
      <c r="H646" s="4">
        <f t="shared" si="672"/>
        <v>3.8630000000000001E-3</v>
      </c>
      <c r="I646" s="2">
        <f t="shared" si="673"/>
        <v>1.726183070866142E-2</v>
      </c>
      <c r="J646" s="4">
        <f t="shared" si="674"/>
        <v>2.6583219291338583E-2</v>
      </c>
      <c r="K646" s="4">
        <f t="shared" si="675"/>
        <v>4.3845050000000003E-2</v>
      </c>
      <c r="L646" s="13">
        <f t="shared" si="676"/>
        <v>0.64935064935064946</v>
      </c>
      <c r="M646" s="3">
        <f t="shared" ref="M646" si="703">AVERAGE(I646:I647)</f>
        <v>1.8988013779527559E-2</v>
      </c>
      <c r="N646" s="3">
        <f t="shared" ref="N646" si="704">AVERAGE(J646:J647)</f>
        <v>2.2664783720472446E-2</v>
      </c>
    </row>
    <row r="647" spans="1:14" x14ac:dyDescent="0.2">
      <c r="A647" s="22"/>
      <c r="B647" s="4">
        <v>100</v>
      </c>
      <c r="C647" s="4">
        <v>8</v>
      </c>
      <c r="D647" s="33">
        <v>0.75</v>
      </c>
      <c r="E647" s="23">
        <v>0.45</v>
      </c>
      <c r="F647" s="23">
        <f t="shared" si="554"/>
        <v>0.75</v>
      </c>
      <c r="G647" s="23">
        <f t="shared" si="602"/>
        <v>0.45</v>
      </c>
      <c r="H647" s="4">
        <f t="shared" si="672"/>
        <v>3.8630000000000001E-3</v>
      </c>
      <c r="I647" s="2">
        <f t="shared" si="673"/>
        <v>2.0714196850393697E-2</v>
      </c>
      <c r="J647" s="4">
        <f t="shared" si="674"/>
        <v>1.8746348149606306E-2</v>
      </c>
      <c r="K647" s="4">
        <f t="shared" si="675"/>
        <v>3.9460545E-2</v>
      </c>
      <c r="L647" s="13">
        <f t="shared" si="676"/>
        <v>1.1049723756906071</v>
      </c>
      <c r="M647" s="3"/>
      <c r="N647" s="3"/>
    </row>
    <row r="648" spans="1:14" x14ac:dyDescent="0.2">
      <c r="A648" s="22">
        <v>488709</v>
      </c>
      <c r="B648" s="4">
        <v>100</v>
      </c>
      <c r="C648" s="4">
        <v>8</v>
      </c>
      <c r="D648" s="33">
        <v>5.7</v>
      </c>
      <c r="E648" s="23">
        <v>3.6</v>
      </c>
      <c r="F648" s="23">
        <f t="shared" si="554"/>
        <v>5.7</v>
      </c>
      <c r="G648" s="23">
        <f t="shared" si="602"/>
        <v>3.6</v>
      </c>
      <c r="H648" s="4">
        <f t="shared" si="672"/>
        <v>3.8630000000000001E-3</v>
      </c>
      <c r="I648" s="2">
        <f t="shared" si="673"/>
        <v>0.14499937795275591</v>
      </c>
      <c r="J648" s="4">
        <f t="shared" si="674"/>
        <v>0.17068498204724411</v>
      </c>
      <c r="K648" s="4">
        <f t="shared" si="675"/>
        <v>0.31568436</v>
      </c>
      <c r="L648" s="13">
        <f t="shared" si="676"/>
        <v>0.84951456310679607</v>
      </c>
      <c r="M648" s="3">
        <f t="shared" ref="M648" si="705">AVERAGE(I648:I649)</f>
        <v>0.14672556102362205</v>
      </c>
      <c r="N648" s="3">
        <f t="shared" ref="N648" si="706">AVERAGE(J648:J649)</f>
        <v>0.16895879897637797</v>
      </c>
    </row>
    <row r="649" spans="1:14" x14ac:dyDescent="0.2">
      <c r="A649" s="22"/>
      <c r="B649" s="4">
        <v>100</v>
      </c>
      <c r="C649" s="4">
        <v>8</v>
      </c>
      <c r="D649" s="33">
        <v>5.75</v>
      </c>
      <c r="E649" s="23">
        <v>3.6</v>
      </c>
      <c r="F649" s="23">
        <f t="shared" si="554"/>
        <v>5.75</v>
      </c>
      <c r="G649" s="23">
        <f t="shared" si="602"/>
        <v>3.6</v>
      </c>
      <c r="H649" s="4">
        <f t="shared" si="672"/>
        <v>3.8630000000000001E-3</v>
      </c>
      <c r="I649" s="2">
        <f t="shared" si="673"/>
        <v>0.14845174409448819</v>
      </c>
      <c r="J649" s="4">
        <f t="shared" si="674"/>
        <v>0.16723261590551183</v>
      </c>
      <c r="K649" s="4">
        <f t="shared" si="675"/>
        <v>0.31568436</v>
      </c>
      <c r="L649" s="13">
        <f t="shared" si="676"/>
        <v>0.88769611890999167</v>
      </c>
      <c r="M649" s="3"/>
      <c r="N649" s="3"/>
    </row>
    <row r="650" spans="1:14" x14ac:dyDescent="0.2">
      <c r="A650" s="22">
        <v>488710</v>
      </c>
      <c r="B650" s="4">
        <v>100</v>
      </c>
      <c r="C650" s="4">
        <v>7</v>
      </c>
      <c r="D650" s="33">
        <v>4.5999999999999996</v>
      </c>
      <c r="E650" s="23">
        <v>2.7</v>
      </c>
      <c r="F650" s="23">
        <f t="shared" si="554"/>
        <v>4.5999999999999996</v>
      </c>
      <c r="G650" s="23">
        <f t="shared" si="602"/>
        <v>2.7</v>
      </c>
      <c r="H650" s="4">
        <f t="shared" si="672"/>
        <v>9.7450000000000002E-3</v>
      </c>
      <c r="I650" s="2">
        <f t="shared" si="673"/>
        <v>0.33094633858267714</v>
      </c>
      <c r="J650" s="4">
        <f t="shared" si="674"/>
        <v>0.26632471141732295</v>
      </c>
      <c r="K650" s="4">
        <f t="shared" si="675"/>
        <v>0.59727105000000003</v>
      </c>
      <c r="L650" s="13">
        <f t="shared" si="676"/>
        <v>1.2426422498364937</v>
      </c>
      <c r="M650" s="3">
        <f t="shared" ref="M650" si="707">AVERAGE(I650:I651)</f>
        <v>0.34401000984251962</v>
      </c>
      <c r="N650" s="3">
        <f t="shared" ref="N650" si="708">AVERAGE(J650:J651)</f>
        <v>0.26432161515748043</v>
      </c>
    </row>
    <row r="651" spans="1:14" x14ac:dyDescent="0.2">
      <c r="A651" s="22"/>
      <c r="B651" s="4">
        <v>100</v>
      </c>
      <c r="C651" s="4">
        <v>7</v>
      </c>
      <c r="D651" s="33">
        <v>4.8499999999999996</v>
      </c>
      <c r="E651" s="23">
        <v>2.8</v>
      </c>
      <c r="F651" s="23">
        <f t="shared" si="554"/>
        <v>4.8499999999999996</v>
      </c>
      <c r="G651" s="23">
        <f t="shared" si="602"/>
        <v>2.8</v>
      </c>
      <c r="H651" s="4">
        <f t="shared" si="672"/>
        <v>9.7450000000000002E-3</v>
      </c>
      <c r="I651" s="2">
        <f t="shared" si="673"/>
        <v>0.35707368110236215</v>
      </c>
      <c r="J651" s="4">
        <f t="shared" si="674"/>
        <v>0.26231851889763785</v>
      </c>
      <c r="K651" s="4">
        <f t="shared" si="675"/>
        <v>0.61939220000000006</v>
      </c>
      <c r="L651" s="13">
        <f t="shared" si="676"/>
        <v>1.3612217795484722</v>
      </c>
      <c r="M651" s="3"/>
      <c r="N651" s="3"/>
    </row>
    <row r="652" spans="1:14" x14ac:dyDescent="0.2">
      <c r="A652" s="22">
        <v>488711</v>
      </c>
      <c r="B652" s="4">
        <v>100</v>
      </c>
      <c r="C652" s="4">
        <v>6</v>
      </c>
      <c r="D652" s="33">
        <v>3.3</v>
      </c>
      <c r="E652" s="23">
        <v>1.75</v>
      </c>
      <c r="F652" s="23">
        <f t="shared" si="554"/>
        <v>3.3</v>
      </c>
      <c r="G652" s="23">
        <f t="shared" si="602"/>
        <v>1.75</v>
      </c>
      <c r="H652" s="4">
        <f t="shared" si="672"/>
        <v>3.5767E-2</v>
      </c>
      <c r="I652" s="2">
        <f t="shared" si="673"/>
        <v>0.99091487795275579</v>
      </c>
      <c r="J652" s="4">
        <f t="shared" si="674"/>
        <v>0.42992919704724403</v>
      </c>
      <c r="K652" s="4">
        <f t="shared" si="675"/>
        <v>1.4208440749999998</v>
      </c>
      <c r="L652" s="13">
        <f t="shared" si="676"/>
        <v>2.3048327137546467</v>
      </c>
      <c r="M652" s="3">
        <f t="shared" ref="M652" si="709">AVERAGE(I652:I653)</f>
        <v>0.9749323799212597</v>
      </c>
      <c r="N652" s="3">
        <f t="shared" ref="N652" si="710">AVERAGE(J652:J653)</f>
        <v>0.44591169507874007</v>
      </c>
    </row>
    <row r="653" spans="1:14" x14ac:dyDescent="0.2">
      <c r="A653" s="22"/>
      <c r="B653" s="4">
        <v>100</v>
      </c>
      <c r="C653" s="4">
        <v>6</v>
      </c>
      <c r="D653" s="33">
        <v>3.25</v>
      </c>
      <c r="E653" s="23">
        <v>1.75</v>
      </c>
      <c r="F653" s="23">
        <f t="shared" si="554"/>
        <v>3.25</v>
      </c>
      <c r="G653" s="23">
        <f t="shared" si="602"/>
        <v>1.75</v>
      </c>
      <c r="H653" s="4">
        <f t="shared" si="672"/>
        <v>3.5767E-2</v>
      </c>
      <c r="I653" s="2">
        <f t="shared" si="673"/>
        <v>0.95894988188976371</v>
      </c>
      <c r="J653" s="4">
        <f t="shared" si="674"/>
        <v>0.46189419311023611</v>
      </c>
      <c r="K653" s="4">
        <f t="shared" si="675"/>
        <v>1.4208440749999998</v>
      </c>
      <c r="L653" s="13">
        <f t="shared" si="676"/>
        <v>2.0761245674740487</v>
      </c>
      <c r="M653" s="3"/>
      <c r="N653" s="3"/>
    </row>
    <row r="654" spans="1:14" x14ac:dyDescent="0.2">
      <c r="A654" s="22">
        <v>488712</v>
      </c>
      <c r="B654" s="4">
        <v>100</v>
      </c>
      <c r="C654" s="4">
        <v>7</v>
      </c>
      <c r="D654" s="33">
        <v>7.75</v>
      </c>
      <c r="E654" s="23">
        <v>4.0999999999999996</v>
      </c>
      <c r="F654" s="23">
        <f t="shared" si="554"/>
        <v>7.75</v>
      </c>
      <c r="G654" s="23">
        <f t="shared" si="602"/>
        <v>4.0999999999999996</v>
      </c>
      <c r="H654" s="4">
        <f t="shared" si="672"/>
        <v>9.7450000000000002E-3</v>
      </c>
      <c r="I654" s="2">
        <f t="shared" si="673"/>
        <v>0.63576533464566942</v>
      </c>
      <c r="J654" s="4">
        <f t="shared" si="674"/>
        <v>0.27120181535433058</v>
      </c>
      <c r="K654" s="4">
        <f t="shared" si="675"/>
        <v>0.90696715000000006</v>
      </c>
      <c r="L654" s="13">
        <f t="shared" si="676"/>
        <v>2.3442517662170856</v>
      </c>
      <c r="M654" s="3">
        <f t="shared" ref="M654" si="711">AVERAGE(I654:I655)</f>
        <v>0.64011989173228367</v>
      </c>
      <c r="N654" s="3">
        <f t="shared" ref="N654" si="712">AVERAGE(J654:J655)</f>
        <v>0.26131697076771643</v>
      </c>
    </row>
    <row r="655" spans="1:14" x14ac:dyDescent="0.2">
      <c r="A655" s="22"/>
      <c r="B655" s="4">
        <v>100</v>
      </c>
      <c r="C655" s="4">
        <v>7</v>
      </c>
      <c r="D655" s="33">
        <v>7.75</v>
      </c>
      <c r="E655" s="23">
        <v>4.05</v>
      </c>
      <c r="F655" s="23">
        <f t="shared" si="554"/>
        <v>7.75</v>
      </c>
      <c r="G655" s="23">
        <f t="shared" si="602"/>
        <v>4.05</v>
      </c>
      <c r="H655" s="4">
        <f t="shared" si="672"/>
        <v>9.7450000000000002E-3</v>
      </c>
      <c r="I655" s="2">
        <f t="shared" si="673"/>
        <v>0.64447444881889782</v>
      </c>
      <c r="J655" s="4">
        <f t="shared" si="674"/>
        <v>0.25143212618110228</v>
      </c>
      <c r="K655" s="4">
        <f t="shared" si="675"/>
        <v>0.89590657500000015</v>
      </c>
      <c r="L655" s="13">
        <f t="shared" si="676"/>
        <v>2.5632144094215463</v>
      </c>
      <c r="M655" s="3"/>
      <c r="N655" s="3"/>
    </row>
    <row r="656" spans="1:14" x14ac:dyDescent="0.2">
      <c r="A656" s="22">
        <v>488713</v>
      </c>
      <c r="B656" s="4">
        <v>100</v>
      </c>
      <c r="C656" s="4">
        <v>7</v>
      </c>
      <c r="D656" s="33">
        <v>3.15</v>
      </c>
      <c r="E656" s="23">
        <v>1.75</v>
      </c>
      <c r="F656" s="23">
        <f t="shared" si="554"/>
        <v>3.15</v>
      </c>
      <c r="G656" s="23">
        <f t="shared" si="602"/>
        <v>1.75</v>
      </c>
      <c r="H656" s="4">
        <f t="shared" si="672"/>
        <v>9.7450000000000002E-3</v>
      </c>
      <c r="I656" s="2">
        <f t="shared" si="673"/>
        <v>0.2438551968503937</v>
      </c>
      <c r="J656" s="4">
        <f t="shared" si="674"/>
        <v>0.14326492814960634</v>
      </c>
      <c r="K656" s="4">
        <f t="shared" si="675"/>
        <v>0.38712012500000004</v>
      </c>
      <c r="L656" s="13">
        <f t="shared" si="676"/>
        <v>1.7021276595744677</v>
      </c>
      <c r="M656" s="3">
        <f t="shared" ref="M656" si="713">AVERAGE(I656:I657)</f>
        <v>0.2438551968503937</v>
      </c>
      <c r="N656" s="3">
        <f t="shared" ref="N656" si="714">AVERAGE(J656:J657)</f>
        <v>0.13220435314960632</v>
      </c>
    </row>
    <row r="657" spans="1:14" x14ac:dyDescent="0.2">
      <c r="A657" s="22"/>
      <c r="B657" s="4">
        <v>100</v>
      </c>
      <c r="C657" s="4">
        <v>7</v>
      </c>
      <c r="D657" s="33">
        <v>3.05</v>
      </c>
      <c r="E657" s="23">
        <v>1.65</v>
      </c>
      <c r="F657" s="23">
        <f t="shared" si="554"/>
        <v>3.05</v>
      </c>
      <c r="G657" s="23">
        <f t="shared" si="602"/>
        <v>1.65</v>
      </c>
      <c r="H657" s="4">
        <f t="shared" si="672"/>
        <v>9.7450000000000002E-3</v>
      </c>
      <c r="I657" s="2">
        <f t="shared" si="673"/>
        <v>0.2438551968503937</v>
      </c>
      <c r="J657" s="4">
        <f t="shared" si="674"/>
        <v>0.12114377814960633</v>
      </c>
      <c r="K657" s="4">
        <f t="shared" si="675"/>
        <v>0.364998975</v>
      </c>
      <c r="L657" s="13">
        <f t="shared" si="676"/>
        <v>2.0129403306973392</v>
      </c>
      <c r="M657" s="3"/>
      <c r="N657" s="3"/>
    </row>
    <row r="658" spans="1:14" x14ac:dyDescent="0.2">
      <c r="A658" s="22">
        <v>488714</v>
      </c>
      <c r="B658" s="4">
        <v>100</v>
      </c>
      <c r="C658" s="4">
        <v>8</v>
      </c>
      <c r="D658" s="33">
        <v>3.75</v>
      </c>
      <c r="E658" s="23">
        <v>1.85</v>
      </c>
      <c r="F658" s="23">
        <f t="shared" si="554"/>
        <v>3.75</v>
      </c>
      <c r="G658" s="23">
        <f t="shared" si="602"/>
        <v>1.85</v>
      </c>
      <c r="H658" s="4">
        <f t="shared" si="672"/>
        <v>3.8630000000000001E-3</v>
      </c>
      <c r="I658" s="2">
        <f t="shared" si="673"/>
        <v>0.13118991338582678</v>
      </c>
      <c r="J658" s="4">
        <f t="shared" si="674"/>
        <v>3.1036771614173272E-2</v>
      </c>
      <c r="K658" s="4">
        <f t="shared" si="675"/>
        <v>0.16222668500000004</v>
      </c>
      <c r="L658" s="13">
        <f t="shared" si="676"/>
        <v>4.2269187986651779</v>
      </c>
      <c r="M658" s="3">
        <f t="shared" ref="M658" si="715">AVERAGE(I658:I659)</f>
        <v>0.13464227952755908</v>
      </c>
      <c r="N658" s="3">
        <f t="shared" ref="N658" si="716">AVERAGE(J658:J659)</f>
        <v>3.1968910472440965E-2</v>
      </c>
    </row>
    <row r="659" spans="1:14" x14ac:dyDescent="0.2">
      <c r="A659" s="22"/>
      <c r="B659" s="4">
        <v>100</v>
      </c>
      <c r="C659" s="4">
        <v>8</v>
      </c>
      <c r="D659" s="33">
        <v>3.95</v>
      </c>
      <c r="E659" s="23">
        <v>1.95</v>
      </c>
      <c r="F659" s="23">
        <f t="shared" si="554"/>
        <v>3.95</v>
      </c>
      <c r="G659" s="23">
        <f t="shared" si="602"/>
        <v>1.95</v>
      </c>
      <c r="H659" s="4">
        <f t="shared" si="672"/>
        <v>3.8630000000000001E-3</v>
      </c>
      <c r="I659" s="2">
        <f t="shared" si="673"/>
        <v>0.13809464566929136</v>
      </c>
      <c r="J659" s="4">
        <f t="shared" si="674"/>
        <v>3.290104933070865E-2</v>
      </c>
      <c r="K659" s="4">
        <f t="shared" si="675"/>
        <v>0.170995695</v>
      </c>
      <c r="L659" s="13">
        <f t="shared" si="676"/>
        <v>4.1972717733473264</v>
      </c>
      <c r="M659" s="3"/>
      <c r="N659" s="3"/>
    </row>
    <row r="660" spans="1:14" x14ac:dyDescent="0.2">
      <c r="A660" s="22">
        <v>488715</v>
      </c>
      <c r="B660" s="4">
        <v>100</v>
      </c>
      <c r="C660" s="4">
        <v>8</v>
      </c>
      <c r="D660" s="33">
        <v>4.25</v>
      </c>
      <c r="E660" s="23">
        <v>2.15</v>
      </c>
      <c r="F660" s="23">
        <f t="shared" si="554"/>
        <v>4.25</v>
      </c>
      <c r="G660" s="23">
        <f t="shared" si="602"/>
        <v>2.15</v>
      </c>
      <c r="H660" s="4">
        <f t="shared" si="672"/>
        <v>3.8630000000000001E-3</v>
      </c>
      <c r="I660" s="2">
        <f t="shared" si="673"/>
        <v>0.14499937795275591</v>
      </c>
      <c r="J660" s="4">
        <f t="shared" si="674"/>
        <v>4.3534337047244069E-2</v>
      </c>
      <c r="K660" s="4">
        <f t="shared" si="675"/>
        <v>0.18853371499999999</v>
      </c>
      <c r="L660" s="13">
        <f t="shared" si="676"/>
        <v>3.3306899286280749</v>
      </c>
      <c r="M660" s="3">
        <f t="shared" ref="M660" si="717">AVERAGE(I660:I661)</f>
        <v>0.13464227952755906</v>
      </c>
      <c r="N660" s="3">
        <f t="shared" ref="N660" si="718">AVERAGE(J660:J661)</f>
        <v>4.0737920472440951E-2</v>
      </c>
    </row>
    <row r="661" spans="1:14" x14ac:dyDescent="0.2">
      <c r="A661" s="22"/>
      <c r="B661" s="4">
        <v>100</v>
      </c>
      <c r="C661" s="4">
        <v>8</v>
      </c>
      <c r="D661" s="33">
        <v>3.65</v>
      </c>
      <c r="E661" s="23">
        <v>1.85</v>
      </c>
      <c r="F661" s="23">
        <f t="shared" si="554"/>
        <v>3.65</v>
      </c>
      <c r="G661" s="23">
        <f t="shared" si="602"/>
        <v>1.85</v>
      </c>
      <c r="H661" s="4">
        <f t="shared" si="672"/>
        <v>3.8630000000000001E-3</v>
      </c>
      <c r="I661" s="2">
        <f t="shared" si="673"/>
        <v>0.12428518110236218</v>
      </c>
      <c r="J661" s="4">
        <f t="shared" si="674"/>
        <v>3.7941503897637834E-2</v>
      </c>
      <c r="K661" s="4">
        <f t="shared" si="675"/>
        <v>0.16222668500000001</v>
      </c>
      <c r="L661" s="13">
        <f t="shared" si="676"/>
        <v>3.2757051865332083</v>
      </c>
      <c r="M661" s="3"/>
      <c r="N661" s="3"/>
    </row>
    <row r="662" spans="1:14" x14ac:dyDescent="0.2">
      <c r="A662" s="22">
        <v>488716</v>
      </c>
      <c r="B662" s="4">
        <v>100</v>
      </c>
      <c r="C662" s="4">
        <v>8</v>
      </c>
      <c r="D662" s="33">
        <v>1.65</v>
      </c>
      <c r="E662" s="23">
        <v>1.25</v>
      </c>
      <c r="F662" s="23">
        <f t="shared" si="554"/>
        <v>1.65</v>
      </c>
      <c r="G662" s="23">
        <f t="shared" si="602"/>
        <v>1.25</v>
      </c>
      <c r="H662" s="4">
        <f t="shared" si="672"/>
        <v>3.8630000000000001E-3</v>
      </c>
      <c r="I662" s="2">
        <f t="shared" si="673"/>
        <v>2.7618929133858265E-2</v>
      </c>
      <c r="J662" s="4">
        <f t="shared" si="674"/>
        <v>8.1993695866141733E-2</v>
      </c>
      <c r="K662" s="4">
        <f t="shared" si="675"/>
        <v>0.10961262499999999</v>
      </c>
      <c r="L662" s="13">
        <f t="shared" si="676"/>
        <v>0.33684210526315789</v>
      </c>
      <c r="M662" s="3">
        <f t="shared" ref="M662" si="719">AVERAGE(I662:I663)</f>
        <v>2.7618929133858272E-2</v>
      </c>
      <c r="N662" s="3">
        <f t="shared" ref="N662" si="720">AVERAGE(J662:J663)</f>
        <v>7.7609190866141736E-2</v>
      </c>
    </row>
    <row r="663" spans="1:14" x14ac:dyDescent="0.2">
      <c r="A663" s="22"/>
      <c r="B663" s="4">
        <v>100</v>
      </c>
      <c r="C663" s="4">
        <v>8</v>
      </c>
      <c r="D663" s="33">
        <v>1.55</v>
      </c>
      <c r="E663" s="23">
        <v>1.1499999999999999</v>
      </c>
      <c r="F663" s="23">
        <f t="shared" si="554"/>
        <v>1.55</v>
      </c>
      <c r="G663" s="23">
        <f t="shared" si="602"/>
        <v>1.1499999999999999</v>
      </c>
      <c r="H663" s="4">
        <f t="shared" si="672"/>
        <v>3.8630000000000001E-3</v>
      </c>
      <c r="I663" s="2">
        <f t="shared" si="673"/>
        <v>2.7618929133858276E-2</v>
      </c>
      <c r="J663" s="4">
        <f t="shared" si="674"/>
        <v>7.3224685866141725E-2</v>
      </c>
      <c r="K663" s="4">
        <f t="shared" si="675"/>
        <v>0.100843615</v>
      </c>
      <c r="L663" s="13">
        <f t="shared" si="676"/>
        <v>0.37718057520037734</v>
      </c>
      <c r="M663" s="3"/>
      <c r="N663" s="3"/>
    </row>
    <row r="664" spans="1:14" x14ac:dyDescent="0.2">
      <c r="A664" s="22">
        <v>488717</v>
      </c>
      <c r="B664" s="4">
        <v>100</v>
      </c>
      <c r="C664" s="4">
        <v>8</v>
      </c>
      <c r="D664" s="33">
        <v>1.85</v>
      </c>
      <c r="E664" s="23">
        <v>1.35</v>
      </c>
      <c r="F664" s="23">
        <f t="shared" si="554"/>
        <v>1.85</v>
      </c>
      <c r="G664" s="23">
        <f t="shared" si="602"/>
        <v>1.35</v>
      </c>
      <c r="H664" s="4">
        <f t="shared" si="672"/>
        <v>3.8630000000000001E-3</v>
      </c>
      <c r="I664" s="2">
        <f t="shared" si="673"/>
        <v>3.452366141732284E-2</v>
      </c>
      <c r="J664" s="4">
        <f t="shared" si="674"/>
        <v>8.3857973582677173E-2</v>
      </c>
      <c r="K664" s="4">
        <f t="shared" si="675"/>
        <v>0.11838163500000001</v>
      </c>
      <c r="L664" s="13">
        <f t="shared" si="676"/>
        <v>0.41169205434335121</v>
      </c>
      <c r="M664" s="3">
        <f t="shared" ref="M664" si="721">AVERAGE(I664:I665)</f>
        <v>3.452366141732284E-2</v>
      </c>
      <c r="N664" s="3">
        <f t="shared" ref="N664" si="722">AVERAGE(J664:J665)</f>
        <v>8.3857973582677173E-2</v>
      </c>
    </row>
    <row r="665" spans="1:14" x14ac:dyDescent="0.2">
      <c r="A665" s="22"/>
      <c r="B665" s="4">
        <v>100</v>
      </c>
      <c r="C665" s="4">
        <v>8</v>
      </c>
      <c r="D665" s="33">
        <v>1.85</v>
      </c>
      <c r="E665" s="23">
        <v>1.35</v>
      </c>
      <c r="F665" s="23">
        <f t="shared" si="554"/>
        <v>1.85</v>
      </c>
      <c r="G665" s="23">
        <f t="shared" si="602"/>
        <v>1.35</v>
      </c>
      <c r="H665" s="4">
        <f t="shared" si="672"/>
        <v>3.8630000000000001E-3</v>
      </c>
      <c r="I665" s="2">
        <f t="shared" si="673"/>
        <v>3.452366141732284E-2</v>
      </c>
      <c r="J665" s="4">
        <f t="shared" si="674"/>
        <v>8.3857973582677173E-2</v>
      </c>
      <c r="K665" s="4">
        <f t="shared" si="675"/>
        <v>0.11838163500000001</v>
      </c>
      <c r="L665" s="13">
        <f t="shared" si="676"/>
        <v>0.41169205434335121</v>
      </c>
      <c r="M665" s="3"/>
      <c r="N665" s="3"/>
    </row>
    <row r="666" spans="1:14" x14ac:dyDescent="0.2">
      <c r="A666" s="22">
        <v>488718</v>
      </c>
      <c r="B666" s="4">
        <v>100</v>
      </c>
      <c r="C666" s="4">
        <v>8</v>
      </c>
      <c r="D666" s="33">
        <v>2.25</v>
      </c>
      <c r="E666" s="23">
        <v>1.55</v>
      </c>
      <c r="F666" s="23">
        <f t="shared" si="554"/>
        <v>2.25</v>
      </c>
      <c r="G666" s="23">
        <f t="shared" si="602"/>
        <v>1.55</v>
      </c>
      <c r="H666" s="4">
        <f t="shared" si="672"/>
        <v>3.8630000000000001E-3</v>
      </c>
      <c r="I666" s="2">
        <f t="shared" si="673"/>
        <v>4.8333125984251969E-2</v>
      </c>
      <c r="J666" s="4">
        <f t="shared" si="674"/>
        <v>8.7586529015748038E-2</v>
      </c>
      <c r="K666" s="4">
        <f t="shared" si="675"/>
        <v>0.135919655</v>
      </c>
      <c r="L666" s="13">
        <f t="shared" si="676"/>
        <v>0.55183287347260546</v>
      </c>
      <c r="M666" s="3">
        <f t="shared" ref="M666" si="723">AVERAGE(I666:I667)</f>
        <v>4.6606942913385824E-2</v>
      </c>
      <c r="N666" s="3">
        <f t="shared" ref="N666" si="724">AVERAGE(J666:J667)</f>
        <v>9.3697217086614187E-2</v>
      </c>
    </row>
    <row r="667" spans="1:14" x14ac:dyDescent="0.2">
      <c r="A667" s="22"/>
      <c r="B667" s="4">
        <v>100</v>
      </c>
      <c r="C667" s="4">
        <v>8</v>
      </c>
      <c r="D667" s="33">
        <v>2.2999999999999998</v>
      </c>
      <c r="E667" s="23">
        <v>1.65</v>
      </c>
      <c r="F667" s="23">
        <f t="shared" si="554"/>
        <v>2.2999999999999998</v>
      </c>
      <c r="G667" s="23">
        <f t="shared" si="602"/>
        <v>1.65</v>
      </c>
      <c r="H667" s="4">
        <f t="shared" si="672"/>
        <v>3.8630000000000001E-3</v>
      </c>
      <c r="I667" s="2">
        <f t="shared" si="673"/>
        <v>4.4880759842519685E-2</v>
      </c>
      <c r="J667" s="4">
        <f t="shared" si="674"/>
        <v>9.9807905157480337E-2</v>
      </c>
      <c r="K667" s="4">
        <f t="shared" si="675"/>
        <v>0.14468866500000002</v>
      </c>
      <c r="L667" s="13">
        <f t="shared" si="676"/>
        <v>0.44967139398132122</v>
      </c>
      <c r="M667" s="3"/>
      <c r="N667" s="3"/>
    </row>
    <row r="668" spans="1:14" x14ac:dyDescent="0.2">
      <c r="A668" s="22">
        <v>488719</v>
      </c>
      <c r="B668" s="4">
        <v>100</v>
      </c>
      <c r="C668" s="4">
        <v>7</v>
      </c>
      <c r="D668" s="33">
        <v>5.45</v>
      </c>
      <c r="E668" s="23">
        <v>3.25</v>
      </c>
      <c r="F668" s="23">
        <f t="shared" si="554"/>
        <v>5.45</v>
      </c>
      <c r="G668" s="23">
        <f t="shared" si="602"/>
        <v>3.25</v>
      </c>
      <c r="H668" s="4">
        <f t="shared" si="672"/>
        <v>9.7450000000000002E-3</v>
      </c>
      <c r="I668" s="2">
        <f t="shared" si="673"/>
        <v>0.38320102362204733</v>
      </c>
      <c r="J668" s="4">
        <f t="shared" si="674"/>
        <v>0.33573635137795288</v>
      </c>
      <c r="K668" s="4">
        <f t="shared" si="675"/>
        <v>0.71893737500000021</v>
      </c>
      <c r="L668" s="13">
        <f t="shared" si="676"/>
        <v>1.1413748378728923</v>
      </c>
      <c r="M668" s="3">
        <f t="shared" ref="M668" si="725">AVERAGE(I668:I669)</f>
        <v>0.40061925196850395</v>
      </c>
      <c r="N668" s="3">
        <f t="shared" ref="N668" si="726">AVERAGE(J668:J669)</f>
        <v>0.34043927303149624</v>
      </c>
    </row>
    <row r="669" spans="1:14" x14ac:dyDescent="0.2">
      <c r="A669" s="22"/>
      <c r="B669" s="4">
        <v>100</v>
      </c>
      <c r="C669" s="4">
        <v>7</v>
      </c>
      <c r="D669" s="33">
        <v>5.85</v>
      </c>
      <c r="E669" s="23">
        <v>3.45</v>
      </c>
      <c r="F669" s="23">
        <f t="shared" si="554"/>
        <v>5.85</v>
      </c>
      <c r="G669" s="23">
        <f t="shared" si="602"/>
        <v>3.45</v>
      </c>
      <c r="H669" s="4">
        <f t="shared" si="672"/>
        <v>9.7450000000000002E-3</v>
      </c>
      <c r="I669" s="2">
        <f t="shared" si="673"/>
        <v>0.41803748031496057</v>
      </c>
      <c r="J669" s="4">
        <f t="shared" si="674"/>
        <v>0.34514219468503959</v>
      </c>
      <c r="K669" s="4">
        <f t="shared" si="675"/>
        <v>0.76317967500000017</v>
      </c>
      <c r="L669" s="13">
        <f t="shared" si="676"/>
        <v>1.2112036336108998</v>
      </c>
      <c r="M669" s="3"/>
      <c r="N669" s="3"/>
    </row>
    <row r="670" spans="1:14" x14ac:dyDescent="0.2">
      <c r="A670" s="22">
        <v>488720</v>
      </c>
      <c r="B670" s="4">
        <v>100</v>
      </c>
      <c r="C670" s="4">
        <v>6</v>
      </c>
      <c r="D670" s="33">
        <v>2.2999999999999998</v>
      </c>
      <c r="E670" s="23">
        <v>1.3</v>
      </c>
      <c r="F670" s="23">
        <f t="shared" si="554"/>
        <v>2.2999999999999998</v>
      </c>
      <c r="G670" s="23">
        <f t="shared" si="602"/>
        <v>1.3</v>
      </c>
      <c r="H670" s="4">
        <f t="shared" si="672"/>
        <v>3.5767E-2</v>
      </c>
      <c r="I670" s="2">
        <f t="shared" si="673"/>
        <v>0.63929992125984247</v>
      </c>
      <c r="J670" s="4">
        <f t="shared" si="674"/>
        <v>0.41618424874015764</v>
      </c>
      <c r="K670" s="4">
        <f t="shared" si="675"/>
        <v>1.0554841700000002</v>
      </c>
      <c r="L670" s="13">
        <f t="shared" si="676"/>
        <v>1.5360983102918579</v>
      </c>
      <c r="M670" s="3">
        <f t="shared" ref="M670" si="727">AVERAGE(I670:I671)</f>
        <v>0.65528241929133868</v>
      </c>
      <c r="N670" s="3">
        <f t="shared" ref="N670" si="728">AVERAGE(J670:J671)</f>
        <v>0.44079729570866144</v>
      </c>
    </row>
    <row r="671" spans="1:14" x14ac:dyDescent="0.2">
      <c r="A671" s="22"/>
      <c r="B671" s="4">
        <v>100</v>
      </c>
      <c r="C671" s="4">
        <v>6</v>
      </c>
      <c r="D671" s="33">
        <v>2.4500000000000002</v>
      </c>
      <c r="E671" s="23">
        <v>1.4</v>
      </c>
      <c r="F671" s="23">
        <f t="shared" si="554"/>
        <v>2.4500000000000002</v>
      </c>
      <c r="G671" s="23">
        <f t="shared" si="602"/>
        <v>1.4</v>
      </c>
      <c r="H671" s="4">
        <f t="shared" si="672"/>
        <v>3.5767E-2</v>
      </c>
      <c r="I671" s="2">
        <f t="shared" si="673"/>
        <v>0.67126491732283489</v>
      </c>
      <c r="J671" s="4">
        <f t="shared" si="674"/>
        <v>0.46541034267716519</v>
      </c>
      <c r="K671" s="4">
        <f t="shared" si="675"/>
        <v>1.1366752600000001</v>
      </c>
      <c r="L671" s="13">
        <f t="shared" si="676"/>
        <v>1.4423076923076934</v>
      </c>
      <c r="M671" s="3"/>
      <c r="N671" s="3"/>
    </row>
    <row r="672" spans="1:14" x14ac:dyDescent="0.2">
      <c r="A672" s="22">
        <v>488721</v>
      </c>
      <c r="B672" s="4">
        <v>100</v>
      </c>
      <c r="C672" s="4">
        <v>7</v>
      </c>
      <c r="D672" s="33">
        <v>3.1</v>
      </c>
      <c r="E672" s="23">
        <v>1.65</v>
      </c>
      <c r="F672" s="23">
        <f t="shared" si="554"/>
        <v>3.1</v>
      </c>
      <c r="G672" s="23">
        <f t="shared" si="602"/>
        <v>1.65</v>
      </c>
      <c r="H672" s="4">
        <f t="shared" si="672"/>
        <v>9.7450000000000002E-3</v>
      </c>
      <c r="I672" s="2">
        <f t="shared" si="673"/>
        <v>0.25256431102362209</v>
      </c>
      <c r="J672" s="4">
        <f t="shared" si="674"/>
        <v>0.11243466397637798</v>
      </c>
      <c r="K672" s="4">
        <f t="shared" si="675"/>
        <v>0.36499897500000006</v>
      </c>
      <c r="L672" s="13">
        <f t="shared" si="676"/>
        <v>2.2463206816421377</v>
      </c>
      <c r="M672" s="3">
        <f t="shared" ref="M672" si="729">AVERAGE(I672:I673)</f>
        <v>0.25256431102362203</v>
      </c>
      <c r="N672" s="3">
        <f t="shared" ref="N672" si="730">AVERAGE(J672:J673)</f>
        <v>0.10690437647637802</v>
      </c>
    </row>
    <row r="673" spans="1:14" x14ac:dyDescent="0.2">
      <c r="A673" s="22"/>
      <c r="B673" s="4">
        <v>100</v>
      </c>
      <c r="C673" s="4">
        <v>7</v>
      </c>
      <c r="D673" s="33">
        <v>3.05</v>
      </c>
      <c r="E673" s="23">
        <v>1.6</v>
      </c>
      <c r="F673" s="23">
        <f t="shared" si="554"/>
        <v>3.05</v>
      </c>
      <c r="G673" s="23">
        <f t="shared" si="602"/>
        <v>1.6</v>
      </c>
      <c r="H673" s="4">
        <f t="shared" si="672"/>
        <v>9.7450000000000002E-3</v>
      </c>
      <c r="I673" s="2">
        <f t="shared" si="673"/>
        <v>0.25256431102362198</v>
      </c>
      <c r="J673" s="4">
        <f t="shared" si="674"/>
        <v>0.10137408897637804</v>
      </c>
      <c r="K673" s="4">
        <f t="shared" si="675"/>
        <v>0.35393839999999999</v>
      </c>
      <c r="L673" s="13">
        <f t="shared" si="676"/>
        <v>2.4914089347079011</v>
      </c>
      <c r="M673" s="3"/>
      <c r="N673" s="3"/>
    </row>
    <row r="674" spans="1:14" x14ac:dyDescent="0.2">
      <c r="A674" s="22">
        <v>488722</v>
      </c>
      <c r="B674" s="4">
        <v>100</v>
      </c>
      <c r="C674" s="4">
        <v>8</v>
      </c>
      <c r="D674" s="33">
        <v>4.55</v>
      </c>
      <c r="E674" s="23">
        <v>2.2999999999999998</v>
      </c>
      <c r="F674" s="23">
        <f t="shared" si="554"/>
        <v>4.55</v>
      </c>
      <c r="G674" s="23">
        <f t="shared" si="602"/>
        <v>2.2999999999999998</v>
      </c>
      <c r="H674" s="4">
        <f t="shared" si="672"/>
        <v>3.8630000000000001E-3</v>
      </c>
      <c r="I674" s="2">
        <f t="shared" si="673"/>
        <v>0.15535647637795277</v>
      </c>
      <c r="J674" s="4">
        <f t="shared" si="674"/>
        <v>4.6330753622047229E-2</v>
      </c>
      <c r="K674" s="4">
        <f t="shared" si="675"/>
        <v>0.20168723</v>
      </c>
      <c r="L674" s="13">
        <f t="shared" si="676"/>
        <v>3.3532041728763056</v>
      </c>
      <c r="M674" s="3">
        <f t="shared" ref="M674" si="731">AVERAGE(I674:I675)</f>
        <v>0.15880884251968508</v>
      </c>
      <c r="N674" s="3">
        <f t="shared" ref="N674" si="732">AVERAGE(J674:J675)</f>
        <v>4.5070639980314964E-2</v>
      </c>
    </row>
    <row r="675" spans="1:14" x14ac:dyDescent="0.2">
      <c r="A675" s="22"/>
      <c r="B675" s="4">
        <v>100</v>
      </c>
      <c r="C675" s="4">
        <v>8</v>
      </c>
      <c r="D675" s="33">
        <v>4.7</v>
      </c>
      <c r="E675" s="23">
        <v>2.35</v>
      </c>
      <c r="F675" s="23">
        <f t="shared" si="554"/>
        <v>4.7</v>
      </c>
      <c r="G675" s="23">
        <f t="shared" si="602"/>
        <v>2.35</v>
      </c>
      <c r="H675" s="4">
        <f t="shared" si="672"/>
        <v>3.8630000000000001E-3</v>
      </c>
      <c r="I675" s="2">
        <f t="shared" si="673"/>
        <v>0.16226120866141736</v>
      </c>
      <c r="J675" s="4">
        <f t="shared" si="674"/>
        <v>4.3810526338582692E-2</v>
      </c>
      <c r="K675" s="4">
        <f t="shared" si="675"/>
        <v>0.20607173500000003</v>
      </c>
      <c r="L675" s="13">
        <f t="shared" si="676"/>
        <v>3.7037037037037033</v>
      </c>
      <c r="M675" s="3"/>
      <c r="N675" s="3"/>
    </row>
    <row r="676" spans="1:14" x14ac:dyDescent="0.2">
      <c r="A676" s="22">
        <v>488723</v>
      </c>
      <c r="B676" s="4">
        <v>100</v>
      </c>
      <c r="C676" s="4">
        <v>8</v>
      </c>
      <c r="D676" s="33">
        <v>3.65</v>
      </c>
      <c r="E676" s="23">
        <v>1.75</v>
      </c>
      <c r="F676" s="23">
        <f t="shared" si="554"/>
        <v>3.65</v>
      </c>
      <c r="G676" s="23">
        <f t="shared" si="602"/>
        <v>1.75</v>
      </c>
      <c r="H676" s="4">
        <f t="shared" si="672"/>
        <v>3.8630000000000001E-3</v>
      </c>
      <c r="I676" s="2">
        <f t="shared" si="673"/>
        <v>0.13118991338582678</v>
      </c>
      <c r="J676" s="4">
        <f t="shared" si="674"/>
        <v>2.2267761614173227E-2</v>
      </c>
      <c r="K676" s="4">
        <f t="shared" si="675"/>
        <v>0.15345767500000002</v>
      </c>
      <c r="L676" s="13">
        <f t="shared" si="676"/>
        <v>5.891472868217055</v>
      </c>
      <c r="M676" s="3">
        <f t="shared" ref="M676" si="733">AVERAGE(I676:I677)</f>
        <v>0.12946373031496061</v>
      </c>
      <c r="N676" s="3">
        <f t="shared" ref="N676" si="734">AVERAGE(J676:J677)</f>
        <v>2.8378449685039393E-2</v>
      </c>
    </row>
    <row r="677" spans="1:14" x14ac:dyDescent="0.2">
      <c r="A677" s="22"/>
      <c r="B677" s="4">
        <v>100</v>
      </c>
      <c r="C677" s="4">
        <v>8</v>
      </c>
      <c r="D677" s="33">
        <v>3.7</v>
      </c>
      <c r="E677" s="23">
        <v>1.85</v>
      </c>
      <c r="F677" s="23">
        <f t="shared" si="554"/>
        <v>3.7</v>
      </c>
      <c r="G677" s="23">
        <f t="shared" si="602"/>
        <v>1.85</v>
      </c>
      <c r="H677" s="4">
        <f t="shared" si="672"/>
        <v>3.8630000000000001E-3</v>
      </c>
      <c r="I677" s="2">
        <f t="shared" si="673"/>
        <v>0.12773754724409447</v>
      </c>
      <c r="J677" s="4">
        <f t="shared" si="674"/>
        <v>3.4489137755905556E-2</v>
      </c>
      <c r="K677" s="4">
        <f t="shared" si="675"/>
        <v>0.16222668500000004</v>
      </c>
      <c r="L677" s="13">
        <f t="shared" si="676"/>
        <v>3.7037037037036984</v>
      </c>
      <c r="M677" s="3"/>
      <c r="N677" s="3"/>
    </row>
    <row r="678" spans="1:14" x14ac:dyDescent="0.2">
      <c r="A678" s="22">
        <v>488724</v>
      </c>
      <c r="B678" s="4">
        <v>100</v>
      </c>
      <c r="C678" s="4">
        <v>8</v>
      </c>
      <c r="D678" s="33">
        <v>1.85</v>
      </c>
      <c r="E678" s="23">
        <v>1.35</v>
      </c>
      <c r="F678" s="23">
        <f t="shared" si="554"/>
        <v>1.85</v>
      </c>
      <c r="G678" s="23">
        <f t="shared" si="602"/>
        <v>1.35</v>
      </c>
      <c r="H678" s="4">
        <f t="shared" si="672"/>
        <v>3.8630000000000001E-3</v>
      </c>
      <c r="I678" s="2">
        <f t="shared" si="673"/>
        <v>3.452366141732284E-2</v>
      </c>
      <c r="J678" s="4">
        <f t="shared" si="674"/>
        <v>8.3857973582677173E-2</v>
      </c>
      <c r="K678" s="4">
        <f t="shared" si="675"/>
        <v>0.11838163500000001</v>
      </c>
      <c r="L678" s="13">
        <f t="shared" si="676"/>
        <v>0.41169205434335121</v>
      </c>
      <c r="M678" s="3">
        <f t="shared" ref="M678" si="735">AVERAGE(I678:I679)</f>
        <v>2.7618929133858272E-2</v>
      </c>
      <c r="N678" s="3">
        <f t="shared" ref="N678" si="736">AVERAGE(J678:J679)</f>
        <v>7.7609190866141736E-2</v>
      </c>
    </row>
    <row r="679" spans="1:14" x14ac:dyDescent="0.2">
      <c r="A679" s="22"/>
      <c r="B679" s="4">
        <v>100</v>
      </c>
      <c r="C679" s="4">
        <v>8</v>
      </c>
      <c r="D679" s="33">
        <v>1.35</v>
      </c>
      <c r="E679" s="23">
        <v>1.05</v>
      </c>
      <c r="F679" s="23">
        <f t="shared" si="554"/>
        <v>1.35</v>
      </c>
      <c r="G679" s="23">
        <f t="shared" si="602"/>
        <v>1.05</v>
      </c>
      <c r="H679" s="4">
        <f t="shared" si="672"/>
        <v>3.8630000000000001E-3</v>
      </c>
      <c r="I679" s="2">
        <f t="shared" si="673"/>
        <v>2.0714196850393704E-2</v>
      </c>
      <c r="J679" s="4">
        <f t="shared" si="674"/>
        <v>7.1360408149606314E-2</v>
      </c>
      <c r="K679" s="4">
        <f t="shared" si="675"/>
        <v>9.2074605000000018E-2</v>
      </c>
      <c r="L679" s="13">
        <f t="shared" si="676"/>
        <v>0.29027576197387517</v>
      </c>
      <c r="M679" s="3"/>
      <c r="N679" s="3"/>
    </row>
    <row r="680" spans="1:14" x14ac:dyDescent="0.2">
      <c r="A680" s="22">
        <v>488725</v>
      </c>
      <c r="B680" s="4">
        <v>100</v>
      </c>
      <c r="C680" s="4">
        <v>8</v>
      </c>
      <c r="D680" s="33">
        <v>1.25</v>
      </c>
      <c r="E680" s="23">
        <v>1</v>
      </c>
      <c r="F680" s="23">
        <f t="shared" si="554"/>
        <v>1.25</v>
      </c>
      <c r="G680" s="23">
        <f t="shared" si="602"/>
        <v>1</v>
      </c>
      <c r="H680" s="4">
        <f t="shared" si="672"/>
        <v>3.8630000000000001E-3</v>
      </c>
      <c r="I680" s="2">
        <f t="shared" si="673"/>
        <v>1.726183070866142E-2</v>
      </c>
      <c r="J680" s="4">
        <f t="shared" si="674"/>
        <v>7.042826929133858E-2</v>
      </c>
      <c r="K680" s="4">
        <f t="shared" si="675"/>
        <v>8.7690099999999993E-2</v>
      </c>
      <c r="L680" s="13">
        <f t="shared" si="676"/>
        <v>0.24509803921568632</v>
      </c>
      <c r="M680" s="3">
        <f t="shared" ref="M680" si="737">AVERAGE(I680:I681)</f>
        <v>1.5535647637795276E-2</v>
      </c>
      <c r="N680" s="3">
        <f t="shared" ref="N680" si="738">AVERAGE(J680:J681)</f>
        <v>7.2154452362204718E-2</v>
      </c>
    </row>
    <row r="681" spans="1:14" x14ac:dyDescent="0.2">
      <c r="A681" s="22"/>
      <c r="B681" s="4">
        <v>100</v>
      </c>
      <c r="C681" s="4">
        <v>8</v>
      </c>
      <c r="D681" s="33">
        <v>1.2</v>
      </c>
      <c r="E681" s="23">
        <v>1</v>
      </c>
      <c r="F681" s="23">
        <f t="shared" si="554"/>
        <v>1.2</v>
      </c>
      <c r="G681" s="23">
        <f t="shared" si="602"/>
        <v>1</v>
      </c>
      <c r="H681" s="4">
        <f t="shared" si="672"/>
        <v>3.8630000000000001E-3</v>
      </c>
      <c r="I681" s="2">
        <f t="shared" si="673"/>
        <v>1.3809464566929133E-2</v>
      </c>
      <c r="J681" s="4">
        <f t="shared" si="674"/>
        <v>7.3880635433070871E-2</v>
      </c>
      <c r="K681" s="4">
        <f t="shared" si="675"/>
        <v>8.7690100000000007E-2</v>
      </c>
      <c r="L681" s="13">
        <f t="shared" si="676"/>
        <v>0.18691588785046725</v>
      </c>
      <c r="M681" s="3"/>
      <c r="N681" s="3"/>
    </row>
    <row r="682" spans="1:14" x14ac:dyDescent="0.2">
      <c r="A682" s="22">
        <v>488726</v>
      </c>
      <c r="B682" s="4">
        <v>100</v>
      </c>
      <c r="C682" s="4">
        <v>8</v>
      </c>
      <c r="D682" s="33">
        <v>3.25</v>
      </c>
      <c r="E682" s="23">
        <v>2.2999999999999998</v>
      </c>
      <c r="F682" s="23">
        <f t="shared" si="554"/>
        <v>3.25</v>
      </c>
      <c r="G682" s="23">
        <f t="shared" si="602"/>
        <v>2.2999999999999998</v>
      </c>
      <c r="H682" s="4">
        <f t="shared" si="672"/>
        <v>3.8630000000000001E-3</v>
      </c>
      <c r="I682" s="2">
        <f t="shared" si="673"/>
        <v>6.5594956692913403E-2</v>
      </c>
      <c r="J682" s="4">
        <f t="shared" si="674"/>
        <v>0.13609227330708656</v>
      </c>
      <c r="K682" s="4">
        <f t="shared" si="675"/>
        <v>0.20168722999999997</v>
      </c>
      <c r="L682" s="13">
        <f t="shared" si="676"/>
        <v>0.48198883815322202</v>
      </c>
      <c r="M682" s="3">
        <f t="shared" ref="M682" si="739">AVERAGE(I682:I683)</f>
        <v>6.3868773622047265E-2</v>
      </c>
      <c r="N682" s="3">
        <f t="shared" ref="N682" si="740">AVERAGE(J682:J683)</f>
        <v>0.12685719387795272</v>
      </c>
    </row>
    <row r="683" spans="1:14" x14ac:dyDescent="0.2">
      <c r="A683" s="22"/>
      <c r="B683" s="4">
        <v>100</v>
      </c>
      <c r="C683" s="4">
        <v>8</v>
      </c>
      <c r="D683" s="33">
        <v>2.95</v>
      </c>
      <c r="E683" s="23">
        <v>2.0499999999999998</v>
      </c>
      <c r="F683" s="23">
        <f t="shared" si="554"/>
        <v>2.95</v>
      </c>
      <c r="G683" s="23">
        <f t="shared" si="602"/>
        <v>2.0499999999999998</v>
      </c>
      <c r="H683" s="4">
        <f t="shared" si="672"/>
        <v>3.8630000000000001E-3</v>
      </c>
      <c r="I683" s="2">
        <f t="shared" si="673"/>
        <v>6.2142590551181126E-2</v>
      </c>
      <c r="J683" s="4">
        <f t="shared" si="674"/>
        <v>0.11762211444881888</v>
      </c>
      <c r="K683" s="4">
        <f t="shared" si="675"/>
        <v>0.17976470500000002</v>
      </c>
      <c r="L683" s="13">
        <f t="shared" si="676"/>
        <v>0.5283240387437631</v>
      </c>
      <c r="M683" s="3"/>
      <c r="N683" s="3"/>
    </row>
    <row r="684" spans="1:14" x14ac:dyDescent="0.2">
      <c r="A684" s="22">
        <v>488727</v>
      </c>
      <c r="B684" s="4">
        <v>100</v>
      </c>
      <c r="C684" s="4">
        <v>8</v>
      </c>
      <c r="D684" s="33">
        <v>4.05</v>
      </c>
      <c r="E684" s="23">
        <v>2.75</v>
      </c>
      <c r="F684" s="23">
        <f t="shared" si="554"/>
        <v>4.05</v>
      </c>
      <c r="G684" s="23">
        <f t="shared" si="602"/>
        <v>2.75</v>
      </c>
      <c r="H684" s="4">
        <f t="shared" ref="H684:H729" si="741">IF(C684=1,32.7101,IF(C684=2,8.14893,IF(C684=3,1.42818,IF(C684=4,0.44041,IF(C684=5,0.123026,IF(C684=6,0.035767,IF(C684=7,0.009745,0.003863)))))))</f>
        <v>3.8630000000000001E-3</v>
      </c>
      <c r="I684" s="2">
        <f t="shared" ref="I684:I729" si="742">H684*$A$3*(F684-G684)*1000/B684</f>
        <v>8.976151968503937E-2</v>
      </c>
      <c r="J684" s="4">
        <f t="shared" ref="J684:J729" si="743">2.27*($A$3*G684-($A$3-1)*F684)*H684*1000/B684</f>
        <v>0.15138625531496064</v>
      </c>
      <c r="K684" s="4">
        <f t="shared" ref="K684:K729" si="744">(I684+J684)</f>
        <v>0.24114777500000001</v>
      </c>
      <c r="L684" s="13">
        <f t="shared" ref="L684:L729" si="745">(I684/J684)</f>
        <v>0.59293044469783351</v>
      </c>
      <c r="M684" s="3">
        <f t="shared" ref="M684" si="746">AVERAGE(I684:I685)</f>
        <v>9.3213885826771675E-2</v>
      </c>
      <c r="N684" s="3">
        <f t="shared" ref="N684" si="747">AVERAGE(J684:J685)</f>
        <v>0.13916487917322837</v>
      </c>
    </row>
    <row r="685" spans="1:14" x14ac:dyDescent="0.2">
      <c r="A685" s="22"/>
      <c r="B685" s="4">
        <v>100</v>
      </c>
      <c r="C685" s="4">
        <v>8</v>
      </c>
      <c r="D685" s="33">
        <v>3.95</v>
      </c>
      <c r="E685" s="23">
        <v>2.5499999999999998</v>
      </c>
      <c r="F685" s="23">
        <f t="shared" si="554"/>
        <v>3.95</v>
      </c>
      <c r="G685" s="23">
        <f t="shared" si="602"/>
        <v>2.5499999999999998</v>
      </c>
      <c r="H685" s="4">
        <f t="shared" si="741"/>
        <v>3.8630000000000001E-3</v>
      </c>
      <c r="I685" s="2">
        <f t="shared" si="742"/>
        <v>9.6666251968503966E-2</v>
      </c>
      <c r="J685" s="4">
        <f t="shared" si="743"/>
        <v>0.1269435030314961</v>
      </c>
      <c r="K685" s="4">
        <f t="shared" si="744"/>
        <v>0.22360975500000008</v>
      </c>
      <c r="L685" s="13">
        <f t="shared" si="745"/>
        <v>0.76149034539026383</v>
      </c>
      <c r="M685" s="3"/>
      <c r="N685" s="3"/>
    </row>
    <row r="686" spans="1:14" x14ac:dyDescent="0.2">
      <c r="A686" s="22">
        <v>488728</v>
      </c>
      <c r="B686" s="4">
        <v>100</v>
      </c>
      <c r="C686" s="4">
        <v>7</v>
      </c>
      <c r="D686" s="33">
        <v>4.5</v>
      </c>
      <c r="E686" s="23">
        <v>2.8</v>
      </c>
      <c r="F686" s="23">
        <f t="shared" si="554"/>
        <v>4.5</v>
      </c>
      <c r="G686" s="23">
        <f t="shared" si="602"/>
        <v>2.8</v>
      </c>
      <c r="H686" s="4">
        <f t="shared" si="741"/>
        <v>9.7450000000000002E-3</v>
      </c>
      <c r="I686" s="2">
        <f t="shared" si="742"/>
        <v>0.29610988188976384</v>
      </c>
      <c r="J686" s="4">
        <f t="shared" si="743"/>
        <v>0.32328231811023611</v>
      </c>
      <c r="K686" s="4">
        <f t="shared" si="744"/>
        <v>0.61939219999999995</v>
      </c>
      <c r="L686" s="13">
        <f t="shared" si="745"/>
        <v>0.91594827586206951</v>
      </c>
      <c r="M686" s="3">
        <f t="shared" ref="M686" si="748">AVERAGE(I686:I687)</f>
        <v>0.30046443897637798</v>
      </c>
      <c r="N686" s="3">
        <f t="shared" ref="N686" si="749">AVERAGE(J686:J687)</f>
        <v>0.30786718602362195</v>
      </c>
    </row>
    <row r="687" spans="1:14" x14ac:dyDescent="0.2">
      <c r="A687" s="22"/>
      <c r="B687" s="4">
        <v>100</v>
      </c>
      <c r="C687" s="4">
        <v>7</v>
      </c>
      <c r="D687" s="33">
        <v>4.45</v>
      </c>
      <c r="E687" s="23">
        <v>2.7</v>
      </c>
      <c r="F687" s="23">
        <f t="shared" si="554"/>
        <v>4.45</v>
      </c>
      <c r="G687" s="23">
        <f t="shared" si="602"/>
        <v>2.7</v>
      </c>
      <c r="H687" s="4">
        <f t="shared" si="741"/>
        <v>9.7450000000000002E-3</v>
      </c>
      <c r="I687" s="2">
        <f t="shared" si="742"/>
        <v>0.30481899606299218</v>
      </c>
      <c r="J687" s="4">
        <f t="shared" si="743"/>
        <v>0.29245205393700785</v>
      </c>
      <c r="K687" s="4">
        <f t="shared" si="744"/>
        <v>0.59727105000000003</v>
      </c>
      <c r="L687" s="13">
        <f t="shared" si="745"/>
        <v>1.0422870756402622</v>
      </c>
      <c r="M687" s="3"/>
      <c r="N687" s="3"/>
    </row>
    <row r="688" spans="1:14" x14ac:dyDescent="0.2">
      <c r="A688" s="22">
        <v>488729</v>
      </c>
      <c r="B688" s="4">
        <v>100</v>
      </c>
      <c r="C688" s="4">
        <v>6</v>
      </c>
      <c r="D688" s="33">
        <v>3.05</v>
      </c>
      <c r="E688" s="23">
        <v>1.65</v>
      </c>
      <c r="F688" s="23">
        <f t="shared" si="554"/>
        <v>3.05</v>
      </c>
      <c r="G688" s="23">
        <f t="shared" si="602"/>
        <v>1.65</v>
      </c>
      <c r="H688" s="4">
        <f t="shared" si="741"/>
        <v>3.5767E-2</v>
      </c>
      <c r="I688" s="2">
        <f t="shared" si="742"/>
        <v>0.89501988976377955</v>
      </c>
      <c r="J688" s="4">
        <f t="shared" si="743"/>
        <v>0.44463309523622058</v>
      </c>
      <c r="K688" s="4">
        <f t="shared" si="744"/>
        <v>1.3396529850000001</v>
      </c>
      <c r="L688" s="13">
        <f t="shared" si="745"/>
        <v>2.0129403306973397</v>
      </c>
      <c r="M688" s="3">
        <f t="shared" ref="M688" si="750">AVERAGE(I688:I689)</f>
        <v>0.86305489370078736</v>
      </c>
      <c r="N688" s="3">
        <f t="shared" ref="N688" si="751">AVERAGE(J688:J689)</f>
        <v>0.43600254629921259</v>
      </c>
    </row>
    <row r="689" spans="1:14" x14ac:dyDescent="0.2">
      <c r="A689" s="22"/>
      <c r="B689" s="4">
        <v>100</v>
      </c>
      <c r="C689" s="4">
        <v>6</v>
      </c>
      <c r="D689" s="33">
        <v>2.85</v>
      </c>
      <c r="E689" s="23">
        <v>1.55</v>
      </c>
      <c r="F689" s="23">
        <f t="shared" si="554"/>
        <v>2.85</v>
      </c>
      <c r="G689" s="23">
        <f t="shared" si="602"/>
        <v>1.55</v>
      </c>
      <c r="H689" s="4">
        <f t="shared" si="741"/>
        <v>3.5767E-2</v>
      </c>
      <c r="I689" s="2">
        <f t="shared" si="742"/>
        <v>0.83108989763779528</v>
      </c>
      <c r="J689" s="4">
        <f t="shared" si="743"/>
        <v>0.4273719973622046</v>
      </c>
      <c r="K689" s="4">
        <f t="shared" si="744"/>
        <v>1.2584618949999999</v>
      </c>
      <c r="L689" s="13">
        <f t="shared" si="745"/>
        <v>1.9446522064323117</v>
      </c>
      <c r="M689" s="3"/>
      <c r="N689" s="3"/>
    </row>
    <row r="690" spans="1:14" x14ac:dyDescent="0.2">
      <c r="A690" s="22">
        <v>488730</v>
      </c>
      <c r="B690" s="4">
        <v>100</v>
      </c>
      <c r="C690" s="4">
        <v>7</v>
      </c>
      <c r="D690" s="33">
        <v>4.9000000000000004</v>
      </c>
      <c r="E690" s="23">
        <v>2.65</v>
      </c>
      <c r="F690" s="23">
        <f t="shared" si="554"/>
        <v>4.9000000000000004</v>
      </c>
      <c r="G690" s="23">
        <f t="shared" si="602"/>
        <v>2.65</v>
      </c>
      <c r="H690" s="4">
        <f t="shared" si="741"/>
        <v>9.7450000000000002E-3</v>
      </c>
      <c r="I690" s="2">
        <f t="shared" si="742"/>
        <v>0.39191013779527573</v>
      </c>
      <c r="J690" s="4">
        <f t="shared" si="743"/>
        <v>0.19430033720472431</v>
      </c>
      <c r="K690" s="4">
        <f t="shared" si="744"/>
        <v>0.58621047500000001</v>
      </c>
      <c r="L690" s="13">
        <f t="shared" si="745"/>
        <v>2.0170327207530274</v>
      </c>
      <c r="M690" s="3">
        <f t="shared" ref="M690" si="752">AVERAGE(I690:I691)</f>
        <v>0.39191013779527573</v>
      </c>
      <c r="N690" s="3">
        <f t="shared" ref="N690" si="753">AVERAGE(J690:J691)</f>
        <v>0.19430033720472431</v>
      </c>
    </row>
    <row r="691" spans="1:14" x14ac:dyDescent="0.2">
      <c r="A691" s="22"/>
      <c r="B691" s="4">
        <v>100</v>
      </c>
      <c r="C691" s="4">
        <v>7</v>
      </c>
      <c r="D691" s="33">
        <v>4.9000000000000004</v>
      </c>
      <c r="E691" s="23">
        <v>2.65</v>
      </c>
      <c r="F691" s="23">
        <f t="shared" si="554"/>
        <v>4.9000000000000004</v>
      </c>
      <c r="G691" s="23">
        <f t="shared" si="602"/>
        <v>2.65</v>
      </c>
      <c r="H691" s="4">
        <f t="shared" si="741"/>
        <v>9.7450000000000002E-3</v>
      </c>
      <c r="I691" s="2">
        <f t="shared" si="742"/>
        <v>0.39191013779527573</v>
      </c>
      <c r="J691" s="4">
        <f t="shared" si="743"/>
        <v>0.19430033720472431</v>
      </c>
      <c r="K691" s="4">
        <f t="shared" si="744"/>
        <v>0.58621047500000001</v>
      </c>
      <c r="L691" s="13">
        <f t="shared" si="745"/>
        <v>2.0170327207530274</v>
      </c>
      <c r="M691" s="3"/>
      <c r="N691" s="3"/>
    </row>
    <row r="692" spans="1:14" x14ac:dyDescent="0.2">
      <c r="A692" s="22">
        <v>488731</v>
      </c>
      <c r="B692" s="4">
        <v>100</v>
      </c>
      <c r="C692" s="4">
        <v>7</v>
      </c>
      <c r="D692" s="33">
        <v>2.65</v>
      </c>
      <c r="E692" s="23">
        <v>1.35</v>
      </c>
      <c r="F692" s="23">
        <f t="shared" si="554"/>
        <v>2.65</v>
      </c>
      <c r="G692" s="23">
        <f t="shared" si="602"/>
        <v>1.35</v>
      </c>
      <c r="H692" s="4">
        <f t="shared" si="741"/>
        <v>9.7450000000000002E-3</v>
      </c>
      <c r="I692" s="2">
        <f t="shared" si="742"/>
        <v>0.22643696850393699</v>
      </c>
      <c r="J692" s="4">
        <f t="shared" si="743"/>
        <v>7.2198556496063035E-2</v>
      </c>
      <c r="K692" s="4">
        <f t="shared" si="744"/>
        <v>0.29863552500000001</v>
      </c>
      <c r="L692" s="13">
        <f t="shared" si="745"/>
        <v>3.1363088057901063</v>
      </c>
      <c r="M692" s="3">
        <f t="shared" ref="M692" si="754">AVERAGE(I692:I693)</f>
        <v>0.22643696850393702</v>
      </c>
      <c r="N692" s="3">
        <f t="shared" ref="N692" si="755">AVERAGE(J692:J693)</f>
        <v>6.6668268996062999E-2</v>
      </c>
    </row>
    <row r="693" spans="1:14" x14ac:dyDescent="0.2">
      <c r="A693" s="22"/>
      <c r="B693" s="4">
        <v>100</v>
      </c>
      <c r="C693" s="4">
        <v>7</v>
      </c>
      <c r="D693" s="33">
        <v>2.6</v>
      </c>
      <c r="E693" s="23">
        <v>1.3</v>
      </c>
      <c r="F693" s="23">
        <f t="shared" si="554"/>
        <v>2.6</v>
      </c>
      <c r="G693" s="23">
        <f t="shared" si="602"/>
        <v>1.3</v>
      </c>
      <c r="H693" s="4">
        <f t="shared" si="741"/>
        <v>9.7450000000000002E-3</v>
      </c>
      <c r="I693" s="2">
        <f t="shared" si="742"/>
        <v>0.22643696850393705</v>
      </c>
      <c r="J693" s="4">
        <f t="shared" si="743"/>
        <v>6.1137981496062969E-2</v>
      </c>
      <c r="K693" s="4">
        <f t="shared" si="744"/>
        <v>0.28757495</v>
      </c>
      <c r="L693" s="13">
        <f t="shared" si="745"/>
        <v>3.7037037037037059</v>
      </c>
      <c r="M693" s="3"/>
      <c r="N693" s="3"/>
    </row>
    <row r="694" spans="1:14" x14ac:dyDescent="0.2">
      <c r="A694" s="22">
        <v>488732</v>
      </c>
      <c r="B694" s="4">
        <v>100</v>
      </c>
      <c r="C694" s="4">
        <v>7</v>
      </c>
      <c r="D694" s="33">
        <v>2.25</v>
      </c>
      <c r="E694" s="23">
        <v>1.1000000000000001</v>
      </c>
      <c r="F694" s="23">
        <f t="shared" si="554"/>
        <v>2.25</v>
      </c>
      <c r="G694" s="23">
        <f t="shared" si="602"/>
        <v>1.1000000000000001</v>
      </c>
      <c r="H694" s="4">
        <f t="shared" si="741"/>
        <v>9.7450000000000002E-3</v>
      </c>
      <c r="I694" s="2">
        <f t="shared" si="742"/>
        <v>0.20030962598425198</v>
      </c>
      <c r="J694" s="4">
        <f t="shared" si="743"/>
        <v>4.3023024015748063E-2</v>
      </c>
      <c r="K694" s="4">
        <f t="shared" si="744"/>
        <v>0.24333265000000004</v>
      </c>
      <c r="L694" s="13">
        <f t="shared" si="745"/>
        <v>4.6558704453441262</v>
      </c>
      <c r="M694" s="3">
        <f t="shared" ref="M694" si="756">AVERAGE(I694:I695)</f>
        <v>0.19160051181102361</v>
      </c>
      <c r="N694" s="3">
        <f t="shared" ref="N694" si="757">AVERAGE(J694:J695)</f>
        <v>4.6201850688976392E-2</v>
      </c>
    </row>
    <row r="695" spans="1:14" x14ac:dyDescent="0.2">
      <c r="A695" s="22"/>
      <c r="B695" s="4">
        <v>100</v>
      </c>
      <c r="C695" s="4">
        <v>7</v>
      </c>
      <c r="D695" s="33">
        <v>2.1</v>
      </c>
      <c r="E695" s="23">
        <v>1.05</v>
      </c>
      <c r="F695" s="23">
        <f t="shared" si="554"/>
        <v>2.1</v>
      </c>
      <c r="G695" s="23">
        <f t="shared" si="602"/>
        <v>1.05</v>
      </c>
      <c r="H695" s="4">
        <f t="shared" si="741"/>
        <v>9.7450000000000002E-3</v>
      </c>
      <c r="I695" s="2">
        <f t="shared" si="742"/>
        <v>0.18289139763779527</v>
      </c>
      <c r="J695" s="4">
        <f t="shared" si="743"/>
        <v>4.9380677362204715E-2</v>
      </c>
      <c r="K695" s="4">
        <f t="shared" si="744"/>
        <v>0.23227207499999999</v>
      </c>
      <c r="L695" s="13">
        <f t="shared" si="745"/>
        <v>3.7037037037037042</v>
      </c>
      <c r="M695" s="3"/>
      <c r="N695" s="3"/>
    </row>
    <row r="696" spans="1:14" x14ac:dyDescent="0.2">
      <c r="A696" s="22">
        <v>488735</v>
      </c>
      <c r="B696" s="4">
        <v>100</v>
      </c>
      <c r="C696" s="4">
        <v>8</v>
      </c>
      <c r="D696" s="33">
        <v>0.25</v>
      </c>
      <c r="E696" s="23">
        <v>0.15</v>
      </c>
      <c r="F696" s="23">
        <f t="shared" si="554"/>
        <v>0.25</v>
      </c>
      <c r="G696" s="23">
        <f t="shared" si="602"/>
        <v>0.15</v>
      </c>
      <c r="H696" s="4">
        <f t="shared" si="741"/>
        <v>3.8630000000000001E-3</v>
      </c>
      <c r="I696" s="2">
        <f t="shared" si="742"/>
        <v>6.9047322834645672E-3</v>
      </c>
      <c r="J696" s="4">
        <f t="shared" si="743"/>
        <v>6.2487827165354339E-3</v>
      </c>
      <c r="K696" s="4">
        <f t="shared" si="744"/>
        <v>1.3153515000000001E-2</v>
      </c>
      <c r="L696" s="13">
        <f t="shared" si="745"/>
        <v>1.1049723756906076</v>
      </c>
      <c r="M696" s="3">
        <f t="shared" ref="M696" si="758">AVERAGE(I696:I697)</f>
        <v>6.9047322834645672E-3</v>
      </c>
      <c r="N696" s="3">
        <f t="shared" ref="N696" si="759">AVERAGE(J696:J697)</f>
        <v>6.2487827165354339E-3</v>
      </c>
    </row>
    <row r="697" spans="1:14" x14ac:dyDescent="0.2">
      <c r="A697" s="22"/>
      <c r="B697" s="4">
        <v>100</v>
      </c>
      <c r="C697" s="4">
        <v>8</v>
      </c>
      <c r="D697" s="33">
        <v>0.25</v>
      </c>
      <c r="E697" s="23">
        <v>0.15</v>
      </c>
      <c r="F697" s="23">
        <f t="shared" si="554"/>
        <v>0.25</v>
      </c>
      <c r="G697" s="23">
        <f t="shared" si="602"/>
        <v>0.15</v>
      </c>
      <c r="H697" s="4">
        <f t="shared" si="741"/>
        <v>3.8630000000000001E-3</v>
      </c>
      <c r="I697" s="2">
        <f t="shared" si="742"/>
        <v>6.9047322834645672E-3</v>
      </c>
      <c r="J697" s="4">
        <f t="shared" si="743"/>
        <v>6.2487827165354339E-3</v>
      </c>
      <c r="K697" s="4">
        <f t="shared" si="744"/>
        <v>1.3153515000000001E-2</v>
      </c>
      <c r="L697" s="13">
        <f t="shared" si="745"/>
        <v>1.1049723756906076</v>
      </c>
      <c r="M697" s="3"/>
      <c r="N697" s="3"/>
    </row>
    <row r="698" spans="1:14" x14ac:dyDescent="0.2">
      <c r="A698" s="22">
        <v>488736</v>
      </c>
      <c r="B698" s="4">
        <v>100</v>
      </c>
      <c r="C698" s="4">
        <v>8</v>
      </c>
      <c r="D698" s="33">
        <v>0.65</v>
      </c>
      <c r="E698" s="23">
        <v>0.45</v>
      </c>
      <c r="F698" s="23">
        <f t="shared" si="554"/>
        <v>0.65</v>
      </c>
      <c r="G698" s="23">
        <f t="shared" si="602"/>
        <v>0.45</v>
      </c>
      <c r="H698" s="4">
        <f t="shared" si="741"/>
        <v>3.8630000000000001E-3</v>
      </c>
      <c r="I698" s="2">
        <f t="shared" si="742"/>
        <v>1.3809464566929134E-2</v>
      </c>
      <c r="J698" s="4">
        <f t="shared" si="743"/>
        <v>2.5651080433070871E-2</v>
      </c>
      <c r="K698" s="4">
        <f t="shared" si="744"/>
        <v>3.9460545000000007E-2</v>
      </c>
      <c r="L698" s="13">
        <f t="shared" si="745"/>
        <v>0.53835800807537004</v>
      </c>
      <c r="M698" s="3">
        <f t="shared" ref="M698" si="760">AVERAGE(I698:I699)</f>
        <v>1.3809464566929134E-2</v>
      </c>
      <c r="N698" s="3">
        <f t="shared" ref="N698" si="761">AVERAGE(J698:J699)</f>
        <v>2.5651080433070871E-2</v>
      </c>
    </row>
    <row r="699" spans="1:14" x14ac:dyDescent="0.2">
      <c r="A699" s="22"/>
      <c r="B699" s="4">
        <v>100</v>
      </c>
      <c r="C699" s="4">
        <v>8</v>
      </c>
      <c r="D699" s="33">
        <v>0.65</v>
      </c>
      <c r="E699" s="23">
        <v>0.45</v>
      </c>
      <c r="F699" s="23">
        <f t="shared" si="554"/>
        <v>0.65</v>
      </c>
      <c r="G699" s="23">
        <f t="shared" si="602"/>
        <v>0.45</v>
      </c>
      <c r="H699" s="4">
        <f t="shared" si="741"/>
        <v>3.8630000000000001E-3</v>
      </c>
      <c r="I699" s="2">
        <f t="shared" si="742"/>
        <v>1.3809464566929134E-2</v>
      </c>
      <c r="J699" s="4">
        <f t="shared" si="743"/>
        <v>2.5651080433070871E-2</v>
      </c>
      <c r="K699" s="4">
        <f t="shared" si="744"/>
        <v>3.9460545000000007E-2</v>
      </c>
      <c r="L699" s="13">
        <f t="shared" si="745"/>
        <v>0.53835800807537004</v>
      </c>
      <c r="M699" s="3"/>
      <c r="N699" s="3"/>
    </row>
    <row r="700" spans="1:14" x14ac:dyDescent="0.2">
      <c r="A700" s="22">
        <v>488737</v>
      </c>
      <c r="B700" s="4">
        <v>100</v>
      </c>
      <c r="C700" s="4">
        <v>8</v>
      </c>
      <c r="D700" s="33">
        <v>2.65</v>
      </c>
      <c r="E700" s="23">
        <v>1.85</v>
      </c>
      <c r="F700" s="23">
        <f t="shared" si="554"/>
        <v>2.65</v>
      </c>
      <c r="G700" s="23">
        <f t="shared" si="602"/>
        <v>1.85</v>
      </c>
      <c r="H700" s="4">
        <f t="shared" si="741"/>
        <v>3.8630000000000001E-3</v>
      </c>
      <c r="I700" s="2">
        <f t="shared" si="742"/>
        <v>5.523785826771653E-2</v>
      </c>
      <c r="J700" s="4">
        <f t="shared" si="743"/>
        <v>0.10698882673228349</v>
      </c>
      <c r="K700" s="4">
        <f t="shared" si="744"/>
        <v>0.16222668500000004</v>
      </c>
      <c r="L700" s="13">
        <f t="shared" si="745"/>
        <v>0.51629557921910274</v>
      </c>
      <c r="M700" s="3">
        <f t="shared" ref="M700" si="762">AVERAGE(I700:I701)</f>
        <v>5.1785492125984253E-2</v>
      </c>
      <c r="N700" s="3">
        <f t="shared" ref="N700" si="763">AVERAGE(J700:J701)</f>
        <v>0.10824894037401576</v>
      </c>
    </row>
    <row r="701" spans="1:14" x14ac:dyDescent="0.2">
      <c r="A701" s="22"/>
      <c r="B701" s="4">
        <v>100</v>
      </c>
      <c r="C701" s="4">
        <v>8</v>
      </c>
      <c r="D701" s="33">
        <v>2.5</v>
      </c>
      <c r="E701" s="23">
        <v>1.8</v>
      </c>
      <c r="F701" s="23">
        <f t="shared" si="554"/>
        <v>2.5</v>
      </c>
      <c r="G701" s="23">
        <f t="shared" si="602"/>
        <v>1.8</v>
      </c>
      <c r="H701" s="4">
        <f t="shared" si="741"/>
        <v>3.8630000000000001E-3</v>
      </c>
      <c r="I701" s="2">
        <f t="shared" si="742"/>
        <v>4.8333125984251969E-2</v>
      </c>
      <c r="J701" s="4">
        <f t="shared" si="743"/>
        <v>0.10950905401574804</v>
      </c>
      <c r="K701" s="4">
        <f t="shared" si="744"/>
        <v>0.15784218</v>
      </c>
      <c r="L701" s="13">
        <f t="shared" si="745"/>
        <v>0.44136191677175285</v>
      </c>
      <c r="M701" s="3"/>
      <c r="N701" s="3"/>
    </row>
    <row r="702" spans="1:14" x14ac:dyDescent="0.2">
      <c r="A702" s="22">
        <v>488738</v>
      </c>
      <c r="B702" s="4">
        <v>100</v>
      </c>
      <c r="C702" s="4">
        <v>8</v>
      </c>
      <c r="D702" s="33">
        <v>5.95</v>
      </c>
      <c r="E702" s="23">
        <v>4</v>
      </c>
      <c r="F702" s="23">
        <f t="shared" si="554"/>
        <v>5.95</v>
      </c>
      <c r="G702" s="23">
        <f t="shared" si="602"/>
        <v>4</v>
      </c>
      <c r="H702" s="4">
        <f t="shared" si="741"/>
        <v>3.8630000000000001E-3</v>
      </c>
      <c r="I702" s="2">
        <f t="shared" si="742"/>
        <v>0.13464227952755908</v>
      </c>
      <c r="J702" s="4">
        <f t="shared" si="743"/>
        <v>0.21611812047244094</v>
      </c>
      <c r="K702" s="4">
        <f t="shared" si="744"/>
        <v>0.35076040000000003</v>
      </c>
      <c r="L702" s="13">
        <f t="shared" si="745"/>
        <v>0.62300319488817901</v>
      </c>
      <c r="M702" s="3">
        <f t="shared" ref="M702" si="764">AVERAGE(I702:I703)</f>
        <v>0.1398208287401575</v>
      </c>
      <c r="N702" s="3">
        <f t="shared" ref="N702" si="765">AVERAGE(J702:J703)</f>
        <v>0.22190083375984254</v>
      </c>
    </row>
    <row r="703" spans="1:14" x14ac:dyDescent="0.2">
      <c r="A703" s="22"/>
      <c r="B703" s="4">
        <v>100</v>
      </c>
      <c r="C703" s="4">
        <v>8</v>
      </c>
      <c r="D703" s="33">
        <v>6.35</v>
      </c>
      <c r="E703" s="23">
        <v>4.25</v>
      </c>
      <c r="F703" s="23">
        <f t="shared" si="554"/>
        <v>6.35</v>
      </c>
      <c r="G703" s="23">
        <f t="shared" si="602"/>
        <v>4.25</v>
      </c>
      <c r="H703" s="4">
        <f t="shared" si="741"/>
        <v>3.8630000000000001E-3</v>
      </c>
      <c r="I703" s="2">
        <f t="shared" si="742"/>
        <v>0.14499937795275589</v>
      </c>
      <c r="J703" s="4">
        <f t="shared" si="743"/>
        <v>0.22768354704724414</v>
      </c>
      <c r="K703" s="4">
        <f t="shared" si="744"/>
        <v>0.372682925</v>
      </c>
      <c r="L703" s="13">
        <f t="shared" si="745"/>
        <v>0.63684609552691407</v>
      </c>
      <c r="M703" s="3"/>
      <c r="N703" s="3"/>
    </row>
    <row r="704" spans="1:14" x14ac:dyDescent="0.2">
      <c r="A704" s="22">
        <v>488739</v>
      </c>
      <c r="B704" s="4">
        <v>100</v>
      </c>
      <c r="C704" s="4">
        <v>7</v>
      </c>
      <c r="D704" s="33">
        <v>3.95</v>
      </c>
      <c r="E704" s="23">
        <v>2.5</v>
      </c>
      <c r="F704" s="23">
        <f t="shared" si="554"/>
        <v>3.95</v>
      </c>
      <c r="G704" s="23">
        <f t="shared" si="602"/>
        <v>2.5</v>
      </c>
      <c r="H704" s="4">
        <f t="shared" si="741"/>
        <v>9.7450000000000002E-3</v>
      </c>
      <c r="I704" s="2">
        <f t="shared" si="742"/>
        <v>0.25256431102362209</v>
      </c>
      <c r="J704" s="4">
        <f t="shared" si="743"/>
        <v>0.30046443897637803</v>
      </c>
      <c r="K704" s="4">
        <f t="shared" si="744"/>
        <v>0.55302875000000018</v>
      </c>
      <c r="L704" s="13">
        <f t="shared" si="745"/>
        <v>0.84057971014492749</v>
      </c>
      <c r="M704" s="3">
        <f t="shared" ref="M704" si="766">AVERAGE(I704:I705)</f>
        <v>0.2438551968503937</v>
      </c>
      <c r="N704" s="3">
        <f t="shared" ref="N704" si="767">AVERAGE(J704:J705)</f>
        <v>0.30364326564960642</v>
      </c>
    </row>
    <row r="705" spans="1:14" x14ac:dyDescent="0.2">
      <c r="A705" s="22"/>
      <c r="B705" s="4">
        <v>100</v>
      </c>
      <c r="C705" s="4">
        <v>7</v>
      </c>
      <c r="D705" s="33">
        <v>3.8</v>
      </c>
      <c r="E705" s="23">
        <v>2.4500000000000002</v>
      </c>
      <c r="F705" s="23">
        <f t="shared" si="554"/>
        <v>3.8</v>
      </c>
      <c r="G705" s="23">
        <f t="shared" si="602"/>
        <v>2.4500000000000002</v>
      </c>
      <c r="H705" s="4">
        <f t="shared" si="741"/>
        <v>9.7450000000000002E-3</v>
      </c>
      <c r="I705" s="2">
        <f t="shared" si="742"/>
        <v>0.23514608267716533</v>
      </c>
      <c r="J705" s="4">
        <f t="shared" si="743"/>
        <v>0.30682209232283486</v>
      </c>
      <c r="K705" s="4">
        <f t="shared" si="744"/>
        <v>0.54196817500000016</v>
      </c>
      <c r="L705" s="13">
        <f t="shared" si="745"/>
        <v>0.76639227930740783</v>
      </c>
      <c r="M705" s="3"/>
      <c r="N705" s="3"/>
    </row>
    <row r="706" spans="1:14" x14ac:dyDescent="0.2">
      <c r="A706" s="22">
        <v>488740</v>
      </c>
      <c r="B706" s="4">
        <v>100</v>
      </c>
      <c r="C706" s="4">
        <v>8</v>
      </c>
      <c r="D706" s="33">
        <v>5.3</v>
      </c>
      <c r="E706" s="23">
        <v>2.7</v>
      </c>
      <c r="F706" s="23">
        <f t="shared" si="554"/>
        <v>5.3</v>
      </c>
      <c r="G706" s="23">
        <f t="shared" si="602"/>
        <v>2.7</v>
      </c>
      <c r="H706" s="4">
        <f t="shared" si="741"/>
        <v>3.8630000000000001E-3</v>
      </c>
      <c r="I706" s="2">
        <f t="shared" si="742"/>
        <v>0.17952303937007874</v>
      </c>
      <c r="J706" s="4">
        <f t="shared" si="743"/>
        <v>5.7240230629921285E-2</v>
      </c>
      <c r="K706" s="4">
        <f t="shared" si="744"/>
        <v>0.23676327000000003</v>
      </c>
      <c r="L706" s="13">
        <f t="shared" si="745"/>
        <v>3.1363088057901072</v>
      </c>
      <c r="M706" s="3">
        <f t="shared" ref="M706" si="768">AVERAGE(I706:I707)</f>
        <v>0.17607067322834644</v>
      </c>
      <c r="N706" s="3">
        <f t="shared" ref="N706" si="769">AVERAGE(J706:J707)</f>
        <v>5.6308091771653579E-2</v>
      </c>
    </row>
    <row r="707" spans="1:14" x14ac:dyDescent="0.2">
      <c r="A707" s="22"/>
      <c r="B707" s="4">
        <v>100</v>
      </c>
      <c r="C707" s="4">
        <v>8</v>
      </c>
      <c r="D707" s="33">
        <v>5.0999999999999996</v>
      </c>
      <c r="E707" s="23">
        <v>2.6</v>
      </c>
      <c r="F707" s="23">
        <f t="shared" si="554"/>
        <v>5.0999999999999996</v>
      </c>
      <c r="G707" s="23">
        <f t="shared" si="602"/>
        <v>2.6</v>
      </c>
      <c r="H707" s="4">
        <f t="shared" si="741"/>
        <v>3.8630000000000001E-3</v>
      </c>
      <c r="I707" s="2">
        <f t="shared" si="742"/>
        <v>0.17261830708661413</v>
      </c>
      <c r="J707" s="4">
        <f t="shared" si="743"/>
        <v>5.5375952913385873E-2</v>
      </c>
      <c r="K707" s="4">
        <f t="shared" si="744"/>
        <v>0.22799426</v>
      </c>
      <c r="L707" s="13">
        <f t="shared" si="745"/>
        <v>3.1172069825436375</v>
      </c>
      <c r="M707" s="3"/>
      <c r="N707" s="3"/>
    </row>
    <row r="708" spans="1:14" x14ac:dyDescent="0.2">
      <c r="A708" s="22">
        <v>488742</v>
      </c>
      <c r="B708" s="4">
        <v>100</v>
      </c>
      <c r="C708" s="4">
        <v>8</v>
      </c>
      <c r="D708" s="33">
        <v>3.75</v>
      </c>
      <c r="E708" s="23">
        <v>1.8</v>
      </c>
      <c r="F708" s="23">
        <f t="shared" si="554"/>
        <v>3.75</v>
      </c>
      <c r="G708" s="23">
        <f t="shared" si="602"/>
        <v>1.8</v>
      </c>
      <c r="H708" s="4">
        <f t="shared" si="741"/>
        <v>3.8630000000000001E-3</v>
      </c>
      <c r="I708" s="2">
        <f t="shared" si="742"/>
        <v>0.13464227952755906</v>
      </c>
      <c r="J708" s="4">
        <f t="shared" si="743"/>
        <v>2.3199900472440978E-2</v>
      </c>
      <c r="K708" s="4">
        <f t="shared" si="744"/>
        <v>0.15784218000000003</v>
      </c>
      <c r="L708" s="13">
        <f t="shared" si="745"/>
        <v>5.8035714285714199</v>
      </c>
      <c r="M708" s="3">
        <f t="shared" ref="M708" si="770">AVERAGE(I708:I709)</f>
        <v>0.13291609645669294</v>
      </c>
      <c r="N708" s="3">
        <f t="shared" ref="N708" si="771">AVERAGE(J708:J709)</f>
        <v>3.1502841043307084E-2</v>
      </c>
    </row>
    <row r="709" spans="1:14" x14ac:dyDescent="0.2">
      <c r="A709" s="22"/>
      <c r="B709" s="4">
        <v>100</v>
      </c>
      <c r="C709" s="4">
        <v>8</v>
      </c>
      <c r="D709" s="33">
        <v>3.85</v>
      </c>
      <c r="E709" s="23">
        <v>1.95</v>
      </c>
      <c r="F709" s="23">
        <f t="shared" si="554"/>
        <v>3.85</v>
      </c>
      <c r="G709" s="23">
        <f t="shared" si="602"/>
        <v>1.95</v>
      </c>
      <c r="H709" s="4">
        <f t="shared" si="741"/>
        <v>3.8630000000000001E-3</v>
      </c>
      <c r="I709" s="2">
        <f t="shared" si="742"/>
        <v>0.13118991338582681</v>
      </c>
      <c r="J709" s="4">
        <f t="shared" si="743"/>
        <v>3.9805781614173197E-2</v>
      </c>
      <c r="K709" s="4">
        <f t="shared" si="744"/>
        <v>0.170995695</v>
      </c>
      <c r="L709" s="13">
        <f t="shared" si="745"/>
        <v>3.2957502168256756</v>
      </c>
      <c r="M709" s="3"/>
      <c r="N709" s="3"/>
    </row>
    <row r="710" spans="1:14" x14ac:dyDescent="0.2">
      <c r="A710" s="22">
        <v>488743</v>
      </c>
      <c r="B710" s="4">
        <v>100</v>
      </c>
      <c r="C710" s="4">
        <v>8</v>
      </c>
      <c r="D710" s="33">
        <v>3.25</v>
      </c>
      <c r="E710" s="23">
        <v>1.6</v>
      </c>
      <c r="F710" s="23">
        <f t="shared" si="554"/>
        <v>3.25</v>
      </c>
      <c r="G710" s="23">
        <f t="shared" si="602"/>
        <v>1.6</v>
      </c>
      <c r="H710" s="4">
        <f t="shared" si="741"/>
        <v>3.8630000000000001E-3</v>
      </c>
      <c r="I710" s="2">
        <f t="shared" si="742"/>
        <v>0.11392808267716535</v>
      </c>
      <c r="J710" s="4">
        <f t="shared" si="743"/>
        <v>2.6376077322834663E-2</v>
      </c>
      <c r="K710" s="4">
        <f t="shared" si="744"/>
        <v>0.14030416000000001</v>
      </c>
      <c r="L710" s="13">
        <f t="shared" si="745"/>
        <v>4.3193717277486883</v>
      </c>
      <c r="M710" s="3">
        <f t="shared" ref="M710" si="772">AVERAGE(I710:I711)</f>
        <v>0.12255899803149606</v>
      </c>
      <c r="N710" s="3">
        <f t="shared" ref="N710" si="773">AVERAGE(J710:J711)</f>
        <v>3.0898676968503964E-2</v>
      </c>
    </row>
    <row r="711" spans="1:14" x14ac:dyDescent="0.2">
      <c r="A711" s="22"/>
      <c r="B711" s="4">
        <v>100</v>
      </c>
      <c r="C711" s="4">
        <v>8</v>
      </c>
      <c r="D711" s="33">
        <v>3.8</v>
      </c>
      <c r="E711" s="23">
        <v>1.9</v>
      </c>
      <c r="F711" s="23">
        <f t="shared" si="554"/>
        <v>3.8</v>
      </c>
      <c r="G711" s="23">
        <f t="shared" si="602"/>
        <v>1.9</v>
      </c>
      <c r="H711" s="4">
        <f t="shared" si="741"/>
        <v>3.8630000000000001E-3</v>
      </c>
      <c r="I711" s="2">
        <f t="shared" si="742"/>
        <v>0.13118991338582678</v>
      </c>
      <c r="J711" s="4">
        <f t="shared" si="743"/>
        <v>3.5421276614173262E-2</v>
      </c>
      <c r="K711" s="4">
        <f t="shared" si="744"/>
        <v>0.16661119000000005</v>
      </c>
      <c r="L711" s="13">
        <f t="shared" si="745"/>
        <v>3.7037037037037002</v>
      </c>
      <c r="M711" s="3"/>
      <c r="N711" s="3"/>
    </row>
    <row r="712" spans="1:14" x14ac:dyDescent="0.2">
      <c r="A712" s="22">
        <v>488751</v>
      </c>
      <c r="B712" s="4">
        <v>100</v>
      </c>
      <c r="C712" s="4">
        <v>8</v>
      </c>
      <c r="D712" s="33">
        <v>0.7</v>
      </c>
      <c r="E712" s="23">
        <v>0.5</v>
      </c>
      <c r="F712" s="23">
        <f t="shared" si="554"/>
        <v>0.7</v>
      </c>
      <c r="G712" s="23">
        <f t="shared" si="602"/>
        <v>0.5</v>
      </c>
      <c r="H712" s="4">
        <f t="shared" si="741"/>
        <v>3.8630000000000001E-3</v>
      </c>
      <c r="I712" s="2">
        <f t="shared" si="742"/>
        <v>1.3809464566929133E-2</v>
      </c>
      <c r="J712" s="4">
        <f t="shared" si="743"/>
        <v>3.0035585433070874E-2</v>
      </c>
      <c r="K712" s="4">
        <f t="shared" si="744"/>
        <v>4.384505000000001E-2</v>
      </c>
      <c r="L712" s="13">
        <f t="shared" si="745"/>
        <v>0.45977011494252856</v>
      </c>
      <c r="M712" s="3">
        <f t="shared" ref="M712" si="774">AVERAGE(I712:I713)</f>
        <v>1.3809464566929133E-2</v>
      </c>
      <c r="N712" s="3">
        <f t="shared" ref="N712" si="775">AVERAGE(J712:J713)</f>
        <v>3.0035585433070874E-2</v>
      </c>
    </row>
    <row r="713" spans="1:14" x14ac:dyDescent="0.2">
      <c r="A713" s="22"/>
      <c r="B713" s="4">
        <v>100</v>
      </c>
      <c r="C713" s="4">
        <v>8</v>
      </c>
      <c r="D713" s="33">
        <v>0.7</v>
      </c>
      <c r="E713" s="23">
        <v>0.5</v>
      </c>
      <c r="F713" s="23">
        <f t="shared" si="554"/>
        <v>0.7</v>
      </c>
      <c r="G713" s="23">
        <f t="shared" si="602"/>
        <v>0.5</v>
      </c>
      <c r="H713" s="4">
        <f t="shared" si="741"/>
        <v>3.8630000000000001E-3</v>
      </c>
      <c r="I713" s="2">
        <f t="shared" si="742"/>
        <v>1.3809464566929133E-2</v>
      </c>
      <c r="J713" s="4">
        <f t="shared" si="743"/>
        <v>3.0035585433070874E-2</v>
      </c>
      <c r="K713" s="4">
        <f t="shared" si="744"/>
        <v>4.384505000000001E-2</v>
      </c>
      <c r="L713" s="13">
        <f t="shared" si="745"/>
        <v>0.45977011494252856</v>
      </c>
      <c r="M713" s="3"/>
      <c r="N713" s="3"/>
    </row>
    <row r="714" spans="1:14" x14ac:dyDescent="0.2">
      <c r="A714" s="22">
        <v>488752</v>
      </c>
      <c r="B714" s="4">
        <v>100</v>
      </c>
      <c r="C714" s="4">
        <v>8</v>
      </c>
      <c r="D714" s="33">
        <v>1.1499999999999999</v>
      </c>
      <c r="E714" s="23">
        <v>0.8</v>
      </c>
      <c r="F714" s="23">
        <f t="shared" si="554"/>
        <v>1.1499999999999999</v>
      </c>
      <c r="G714" s="23">
        <f t="shared" si="602"/>
        <v>0.8</v>
      </c>
      <c r="H714" s="4">
        <f t="shared" si="741"/>
        <v>3.8630000000000001E-3</v>
      </c>
      <c r="I714" s="2">
        <f t="shared" si="742"/>
        <v>2.4166562992125974E-2</v>
      </c>
      <c r="J714" s="4">
        <f t="shared" si="743"/>
        <v>4.5985517007874031E-2</v>
      </c>
      <c r="K714" s="4">
        <f t="shared" si="744"/>
        <v>7.0152080000000006E-2</v>
      </c>
      <c r="L714" s="13">
        <f t="shared" si="745"/>
        <v>0.52552552552552512</v>
      </c>
      <c r="M714" s="3">
        <f t="shared" ref="M714" si="776">AVERAGE(I714:I715)</f>
        <v>2.2440379921259839E-2</v>
      </c>
      <c r="N714" s="3">
        <f t="shared" ref="N714" si="777">AVERAGE(J714:J715)</f>
        <v>4.7711700078740163E-2</v>
      </c>
    </row>
    <row r="715" spans="1:14" x14ac:dyDescent="0.2">
      <c r="A715" s="22"/>
      <c r="B715" s="4">
        <v>100</v>
      </c>
      <c r="C715" s="4">
        <v>8</v>
      </c>
      <c r="D715" s="33">
        <v>1.1000000000000001</v>
      </c>
      <c r="E715" s="23">
        <v>0.8</v>
      </c>
      <c r="F715" s="23">
        <f t="shared" si="554"/>
        <v>1.1000000000000001</v>
      </c>
      <c r="G715" s="23">
        <f t="shared" si="602"/>
        <v>0.8</v>
      </c>
      <c r="H715" s="4">
        <f t="shared" si="741"/>
        <v>3.8630000000000001E-3</v>
      </c>
      <c r="I715" s="2">
        <f t="shared" si="742"/>
        <v>2.0714196850393704E-2</v>
      </c>
      <c r="J715" s="4">
        <f t="shared" si="743"/>
        <v>4.9437883149606295E-2</v>
      </c>
      <c r="K715" s="4">
        <f t="shared" si="744"/>
        <v>7.0152080000000006E-2</v>
      </c>
      <c r="L715" s="13">
        <f t="shared" si="745"/>
        <v>0.41899441340782134</v>
      </c>
      <c r="M715" s="3"/>
      <c r="N715" s="3"/>
    </row>
    <row r="716" spans="1:14" x14ac:dyDescent="0.2">
      <c r="A716" s="22">
        <v>488753</v>
      </c>
      <c r="B716" s="4">
        <v>100</v>
      </c>
      <c r="C716" s="4">
        <v>8</v>
      </c>
      <c r="D716" s="33">
        <v>4.05</v>
      </c>
      <c r="E716" s="23">
        <v>2.75</v>
      </c>
      <c r="F716" s="23">
        <f t="shared" si="554"/>
        <v>4.05</v>
      </c>
      <c r="G716" s="23">
        <f t="shared" si="602"/>
        <v>2.75</v>
      </c>
      <c r="H716" s="4">
        <f t="shared" si="741"/>
        <v>3.8630000000000001E-3</v>
      </c>
      <c r="I716" s="2">
        <f t="shared" si="742"/>
        <v>8.976151968503937E-2</v>
      </c>
      <c r="J716" s="4">
        <f t="shared" si="743"/>
        <v>0.15138625531496064</v>
      </c>
      <c r="K716" s="4">
        <f t="shared" si="744"/>
        <v>0.24114777500000001</v>
      </c>
      <c r="L716" s="13">
        <f t="shared" si="745"/>
        <v>0.59293044469783351</v>
      </c>
      <c r="M716" s="3">
        <f t="shared" ref="M716" si="778">AVERAGE(I716:I717)</f>
        <v>8.976151968503937E-2</v>
      </c>
      <c r="N716" s="3">
        <f t="shared" ref="N716" si="779">AVERAGE(J716:J717)</f>
        <v>0.15138625531496064</v>
      </c>
    </row>
    <row r="717" spans="1:14" x14ac:dyDescent="0.2">
      <c r="A717" s="22"/>
      <c r="B717" s="4">
        <v>100</v>
      </c>
      <c r="C717" s="4">
        <v>8</v>
      </c>
      <c r="D717" s="33">
        <v>4.05</v>
      </c>
      <c r="E717" s="23">
        <v>2.75</v>
      </c>
      <c r="F717" s="23">
        <f t="shared" si="554"/>
        <v>4.05</v>
      </c>
      <c r="G717" s="23">
        <f t="shared" si="602"/>
        <v>2.75</v>
      </c>
      <c r="H717" s="4">
        <f t="shared" si="741"/>
        <v>3.8630000000000001E-3</v>
      </c>
      <c r="I717" s="2">
        <f t="shared" si="742"/>
        <v>8.976151968503937E-2</v>
      </c>
      <c r="J717" s="4">
        <f t="shared" si="743"/>
        <v>0.15138625531496064</v>
      </c>
      <c r="K717" s="4">
        <f t="shared" si="744"/>
        <v>0.24114777500000001</v>
      </c>
      <c r="L717" s="13">
        <f t="shared" si="745"/>
        <v>0.59293044469783351</v>
      </c>
      <c r="M717" s="3"/>
      <c r="N717" s="3"/>
    </row>
    <row r="718" spans="1:14" x14ac:dyDescent="0.2">
      <c r="A718" s="22">
        <v>488754</v>
      </c>
      <c r="B718" s="4">
        <v>100</v>
      </c>
      <c r="C718" s="4">
        <v>8</v>
      </c>
      <c r="D718" s="33">
        <v>5.05</v>
      </c>
      <c r="E718" s="23">
        <v>3.4</v>
      </c>
      <c r="F718" s="23">
        <f t="shared" si="554"/>
        <v>5.05</v>
      </c>
      <c r="G718" s="23">
        <f t="shared" si="602"/>
        <v>3.4</v>
      </c>
      <c r="H718" s="4">
        <f t="shared" si="741"/>
        <v>3.8630000000000001E-3</v>
      </c>
      <c r="I718" s="2">
        <f t="shared" si="742"/>
        <v>0.11392808267716535</v>
      </c>
      <c r="J718" s="4">
        <f t="shared" si="743"/>
        <v>0.1842182573228347</v>
      </c>
      <c r="K718" s="4">
        <f t="shared" si="744"/>
        <v>0.29814634000000007</v>
      </c>
      <c r="L718" s="13">
        <f t="shared" si="745"/>
        <v>0.61844077961019472</v>
      </c>
      <c r="M718" s="3">
        <f t="shared" ref="M718" si="780">AVERAGE(I718:I719)</f>
        <v>0.11047571653543306</v>
      </c>
      <c r="N718" s="3">
        <f t="shared" ref="N718" si="781">AVERAGE(J718:J719)</f>
        <v>0.181093865964567</v>
      </c>
    </row>
    <row r="719" spans="1:14" x14ac:dyDescent="0.2">
      <c r="A719" s="22"/>
      <c r="B719" s="4">
        <v>100</v>
      </c>
      <c r="C719" s="4">
        <v>8</v>
      </c>
      <c r="D719" s="33">
        <v>4.8</v>
      </c>
      <c r="E719" s="23">
        <v>3.25</v>
      </c>
      <c r="F719" s="23">
        <f t="shared" si="554"/>
        <v>4.8</v>
      </c>
      <c r="G719" s="23">
        <f t="shared" si="602"/>
        <v>3.25</v>
      </c>
      <c r="H719" s="4">
        <f t="shared" si="741"/>
        <v>3.8630000000000001E-3</v>
      </c>
      <c r="I719" s="2">
        <f t="shared" si="742"/>
        <v>0.10702335039370078</v>
      </c>
      <c r="J719" s="4">
        <f t="shared" si="743"/>
        <v>0.17796947460629928</v>
      </c>
      <c r="K719" s="4">
        <f t="shared" si="744"/>
        <v>0.28499282500000006</v>
      </c>
      <c r="L719" s="13">
        <f t="shared" si="745"/>
        <v>0.60135790494665353</v>
      </c>
      <c r="M719" s="3"/>
      <c r="N719" s="3"/>
    </row>
    <row r="720" spans="1:14" x14ac:dyDescent="0.2">
      <c r="A720" s="22">
        <v>488755</v>
      </c>
      <c r="B720" s="4">
        <v>100</v>
      </c>
      <c r="C720" s="4">
        <v>6</v>
      </c>
      <c r="D720" s="33">
        <v>3.6</v>
      </c>
      <c r="E720" s="23">
        <v>1.9</v>
      </c>
      <c r="F720" s="23">
        <f t="shared" si="554"/>
        <v>3.6</v>
      </c>
      <c r="G720" s="23">
        <f t="shared" si="602"/>
        <v>1.9</v>
      </c>
      <c r="H720" s="4">
        <f t="shared" si="741"/>
        <v>3.5767E-2</v>
      </c>
      <c r="I720" s="2">
        <f t="shared" si="742"/>
        <v>1.0868098661417325</v>
      </c>
      <c r="J720" s="4">
        <f t="shared" si="743"/>
        <v>0.45582084385826777</v>
      </c>
      <c r="K720" s="4">
        <f t="shared" si="744"/>
        <v>1.5426307100000003</v>
      </c>
      <c r="L720" s="13">
        <f t="shared" si="745"/>
        <v>2.3842917251051894</v>
      </c>
      <c r="M720" s="3">
        <f t="shared" ref="M720" si="782">AVERAGE(I720:I721)</f>
        <v>1.0708273681102365</v>
      </c>
      <c r="N720" s="3">
        <f t="shared" ref="N720" si="783">AVERAGE(J720:J721)</f>
        <v>0.43120779688976374</v>
      </c>
    </row>
    <row r="721" spans="1:14" x14ac:dyDescent="0.2">
      <c r="A721" s="22"/>
      <c r="B721" s="4">
        <v>100</v>
      </c>
      <c r="C721" s="4">
        <v>6</v>
      </c>
      <c r="D721" s="33">
        <v>3.45</v>
      </c>
      <c r="E721" s="23">
        <v>1.8</v>
      </c>
      <c r="F721" s="23">
        <f t="shared" si="554"/>
        <v>3.45</v>
      </c>
      <c r="G721" s="23">
        <f t="shared" si="602"/>
        <v>1.8</v>
      </c>
      <c r="H721" s="4">
        <f t="shared" si="741"/>
        <v>3.5767E-2</v>
      </c>
      <c r="I721" s="2">
        <f t="shared" si="742"/>
        <v>1.0548448700787403</v>
      </c>
      <c r="J721" s="4">
        <f t="shared" si="743"/>
        <v>0.40659474992125977</v>
      </c>
      <c r="K721" s="4">
        <f t="shared" si="744"/>
        <v>1.4614396200000002</v>
      </c>
      <c r="L721" s="13">
        <f t="shared" si="745"/>
        <v>2.5943396226415101</v>
      </c>
      <c r="M721" s="3"/>
      <c r="N721" s="3"/>
    </row>
    <row r="722" spans="1:14" x14ac:dyDescent="0.2">
      <c r="A722" s="22">
        <v>488757</v>
      </c>
      <c r="B722" s="4">
        <v>100</v>
      </c>
      <c r="C722" s="4">
        <v>7</v>
      </c>
      <c r="D722" s="33">
        <v>2.85</v>
      </c>
      <c r="E722" s="23">
        <v>1.45</v>
      </c>
      <c r="F722" s="23">
        <f t="shared" si="554"/>
        <v>2.85</v>
      </c>
      <c r="G722" s="23">
        <f t="shared" si="602"/>
        <v>1.45</v>
      </c>
      <c r="H722" s="4">
        <f t="shared" si="741"/>
        <v>9.7450000000000002E-3</v>
      </c>
      <c r="I722" s="2">
        <f t="shared" si="742"/>
        <v>0.24385519685039372</v>
      </c>
      <c r="J722" s="4">
        <f t="shared" si="743"/>
        <v>7.6901478149606281E-2</v>
      </c>
      <c r="K722" s="4">
        <f t="shared" si="744"/>
        <v>0.32075667499999999</v>
      </c>
      <c r="L722" s="13">
        <f t="shared" si="745"/>
        <v>3.17100792751982</v>
      </c>
      <c r="M722" s="3">
        <f t="shared" ref="M722" si="784">AVERAGE(I722:I723)</f>
        <v>0.23950063976377955</v>
      </c>
      <c r="N722" s="3">
        <f t="shared" ref="N722" si="785">AVERAGE(J722:J723)</f>
        <v>8.1256035236220492E-2</v>
      </c>
    </row>
    <row r="723" spans="1:14" x14ac:dyDescent="0.2">
      <c r="A723" s="22"/>
      <c r="B723" s="4">
        <v>100</v>
      </c>
      <c r="C723" s="4">
        <v>7</v>
      </c>
      <c r="D723" s="33">
        <v>2.8</v>
      </c>
      <c r="E723" s="23">
        <v>1.45</v>
      </c>
      <c r="F723" s="23">
        <f t="shared" si="554"/>
        <v>2.8</v>
      </c>
      <c r="G723" s="23">
        <f t="shared" si="602"/>
        <v>1.45</v>
      </c>
      <c r="H723" s="4">
        <f t="shared" si="741"/>
        <v>9.7450000000000002E-3</v>
      </c>
      <c r="I723" s="2">
        <f t="shared" si="742"/>
        <v>0.23514608267716536</v>
      </c>
      <c r="J723" s="4">
        <f t="shared" si="743"/>
        <v>8.5610592322834703E-2</v>
      </c>
      <c r="K723" s="4">
        <f t="shared" si="744"/>
        <v>0.32075667500000005</v>
      </c>
      <c r="L723" s="13">
        <f t="shared" si="745"/>
        <v>2.7466937945066108</v>
      </c>
      <c r="M723" s="3"/>
      <c r="N723" s="3"/>
    </row>
    <row r="724" spans="1:14" x14ac:dyDescent="0.2">
      <c r="A724" s="22">
        <v>488758</v>
      </c>
      <c r="B724" s="4">
        <v>100</v>
      </c>
      <c r="C724" s="4">
        <v>8</v>
      </c>
      <c r="D724" s="33">
        <v>4</v>
      </c>
      <c r="E724" s="23">
        <v>1.95</v>
      </c>
      <c r="F724" s="23">
        <f t="shared" si="554"/>
        <v>4</v>
      </c>
      <c r="G724" s="23">
        <f t="shared" si="602"/>
        <v>1.95</v>
      </c>
      <c r="H724" s="4">
        <f t="shared" si="741"/>
        <v>3.8630000000000001E-3</v>
      </c>
      <c r="I724" s="2">
        <f t="shared" si="742"/>
        <v>0.14154701181102361</v>
      </c>
      <c r="J724" s="4">
        <f t="shared" si="743"/>
        <v>2.9448683188976373E-2</v>
      </c>
      <c r="K724" s="4">
        <f t="shared" si="744"/>
        <v>0.17099569499999998</v>
      </c>
      <c r="L724" s="13">
        <f t="shared" si="745"/>
        <v>4.8065650644783124</v>
      </c>
      <c r="M724" s="3">
        <f t="shared" ref="M724" si="786">AVERAGE(I724:I725)</f>
        <v>0.14327319488188975</v>
      </c>
      <c r="N724" s="3">
        <f t="shared" ref="N724" si="787">AVERAGE(J724:J725)</f>
        <v>2.9914752618110246E-2</v>
      </c>
    </row>
    <row r="725" spans="1:14" x14ac:dyDescent="0.2">
      <c r="A725" s="22"/>
      <c r="B725" s="4">
        <v>100</v>
      </c>
      <c r="C725" s="4">
        <v>8</v>
      </c>
      <c r="D725" s="33">
        <v>4.0999999999999996</v>
      </c>
      <c r="E725" s="23">
        <v>2</v>
      </c>
      <c r="F725" s="23">
        <f t="shared" ref="F725:G813" si="788">IF($C725=5,D725-$D$5,IF($C725=6,D725-$D$6,IF($C725=7,D725-$D$7,IF($C725=8,D725-$D$8,D725))))</f>
        <v>4.0999999999999996</v>
      </c>
      <c r="G725" s="23">
        <f t="shared" si="602"/>
        <v>2</v>
      </c>
      <c r="H725" s="4">
        <f t="shared" si="741"/>
        <v>3.8630000000000001E-3</v>
      </c>
      <c r="I725" s="2">
        <f t="shared" si="742"/>
        <v>0.14499937795275589</v>
      </c>
      <c r="J725" s="4">
        <f t="shared" si="743"/>
        <v>3.0380822047244117E-2</v>
      </c>
      <c r="K725" s="4">
        <f t="shared" si="744"/>
        <v>0.17538020000000001</v>
      </c>
      <c r="L725" s="13">
        <f t="shared" si="745"/>
        <v>4.7727272727272689</v>
      </c>
      <c r="M725" s="3"/>
      <c r="N725" s="3"/>
    </row>
    <row r="726" spans="1:14" x14ac:dyDescent="0.2">
      <c r="A726" s="22">
        <v>488759</v>
      </c>
      <c r="B726" s="4">
        <v>100</v>
      </c>
      <c r="C726" s="4">
        <v>8</v>
      </c>
      <c r="D726" s="33">
        <v>3.85</v>
      </c>
      <c r="E726" s="23">
        <v>1.85</v>
      </c>
      <c r="F726" s="23">
        <f t="shared" si="788"/>
        <v>3.85</v>
      </c>
      <c r="G726" s="23">
        <f t="shared" si="602"/>
        <v>1.85</v>
      </c>
      <c r="H726" s="4">
        <f t="shared" si="741"/>
        <v>3.8630000000000001E-3</v>
      </c>
      <c r="I726" s="2">
        <f t="shared" si="742"/>
        <v>0.13809464566929136</v>
      </c>
      <c r="J726" s="4">
        <f t="shared" si="743"/>
        <v>2.413203933070868E-2</v>
      </c>
      <c r="K726" s="4">
        <f t="shared" si="744"/>
        <v>0.16222668500000004</v>
      </c>
      <c r="L726" s="13">
        <f t="shared" si="745"/>
        <v>5.722460658082972</v>
      </c>
      <c r="M726" s="3">
        <f t="shared" ref="M726" si="789">AVERAGE(I726:I727)</f>
        <v>0.13809464566929136</v>
      </c>
      <c r="N726" s="3">
        <f t="shared" ref="N726" si="790">AVERAGE(J726:J727)</f>
        <v>2.1939786830708689E-2</v>
      </c>
    </row>
    <row r="727" spans="1:14" x14ac:dyDescent="0.2">
      <c r="A727" s="22"/>
      <c r="B727" s="4">
        <v>100</v>
      </c>
      <c r="C727" s="4">
        <v>8</v>
      </c>
      <c r="D727" s="33">
        <v>3.8</v>
      </c>
      <c r="E727" s="23">
        <v>1.8</v>
      </c>
      <c r="F727" s="23">
        <f t="shared" si="788"/>
        <v>3.8</v>
      </c>
      <c r="G727" s="23">
        <f t="shared" si="602"/>
        <v>1.8</v>
      </c>
      <c r="H727" s="4">
        <f t="shared" si="741"/>
        <v>3.8630000000000001E-3</v>
      </c>
      <c r="I727" s="2">
        <f t="shared" si="742"/>
        <v>0.13809464566929133</v>
      </c>
      <c r="J727" s="4">
        <f t="shared" si="743"/>
        <v>1.9747534330708697E-2</v>
      </c>
      <c r="K727" s="4">
        <f t="shared" si="744"/>
        <v>0.15784218000000003</v>
      </c>
      <c r="L727" s="13">
        <f t="shared" si="745"/>
        <v>6.99300699300698</v>
      </c>
      <c r="M727" s="3"/>
      <c r="N727" s="3"/>
    </row>
    <row r="728" spans="1:14" x14ac:dyDescent="0.2">
      <c r="A728" s="32">
        <v>488256</v>
      </c>
      <c r="B728" s="4">
        <v>100</v>
      </c>
      <c r="C728" s="4">
        <v>8</v>
      </c>
      <c r="D728" s="33">
        <v>3.7</v>
      </c>
      <c r="E728" s="23">
        <v>1.95</v>
      </c>
      <c r="F728" s="23">
        <f t="shared" si="788"/>
        <v>3.7</v>
      </c>
      <c r="G728" s="23">
        <f t="shared" si="602"/>
        <v>1.95</v>
      </c>
      <c r="H728" s="4">
        <f t="shared" si="741"/>
        <v>3.8630000000000001E-3</v>
      </c>
      <c r="I728" s="2">
        <f t="shared" si="742"/>
        <v>0.12083281496062995</v>
      </c>
      <c r="J728" s="4">
        <f t="shared" si="743"/>
        <v>5.0162880039370077E-2</v>
      </c>
      <c r="K728" s="4">
        <f t="shared" si="744"/>
        <v>0.17099569500000003</v>
      </c>
      <c r="L728" s="13">
        <f t="shared" si="745"/>
        <v>2.4088093599449421</v>
      </c>
      <c r="M728" s="3">
        <f t="shared" ref="M728" si="791">AVERAGE(I728:I729)</f>
        <v>0.12083281496062995</v>
      </c>
      <c r="N728" s="3">
        <f t="shared" ref="N728" si="792">AVERAGE(J728:J729)</f>
        <v>4.7970627539370092E-2</v>
      </c>
    </row>
    <row r="729" spans="1:14" x14ac:dyDescent="0.2">
      <c r="B729" s="4">
        <v>100</v>
      </c>
      <c r="C729" s="4">
        <v>8</v>
      </c>
      <c r="D729" s="33">
        <v>3.65</v>
      </c>
      <c r="E729" s="23">
        <v>1.9</v>
      </c>
      <c r="F729" s="23">
        <f t="shared" si="788"/>
        <v>3.65</v>
      </c>
      <c r="G729" s="23">
        <f t="shared" si="602"/>
        <v>1.9</v>
      </c>
      <c r="H729" s="4">
        <f t="shared" si="741"/>
        <v>3.8630000000000001E-3</v>
      </c>
      <c r="I729" s="2">
        <f t="shared" si="742"/>
        <v>0.12083281496062993</v>
      </c>
      <c r="J729" s="4">
        <f t="shared" si="743"/>
        <v>4.5778375039370101E-2</v>
      </c>
      <c r="K729" s="4">
        <f t="shared" si="744"/>
        <v>0.16661119000000002</v>
      </c>
      <c r="L729" s="13">
        <f t="shared" si="745"/>
        <v>2.6395173453996974</v>
      </c>
      <c r="M729" s="3"/>
      <c r="N729" s="3"/>
    </row>
    <row r="730" spans="1:14" x14ac:dyDescent="0.2">
      <c r="A730" s="4">
        <v>488767</v>
      </c>
      <c r="B730" s="4">
        <v>100</v>
      </c>
      <c r="C730" s="4">
        <v>8</v>
      </c>
      <c r="D730" s="33">
        <v>0.45</v>
      </c>
      <c r="E730" s="23">
        <v>0.3</v>
      </c>
      <c r="F730" s="23">
        <f t="shared" si="788"/>
        <v>0.45</v>
      </c>
      <c r="G730" s="23">
        <f t="shared" si="602"/>
        <v>0.3</v>
      </c>
      <c r="H730" s="4">
        <f t="shared" ref="H730:H793" si="793">IF(C730=1,32.7101,IF(C730=2,8.14893,IF(C730=3,1.42818,IF(C730=4,0.44041,IF(C730=5,0.123026,IF(C730=6,0.035767,IF(C730=7,0.009745,0.003863)))))))</f>
        <v>3.8630000000000001E-3</v>
      </c>
      <c r="I730" s="2">
        <f t="shared" ref="I730:I793" si="794">H730*$A$3*(F730-G730)*1000/B730</f>
        <v>1.0357098425196852E-2</v>
      </c>
      <c r="J730" s="4">
        <f t="shared" ref="J730:J793" si="795">2.27*($A$3*G730-($A$3-1)*F730)*H730*1000/B730</f>
        <v>1.594993157480315E-2</v>
      </c>
      <c r="K730" s="4">
        <f t="shared" ref="K730:K793" si="796">(I730+J730)</f>
        <v>2.6307030000000002E-2</v>
      </c>
      <c r="L730" s="13">
        <f t="shared" ref="L730:L793" si="797">(I730/J730)</f>
        <v>0.64935064935064946</v>
      </c>
      <c r="M730" s="3">
        <f t="shared" ref="M730" si="798">AVERAGE(I730:I731)</f>
        <v>1.0357098425196852E-2</v>
      </c>
      <c r="N730" s="3">
        <f t="shared" ref="N730" si="799">AVERAGE(J730:J731)</f>
        <v>1.8142184074803148E-2</v>
      </c>
    </row>
    <row r="731" spans="1:14" x14ac:dyDescent="0.2">
      <c r="A731" s="22"/>
      <c r="B731" s="4">
        <v>100</v>
      </c>
      <c r="C731" s="4">
        <v>8</v>
      </c>
      <c r="D731" s="33">
        <v>0.5</v>
      </c>
      <c r="E731" s="23">
        <v>0.35</v>
      </c>
      <c r="F731" s="23">
        <f t="shared" si="788"/>
        <v>0.5</v>
      </c>
      <c r="G731" s="23">
        <f t="shared" si="602"/>
        <v>0.35</v>
      </c>
      <c r="H731" s="4">
        <f t="shared" si="793"/>
        <v>3.8630000000000001E-3</v>
      </c>
      <c r="I731" s="2">
        <f t="shared" si="794"/>
        <v>1.0357098425196852E-2</v>
      </c>
      <c r="J731" s="4">
        <f t="shared" si="795"/>
        <v>2.0334436574803147E-2</v>
      </c>
      <c r="K731" s="4">
        <f t="shared" si="796"/>
        <v>3.0691534999999999E-2</v>
      </c>
      <c r="L731" s="13">
        <f t="shared" si="797"/>
        <v>0.50933786078098486</v>
      </c>
      <c r="M731" s="3"/>
      <c r="N731" s="3"/>
    </row>
    <row r="732" spans="1:14" x14ac:dyDescent="0.2">
      <c r="A732" s="22">
        <v>488768</v>
      </c>
      <c r="B732" s="4">
        <v>100</v>
      </c>
      <c r="C732" s="4">
        <v>8</v>
      </c>
      <c r="D732" s="33">
        <v>1.85</v>
      </c>
      <c r="E732" s="23">
        <v>1.3</v>
      </c>
      <c r="F732" s="23">
        <f t="shared" si="788"/>
        <v>1.85</v>
      </c>
      <c r="G732" s="23">
        <f t="shared" si="602"/>
        <v>1.3</v>
      </c>
      <c r="H732" s="4">
        <f t="shared" si="793"/>
        <v>3.8630000000000001E-3</v>
      </c>
      <c r="I732" s="2">
        <f t="shared" si="794"/>
        <v>3.7976027559055124E-2</v>
      </c>
      <c r="J732" s="4">
        <f t="shared" si="795"/>
        <v>7.6021102440944885E-2</v>
      </c>
      <c r="K732" s="4">
        <f t="shared" si="796"/>
        <v>0.11399713</v>
      </c>
      <c r="L732" s="13">
        <f t="shared" si="797"/>
        <v>0.49954586739327889</v>
      </c>
      <c r="M732" s="3">
        <f t="shared" ref="M732" si="800">AVERAGE(I732:I733)</f>
        <v>3.7976027559055124E-2</v>
      </c>
      <c r="N732" s="3">
        <f t="shared" ref="N732" si="801">AVERAGE(J732:J733)</f>
        <v>7.382884994094488E-2</v>
      </c>
    </row>
    <row r="733" spans="1:14" x14ac:dyDescent="0.2">
      <c r="A733" s="22"/>
      <c r="B733" s="4">
        <v>100</v>
      </c>
      <c r="C733" s="4">
        <v>8</v>
      </c>
      <c r="D733" s="33">
        <v>1.8</v>
      </c>
      <c r="E733" s="23">
        <v>1.25</v>
      </c>
      <c r="F733" s="23">
        <f t="shared" si="788"/>
        <v>1.8</v>
      </c>
      <c r="G733" s="23">
        <f t="shared" si="602"/>
        <v>1.25</v>
      </c>
      <c r="H733" s="4">
        <f t="shared" si="793"/>
        <v>3.8630000000000001E-3</v>
      </c>
      <c r="I733" s="2">
        <f t="shared" si="794"/>
        <v>3.7976027559055124E-2</v>
      </c>
      <c r="J733" s="4">
        <f t="shared" si="795"/>
        <v>7.1636597440944888E-2</v>
      </c>
      <c r="K733" s="4">
        <f t="shared" si="796"/>
        <v>0.10961262500000002</v>
      </c>
      <c r="L733" s="13">
        <f t="shared" si="797"/>
        <v>0.53012048192771088</v>
      </c>
      <c r="M733" s="3"/>
      <c r="N733" s="3"/>
    </row>
    <row r="734" spans="1:14" x14ac:dyDescent="0.2">
      <c r="A734" s="22">
        <v>488769</v>
      </c>
      <c r="B734" s="4">
        <v>100</v>
      </c>
      <c r="C734" s="4">
        <v>8</v>
      </c>
      <c r="D734" s="33">
        <v>3.9</v>
      </c>
      <c r="E734" s="23">
        <v>2.5</v>
      </c>
      <c r="F734" s="23">
        <f t="shared" si="788"/>
        <v>3.9</v>
      </c>
      <c r="G734" s="23">
        <f t="shared" si="602"/>
        <v>2.5</v>
      </c>
      <c r="H734" s="4">
        <f t="shared" si="793"/>
        <v>3.8630000000000001E-3</v>
      </c>
      <c r="I734" s="2">
        <f t="shared" si="794"/>
        <v>9.6666251968503938E-2</v>
      </c>
      <c r="J734" s="4">
        <f t="shared" si="795"/>
        <v>0.12255899803149609</v>
      </c>
      <c r="K734" s="4">
        <f t="shared" si="796"/>
        <v>0.21922525000000004</v>
      </c>
      <c r="L734" s="13">
        <f t="shared" si="797"/>
        <v>0.78873239436619702</v>
      </c>
      <c r="M734" s="3">
        <f t="shared" ref="M734" si="802">AVERAGE(I734:I735)</f>
        <v>9.6666251968503952E-2</v>
      </c>
      <c r="N734" s="3">
        <f t="shared" ref="N734" si="803">AVERAGE(J734:J735)</f>
        <v>0.12475125053149609</v>
      </c>
    </row>
    <row r="735" spans="1:14" x14ac:dyDescent="0.2">
      <c r="A735" s="22"/>
      <c r="B735" s="4">
        <v>100</v>
      </c>
      <c r="C735" s="4">
        <v>8</v>
      </c>
      <c r="D735" s="33">
        <v>3.95</v>
      </c>
      <c r="E735" s="23">
        <v>2.5499999999999998</v>
      </c>
      <c r="F735" s="23">
        <f t="shared" si="788"/>
        <v>3.95</v>
      </c>
      <c r="G735" s="23">
        <f t="shared" si="602"/>
        <v>2.5499999999999998</v>
      </c>
      <c r="H735" s="4">
        <f t="shared" si="793"/>
        <v>3.8630000000000001E-3</v>
      </c>
      <c r="I735" s="2">
        <f t="shared" si="794"/>
        <v>9.6666251968503966E-2</v>
      </c>
      <c r="J735" s="4">
        <f t="shared" si="795"/>
        <v>0.1269435030314961</v>
      </c>
      <c r="K735" s="4">
        <f t="shared" si="796"/>
        <v>0.22360975500000008</v>
      </c>
      <c r="L735" s="13">
        <f t="shared" si="797"/>
        <v>0.76149034539026383</v>
      </c>
      <c r="M735" s="3"/>
      <c r="N735" s="3"/>
    </row>
    <row r="736" spans="1:14" x14ac:dyDescent="0.2">
      <c r="A736" s="22">
        <v>488770</v>
      </c>
      <c r="B736" s="4">
        <v>100</v>
      </c>
      <c r="C736" s="4">
        <v>7</v>
      </c>
      <c r="D736" s="33">
        <v>4.9000000000000004</v>
      </c>
      <c r="E736" s="23">
        <v>2.95</v>
      </c>
      <c r="F736" s="23">
        <f t="shared" si="788"/>
        <v>4.9000000000000004</v>
      </c>
      <c r="G736" s="23">
        <f t="shared" si="602"/>
        <v>2.95</v>
      </c>
      <c r="H736" s="4">
        <f t="shared" si="793"/>
        <v>9.7450000000000002E-3</v>
      </c>
      <c r="I736" s="2">
        <f t="shared" si="794"/>
        <v>0.33965545275590558</v>
      </c>
      <c r="J736" s="4">
        <f t="shared" si="795"/>
        <v>0.31291847224409469</v>
      </c>
      <c r="K736" s="4">
        <f t="shared" si="796"/>
        <v>0.65257392500000022</v>
      </c>
      <c r="L736" s="13">
        <f t="shared" si="797"/>
        <v>1.0854439187308651</v>
      </c>
      <c r="M736" s="3">
        <f t="shared" ref="M736" si="804">AVERAGE(I736:I737)</f>
        <v>0.34836456692913387</v>
      </c>
      <c r="N736" s="3">
        <f t="shared" ref="N736" si="805">AVERAGE(J736:J737)</f>
        <v>0.30420935807086635</v>
      </c>
    </row>
    <row r="737" spans="1:14" x14ac:dyDescent="0.2">
      <c r="A737" s="22"/>
      <c r="B737" s="4">
        <v>100</v>
      </c>
      <c r="C737" s="4">
        <v>7</v>
      </c>
      <c r="D737" s="33">
        <v>5</v>
      </c>
      <c r="E737" s="23">
        <v>2.95</v>
      </c>
      <c r="F737" s="23">
        <f t="shared" si="788"/>
        <v>5</v>
      </c>
      <c r="G737" s="23">
        <f t="shared" si="602"/>
        <v>2.95</v>
      </c>
      <c r="H737" s="4">
        <f t="shared" si="793"/>
        <v>9.7450000000000002E-3</v>
      </c>
      <c r="I737" s="2">
        <f t="shared" si="794"/>
        <v>0.35707368110236215</v>
      </c>
      <c r="J737" s="4">
        <f t="shared" si="795"/>
        <v>0.29550024389763796</v>
      </c>
      <c r="K737" s="4">
        <f t="shared" si="796"/>
        <v>0.65257392500000011</v>
      </c>
      <c r="L737" s="13">
        <f t="shared" si="797"/>
        <v>1.2083701738874144</v>
      </c>
      <c r="M737" s="3"/>
      <c r="N737" s="3"/>
    </row>
    <row r="738" spans="1:14" x14ac:dyDescent="0.2">
      <c r="A738" s="22">
        <v>488771</v>
      </c>
      <c r="B738" s="4">
        <v>100</v>
      </c>
      <c r="C738" s="4">
        <v>6</v>
      </c>
      <c r="D738" s="33">
        <v>3.15</v>
      </c>
      <c r="E738" s="23">
        <v>1.8</v>
      </c>
      <c r="F738" s="23">
        <f t="shared" si="788"/>
        <v>3.15</v>
      </c>
      <c r="G738" s="23">
        <f t="shared" si="602"/>
        <v>1.8</v>
      </c>
      <c r="H738" s="4">
        <f t="shared" si="793"/>
        <v>3.5767E-2</v>
      </c>
      <c r="I738" s="2">
        <f t="shared" si="794"/>
        <v>0.86305489370078736</v>
      </c>
      <c r="J738" s="4">
        <f t="shared" si="795"/>
        <v>0.5983847262992128</v>
      </c>
      <c r="K738" s="4">
        <f t="shared" si="796"/>
        <v>1.4614396200000002</v>
      </c>
      <c r="L738" s="13">
        <f t="shared" si="797"/>
        <v>1.4423076923076918</v>
      </c>
      <c r="M738" s="3">
        <f t="shared" ref="M738" si="806">AVERAGE(I738:I739)</f>
        <v>0.86305489370078736</v>
      </c>
      <c r="N738" s="3">
        <f t="shared" ref="N738" si="807">AVERAGE(J738:J739)</f>
        <v>0.57808695379921271</v>
      </c>
    </row>
    <row r="739" spans="1:14" x14ac:dyDescent="0.2">
      <c r="A739" s="22"/>
      <c r="B739" s="4">
        <v>100</v>
      </c>
      <c r="C739" s="4">
        <v>6</v>
      </c>
      <c r="D739" s="33">
        <v>3.1</v>
      </c>
      <c r="E739" s="23">
        <v>1.75</v>
      </c>
      <c r="F739" s="23">
        <f t="shared" si="788"/>
        <v>3.1</v>
      </c>
      <c r="G739" s="23">
        <f t="shared" si="602"/>
        <v>1.75</v>
      </c>
      <c r="H739" s="4">
        <f t="shared" si="793"/>
        <v>3.5767E-2</v>
      </c>
      <c r="I739" s="2">
        <f t="shared" si="794"/>
        <v>0.86305489370078747</v>
      </c>
      <c r="J739" s="4">
        <f t="shared" si="795"/>
        <v>0.55778918129921262</v>
      </c>
      <c r="K739" s="4">
        <f t="shared" si="796"/>
        <v>1.4208440750000002</v>
      </c>
      <c r="L739" s="13">
        <f t="shared" si="797"/>
        <v>1.5472779369627507</v>
      </c>
      <c r="M739" s="3"/>
      <c r="N739" s="3"/>
    </row>
    <row r="740" spans="1:14" x14ac:dyDescent="0.2">
      <c r="A740" s="22">
        <v>488772</v>
      </c>
      <c r="B740" s="4">
        <v>100</v>
      </c>
      <c r="C740" s="4">
        <v>7</v>
      </c>
      <c r="D740" s="33">
        <v>4.75</v>
      </c>
      <c r="E740" s="23">
        <v>2.65</v>
      </c>
      <c r="F740" s="23">
        <f t="shared" si="788"/>
        <v>4.75</v>
      </c>
      <c r="G740" s="23">
        <f t="shared" si="602"/>
        <v>2.65</v>
      </c>
      <c r="H740" s="4">
        <f t="shared" si="793"/>
        <v>9.7450000000000002E-3</v>
      </c>
      <c r="I740" s="2">
        <f t="shared" si="794"/>
        <v>0.36578279527559054</v>
      </c>
      <c r="J740" s="4">
        <f t="shared" si="795"/>
        <v>0.22042767972440941</v>
      </c>
      <c r="K740" s="4">
        <f t="shared" si="796"/>
        <v>0.5862104749999999</v>
      </c>
      <c r="L740" s="13">
        <f t="shared" si="797"/>
        <v>1.6594231529039909</v>
      </c>
      <c r="M740" s="3">
        <f t="shared" ref="M740" si="808">AVERAGE(I740:I741)</f>
        <v>0.37449190944881894</v>
      </c>
      <c r="N740" s="3">
        <f t="shared" ref="N740" si="809">AVERAGE(J740:J741)</f>
        <v>0.20065799055118111</v>
      </c>
    </row>
    <row r="741" spans="1:14" x14ac:dyDescent="0.2">
      <c r="A741" s="22"/>
      <c r="B741" s="4">
        <v>100</v>
      </c>
      <c r="C741" s="4">
        <v>7</v>
      </c>
      <c r="D741" s="33">
        <v>4.75</v>
      </c>
      <c r="E741" s="23">
        <v>2.5499999999999998</v>
      </c>
      <c r="F741" s="23">
        <f t="shared" si="788"/>
        <v>4.75</v>
      </c>
      <c r="G741" s="23">
        <f t="shared" si="602"/>
        <v>2.5499999999999998</v>
      </c>
      <c r="H741" s="4">
        <f t="shared" si="793"/>
        <v>9.7450000000000002E-3</v>
      </c>
      <c r="I741" s="2">
        <f t="shared" si="794"/>
        <v>0.38320102362204733</v>
      </c>
      <c r="J741" s="4">
        <f t="shared" si="795"/>
        <v>0.18088830137795281</v>
      </c>
      <c r="K741" s="4">
        <f t="shared" si="796"/>
        <v>0.56408932500000009</v>
      </c>
      <c r="L741" s="13">
        <f t="shared" si="797"/>
        <v>2.1184400577756377</v>
      </c>
      <c r="M741" s="3"/>
      <c r="N741" s="3"/>
    </row>
    <row r="742" spans="1:14" x14ac:dyDescent="0.2">
      <c r="A742" s="22">
        <v>488773</v>
      </c>
      <c r="B742" s="4">
        <v>100</v>
      </c>
      <c r="C742" s="4">
        <v>8</v>
      </c>
      <c r="D742" s="33">
        <v>5.25</v>
      </c>
      <c r="E742" s="23">
        <v>2.7</v>
      </c>
      <c r="F742" s="23">
        <f t="shared" si="788"/>
        <v>5.25</v>
      </c>
      <c r="G742" s="23">
        <f t="shared" si="602"/>
        <v>2.7</v>
      </c>
      <c r="H742" s="4">
        <f t="shared" si="793"/>
        <v>3.8630000000000001E-3</v>
      </c>
      <c r="I742" s="2">
        <f t="shared" si="794"/>
        <v>0.17607067322834646</v>
      </c>
      <c r="J742" s="4">
        <f t="shared" si="795"/>
        <v>6.0692596771653562E-2</v>
      </c>
      <c r="K742" s="4">
        <f t="shared" si="796"/>
        <v>0.23676327000000003</v>
      </c>
      <c r="L742" s="13">
        <f t="shared" si="797"/>
        <v>2.9010238907849821</v>
      </c>
      <c r="M742" s="3">
        <f t="shared" ref="M742" si="810">AVERAGE(I742:I743)</f>
        <v>0.17952303937007874</v>
      </c>
      <c r="N742" s="3">
        <f t="shared" ref="N742" si="811">AVERAGE(J742:J743)</f>
        <v>6.1624735629921268E-2</v>
      </c>
    </row>
    <row r="743" spans="1:14" x14ac:dyDescent="0.2">
      <c r="A743" s="22"/>
      <c r="B743" s="4">
        <v>100</v>
      </c>
      <c r="C743" s="4">
        <v>8</v>
      </c>
      <c r="D743" s="33">
        <v>5.45</v>
      </c>
      <c r="E743" s="23">
        <v>2.8</v>
      </c>
      <c r="F743" s="23">
        <f t="shared" si="788"/>
        <v>5.45</v>
      </c>
      <c r="G743" s="23">
        <f t="shared" si="602"/>
        <v>2.8</v>
      </c>
      <c r="H743" s="4">
        <f t="shared" si="793"/>
        <v>3.8630000000000001E-3</v>
      </c>
      <c r="I743" s="2">
        <f t="shared" si="794"/>
        <v>0.18297540551181105</v>
      </c>
      <c r="J743" s="4">
        <f t="shared" si="795"/>
        <v>6.2556874488188974E-2</v>
      </c>
      <c r="K743" s="4">
        <f t="shared" si="796"/>
        <v>0.24553228000000002</v>
      </c>
      <c r="L743" s="13">
        <f t="shared" si="797"/>
        <v>2.9249448123620314</v>
      </c>
      <c r="M743" s="3"/>
      <c r="N743" s="3"/>
    </row>
    <row r="744" spans="1:14" x14ac:dyDescent="0.2">
      <c r="A744" s="22">
        <v>488774</v>
      </c>
      <c r="B744" s="4">
        <v>100</v>
      </c>
      <c r="C744" s="4">
        <v>8</v>
      </c>
      <c r="D744" s="33">
        <v>3.8</v>
      </c>
      <c r="E744" s="23">
        <v>1.85</v>
      </c>
      <c r="F744" s="23">
        <f t="shared" si="788"/>
        <v>3.8</v>
      </c>
      <c r="G744" s="23">
        <f t="shared" si="602"/>
        <v>1.85</v>
      </c>
      <c r="H744" s="4">
        <f t="shared" si="793"/>
        <v>3.8630000000000001E-3</v>
      </c>
      <c r="I744" s="2">
        <f t="shared" si="794"/>
        <v>0.13464227952755903</v>
      </c>
      <c r="J744" s="4">
        <f t="shared" si="795"/>
        <v>2.7584405472440999E-2</v>
      </c>
      <c r="K744" s="4">
        <f t="shared" si="796"/>
        <v>0.16222668500000004</v>
      </c>
      <c r="L744" s="13">
        <f t="shared" si="797"/>
        <v>4.8811013767208902</v>
      </c>
      <c r="M744" s="3">
        <f t="shared" ref="M744" si="812">AVERAGE(I744:I745)</f>
        <v>0.1380946456692913</v>
      </c>
      <c r="N744" s="3">
        <f t="shared" ref="N744" si="813">AVERAGE(J744:J745)</f>
        <v>3.07087968307087E-2</v>
      </c>
    </row>
    <row r="745" spans="1:14" x14ac:dyDescent="0.2">
      <c r="A745" s="22"/>
      <c r="B745" s="4">
        <v>100</v>
      </c>
      <c r="C745" s="4">
        <v>8</v>
      </c>
      <c r="D745" s="33">
        <v>4.05</v>
      </c>
      <c r="E745" s="23">
        <v>2</v>
      </c>
      <c r="F745" s="23">
        <f t="shared" si="788"/>
        <v>4.05</v>
      </c>
      <c r="G745" s="23">
        <f t="shared" si="602"/>
        <v>2</v>
      </c>
      <c r="H745" s="4">
        <f t="shared" si="793"/>
        <v>3.8630000000000001E-3</v>
      </c>
      <c r="I745" s="2">
        <f t="shared" si="794"/>
        <v>0.14154701181102361</v>
      </c>
      <c r="J745" s="4">
        <f t="shared" si="795"/>
        <v>3.3833188188976397E-2</v>
      </c>
      <c r="K745" s="4">
        <f t="shared" si="796"/>
        <v>0.17538020000000001</v>
      </c>
      <c r="L745" s="13">
        <f t="shared" si="797"/>
        <v>4.1836734693877524</v>
      </c>
      <c r="M745" s="3"/>
      <c r="N745" s="3"/>
    </row>
    <row r="746" spans="1:14" x14ac:dyDescent="0.2">
      <c r="A746" s="22">
        <v>488775</v>
      </c>
      <c r="B746" s="4">
        <v>100</v>
      </c>
      <c r="C746" s="4">
        <v>8</v>
      </c>
      <c r="D746" s="33">
        <v>3.7</v>
      </c>
      <c r="E746" s="23">
        <v>1.85</v>
      </c>
      <c r="F746" s="23">
        <f t="shared" si="788"/>
        <v>3.7</v>
      </c>
      <c r="G746" s="23">
        <f t="shared" si="602"/>
        <v>1.85</v>
      </c>
      <c r="H746" s="4">
        <f t="shared" si="793"/>
        <v>3.8630000000000001E-3</v>
      </c>
      <c r="I746" s="2">
        <f t="shared" si="794"/>
        <v>0.12773754724409447</v>
      </c>
      <c r="J746" s="4">
        <f t="shared" si="795"/>
        <v>3.4489137755905556E-2</v>
      </c>
      <c r="K746" s="4">
        <f t="shared" si="796"/>
        <v>0.16222668500000004</v>
      </c>
      <c r="L746" s="13">
        <f t="shared" si="797"/>
        <v>3.7037037037036984</v>
      </c>
      <c r="M746" s="3">
        <f t="shared" ref="M746" si="814">AVERAGE(I746:I747)</f>
        <v>0.12773754724409447</v>
      </c>
      <c r="N746" s="3">
        <f t="shared" ref="N746" si="815">AVERAGE(J746:J747)</f>
        <v>3.2296885255905544E-2</v>
      </c>
    </row>
    <row r="747" spans="1:14" x14ac:dyDescent="0.2">
      <c r="A747" s="22"/>
      <c r="B747" s="4">
        <v>100</v>
      </c>
      <c r="C747" s="4">
        <v>8</v>
      </c>
      <c r="D747" s="33">
        <v>3.65</v>
      </c>
      <c r="E747" s="23">
        <v>1.8</v>
      </c>
      <c r="F747" s="23">
        <f t="shared" si="788"/>
        <v>3.65</v>
      </c>
      <c r="G747" s="23">
        <f t="shared" si="602"/>
        <v>1.8</v>
      </c>
      <c r="H747" s="4">
        <f t="shared" si="793"/>
        <v>3.8630000000000001E-3</v>
      </c>
      <c r="I747" s="2">
        <f t="shared" si="794"/>
        <v>0.12773754724409447</v>
      </c>
      <c r="J747" s="4">
        <f t="shared" si="795"/>
        <v>3.0104632755905532E-2</v>
      </c>
      <c r="K747" s="4">
        <f t="shared" si="796"/>
        <v>0.15784218</v>
      </c>
      <c r="L747" s="13">
        <f t="shared" si="797"/>
        <v>4.243119266055043</v>
      </c>
      <c r="M747" s="3"/>
      <c r="N747" s="3"/>
    </row>
    <row r="748" spans="1:14" x14ac:dyDescent="0.2">
      <c r="A748" s="22">
        <v>488786</v>
      </c>
      <c r="B748" s="4">
        <v>100</v>
      </c>
      <c r="C748" s="4">
        <v>8</v>
      </c>
      <c r="D748" s="33">
        <v>0.65</v>
      </c>
      <c r="E748" s="23">
        <v>0.45</v>
      </c>
      <c r="F748" s="23">
        <f t="shared" si="788"/>
        <v>0.65</v>
      </c>
      <c r="G748" s="23">
        <f t="shared" si="602"/>
        <v>0.45</v>
      </c>
      <c r="H748" s="4">
        <f t="shared" si="793"/>
        <v>3.8630000000000001E-3</v>
      </c>
      <c r="I748" s="2">
        <f t="shared" si="794"/>
        <v>1.3809464566929134E-2</v>
      </c>
      <c r="J748" s="4">
        <f t="shared" si="795"/>
        <v>2.5651080433070871E-2</v>
      </c>
      <c r="K748" s="4">
        <f t="shared" si="796"/>
        <v>3.9460545000000007E-2</v>
      </c>
      <c r="L748" s="13">
        <f t="shared" si="797"/>
        <v>0.53835800807537004</v>
      </c>
      <c r="M748" s="3">
        <f t="shared" ref="M748" si="816">AVERAGE(I748:I749)</f>
        <v>1.2083281496062994E-2</v>
      </c>
      <c r="N748" s="3">
        <f t="shared" ref="N748" si="817">AVERAGE(J748:J749)</f>
        <v>2.9569516003937011E-2</v>
      </c>
    </row>
    <row r="749" spans="1:14" x14ac:dyDescent="0.2">
      <c r="A749" s="22"/>
      <c r="B749" s="4">
        <v>100</v>
      </c>
      <c r="C749" s="4">
        <v>8</v>
      </c>
      <c r="D749" s="33">
        <v>0.65</v>
      </c>
      <c r="E749" s="23">
        <v>0.5</v>
      </c>
      <c r="F749" s="23">
        <f t="shared" si="788"/>
        <v>0.65</v>
      </c>
      <c r="G749" s="23">
        <f t="shared" si="602"/>
        <v>0.5</v>
      </c>
      <c r="H749" s="4">
        <f t="shared" si="793"/>
        <v>3.8630000000000001E-3</v>
      </c>
      <c r="I749" s="2">
        <f t="shared" si="794"/>
        <v>1.0357098425196852E-2</v>
      </c>
      <c r="J749" s="4">
        <f t="shared" si="795"/>
        <v>3.3487951574803151E-2</v>
      </c>
      <c r="K749" s="4">
        <f t="shared" si="796"/>
        <v>4.3845050000000003E-2</v>
      </c>
      <c r="L749" s="13">
        <f t="shared" si="797"/>
        <v>0.30927835051546393</v>
      </c>
      <c r="M749" s="3"/>
      <c r="N749" s="3"/>
    </row>
    <row r="750" spans="1:14" x14ac:dyDescent="0.2">
      <c r="A750" s="22">
        <v>488787</v>
      </c>
      <c r="B750" s="4">
        <v>100</v>
      </c>
      <c r="C750" s="4">
        <v>8</v>
      </c>
      <c r="D750" s="33">
        <v>3.25</v>
      </c>
      <c r="E750" s="23">
        <v>2.2000000000000002</v>
      </c>
      <c r="F750" s="23">
        <f t="shared" si="788"/>
        <v>3.25</v>
      </c>
      <c r="G750" s="23">
        <f t="shared" si="602"/>
        <v>2.2000000000000002</v>
      </c>
      <c r="H750" s="4">
        <f t="shared" si="793"/>
        <v>3.8630000000000001E-3</v>
      </c>
      <c r="I750" s="2">
        <f t="shared" si="794"/>
        <v>7.2499688976377943E-2</v>
      </c>
      <c r="J750" s="4">
        <f t="shared" si="795"/>
        <v>0.12041853102362207</v>
      </c>
      <c r="K750" s="4">
        <f t="shared" si="796"/>
        <v>0.19291822000000003</v>
      </c>
      <c r="L750" s="13">
        <f t="shared" si="797"/>
        <v>0.60206422018348604</v>
      </c>
      <c r="M750" s="3">
        <f t="shared" ref="M750" si="818">AVERAGE(I750:I751)</f>
        <v>7.2499688976377943E-2</v>
      </c>
      <c r="N750" s="3">
        <f t="shared" ref="N750" si="819">AVERAGE(J750:J751)</f>
        <v>0.11603402602362207</v>
      </c>
    </row>
    <row r="751" spans="1:14" x14ac:dyDescent="0.2">
      <c r="A751" s="22"/>
      <c r="B751" s="4">
        <v>100</v>
      </c>
      <c r="C751" s="4">
        <v>8</v>
      </c>
      <c r="D751" s="33">
        <v>3.15</v>
      </c>
      <c r="E751" s="23">
        <v>2.1</v>
      </c>
      <c r="F751" s="23">
        <f t="shared" si="788"/>
        <v>3.15</v>
      </c>
      <c r="G751" s="23">
        <f t="shared" si="602"/>
        <v>2.1</v>
      </c>
      <c r="H751" s="4">
        <f t="shared" si="793"/>
        <v>3.8630000000000001E-3</v>
      </c>
      <c r="I751" s="2">
        <f t="shared" si="794"/>
        <v>7.2499688976377943E-2</v>
      </c>
      <c r="J751" s="4">
        <f t="shared" si="795"/>
        <v>0.11164952102362208</v>
      </c>
      <c r="K751" s="4">
        <f t="shared" si="796"/>
        <v>0.18414921000000001</v>
      </c>
      <c r="L751" s="13">
        <f t="shared" si="797"/>
        <v>0.64935064935064912</v>
      </c>
      <c r="M751" s="3"/>
      <c r="N751" s="3"/>
    </row>
    <row r="752" spans="1:14" x14ac:dyDescent="0.2">
      <c r="A752" s="22">
        <v>488789</v>
      </c>
      <c r="B752" s="4">
        <v>100</v>
      </c>
      <c r="C752" s="4">
        <v>6</v>
      </c>
      <c r="D752" s="33">
        <v>3.3</v>
      </c>
      <c r="E752" s="23">
        <v>1.85</v>
      </c>
      <c r="F752" s="23">
        <f t="shared" si="788"/>
        <v>3.3</v>
      </c>
      <c r="G752" s="23">
        <f t="shared" si="602"/>
        <v>1.85</v>
      </c>
      <c r="H752" s="4">
        <f t="shared" si="793"/>
        <v>3.5767E-2</v>
      </c>
      <c r="I752" s="2">
        <f t="shared" si="794"/>
        <v>0.92698488582677152</v>
      </c>
      <c r="J752" s="4">
        <f t="shared" si="795"/>
        <v>0.5750502791732286</v>
      </c>
      <c r="K752" s="4">
        <f t="shared" si="796"/>
        <v>1.5020351650000001</v>
      </c>
      <c r="L752" s="13">
        <f t="shared" si="797"/>
        <v>1.6120066703724283</v>
      </c>
      <c r="M752" s="3">
        <f t="shared" ref="M752" si="820">AVERAGE(I752:I753)</f>
        <v>0.94296738385826762</v>
      </c>
      <c r="N752" s="3">
        <f t="shared" ref="N752" si="821">AVERAGE(J752:J753)</f>
        <v>0.57936555364173248</v>
      </c>
    </row>
    <row r="753" spans="1:14" x14ac:dyDescent="0.2">
      <c r="A753" s="22"/>
      <c r="B753" s="4">
        <v>100</v>
      </c>
      <c r="C753" s="4">
        <v>6</v>
      </c>
      <c r="D753" s="33">
        <v>3.4</v>
      </c>
      <c r="E753" s="23">
        <v>1.9</v>
      </c>
      <c r="F753" s="23">
        <f t="shared" si="788"/>
        <v>3.4</v>
      </c>
      <c r="G753" s="23">
        <f t="shared" si="602"/>
        <v>1.9</v>
      </c>
      <c r="H753" s="4">
        <f t="shared" si="793"/>
        <v>3.5767E-2</v>
      </c>
      <c r="I753" s="2">
        <f t="shared" si="794"/>
        <v>0.95894988188976371</v>
      </c>
      <c r="J753" s="4">
        <f t="shared" si="795"/>
        <v>0.58368082811023636</v>
      </c>
      <c r="K753" s="4">
        <f t="shared" si="796"/>
        <v>1.5426307100000001</v>
      </c>
      <c r="L753" s="13">
        <f t="shared" si="797"/>
        <v>1.6429353778751363</v>
      </c>
      <c r="M753" s="3"/>
      <c r="N753" s="3"/>
    </row>
    <row r="754" spans="1:14" x14ac:dyDescent="0.2">
      <c r="A754" s="22">
        <v>488790</v>
      </c>
      <c r="B754" s="4">
        <v>100</v>
      </c>
      <c r="C754" s="4">
        <v>6</v>
      </c>
      <c r="D754" s="33">
        <v>2.25</v>
      </c>
      <c r="E754" s="23">
        <v>1.2</v>
      </c>
      <c r="F754" s="23">
        <f t="shared" si="788"/>
        <v>2.25</v>
      </c>
      <c r="G754" s="23">
        <f t="shared" si="602"/>
        <v>1.2</v>
      </c>
      <c r="H754" s="4">
        <f t="shared" si="793"/>
        <v>3.5767E-2</v>
      </c>
      <c r="I754" s="2">
        <f t="shared" si="794"/>
        <v>0.67126491732283466</v>
      </c>
      <c r="J754" s="4">
        <f t="shared" si="795"/>
        <v>0.30302816267716526</v>
      </c>
      <c r="K754" s="4">
        <f t="shared" si="796"/>
        <v>0.97429307999999992</v>
      </c>
      <c r="L754" s="13">
        <f t="shared" si="797"/>
        <v>2.2151898734177222</v>
      </c>
      <c r="M754" s="3">
        <f t="shared" ref="M754" si="822">AVERAGE(I754:I755)</f>
        <v>0.65528241929133868</v>
      </c>
      <c r="N754" s="3">
        <f t="shared" ref="N754" si="823">AVERAGE(J754:J755)</f>
        <v>0.33930843320866139</v>
      </c>
    </row>
    <row r="755" spans="1:14" x14ac:dyDescent="0.2">
      <c r="A755" s="22"/>
      <c r="B755" s="4">
        <v>100</v>
      </c>
      <c r="C755" s="4">
        <v>6</v>
      </c>
      <c r="D755" s="33">
        <v>2.25</v>
      </c>
      <c r="E755" s="23">
        <v>1.25</v>
      </c>
      <c r="F755" s="23">
        <f t="shared" si="788"/>
        <v>2.25</v>
      </c>
      <c r="G755" s="23">
        <f t="shared" si="602"/>
        <v>1.25</v>
      </c>
      <c r="H755" s="4">
        <f t="shared" si="793"/>
        <v>3.5767E-2</v>
      </c>
      <c r="I755" s="2">
        <f t="shared" si="794"/>
        <v>0.63929992125984259</v>
      </c>
      <c r="J755" s="4">
        <f t="shared" si="795"/>
        <v>0.37558870374015751</v>
      </c>
      <c r="K755" s="4">
        <f t="shared" si="796"/>
        <v>1.0148886250000002</v>
      </c>
      <c r="L755" s="13">
        <f t="shared" si="797"/>
        <v>1.7021276595744681</v>
      </c>
      <c r="M755" s="3"/>
      <c r="N755" s="3"/>
    </row>
    <row r="756" spans="1:14" x14ac:dyDescent="0.2">
      <c r="A756" s="22">
        <v>488791</v>
      </c>
      <c r="B756" s="4">
        <v>100</v>
      </c>
      <c r="C756" s="4">
        <v>7</v>
      </c>
      <c r="D756" s="33">
        <v>3.25</v>
      </c>
      <c r="E756" s="23">
        <v>1.7</v>
      </c>
      <c r="F756" s="23">
        <f t="shared" si="788"/>
        <v>3.25</v>
      </c>
      <c r="G756" s="23">
        <f t="shared" si="602"/>
        <v>1.7</v>
      </c>
      <c r="H756" s="4">
        <f t="shared" si="793"/>
        <v>9.7450000000000002E-3</v>
      </c>
      <c r="I756" s="2">
        <f t="shared" si="794"/>
        <v>0.26998253937007877</v>
      </c>
      <c r="J756" s="4">
        <f t="shared" si="795"/>
        <v>0.1060770106299213</v>
      </c>
      <c r="K756" s="4">
        <f t="shared" si="796"/>
        <v>0.37605955000000008</v>
      </c>
      <c r="L756" s="13">
        <f t="shared" si="797"/>
        <v>2.5451559934318548</v>
      </c>
      <c r="M756" s="3">
        <f t="shared" ref="M756" si="824">AVERAGE(I756:I757)</f>
        <v>0.26562798228346463</v>
      </c>
      <c r="N756" s="3">
        <f t="shared" ref="N756" si="825">AVERAGE(J756:J757)</f>
        <v>0.11596185521653546</v>
      </c>
    </row>
    <row r="757" spans="1:14" x14ac:dyDescent="0.2">
      <c r="A757" s="22"/>
      <c r="B757" s="4">
        <v>100</v>
      </c>
      <c r="C757" s="4">
        <v>7</v>
      </c>
      <c r="D757" s="33">
        <v>3.25</v>
      </c>
      <c r="E757" s="23">
        <v>1.75</v>
      </c>
      <c r="F757" s="23">
        <f t="shared" si="788"/>
        <v>3.25</v>
      </c>
      <c r="G757" s="23">
        <f t="shared" si="602"/>
        <v>1.75</v>
      </c>
      <c r="H757" s="4">
        <f t="shared" si="793"/>
        <v>9.7450000000000002E-3</v>
      </c>
      <c r="I757" s="2">
        <f t="shared" si="794"/>
        <v>0.26127342519685043</v>
      </c>
      <c r="J757" s="4">
        <f t="shared" si="795"/>
        <v>0.12584669980314961</v>
      </c>
      <c r="K757" s="4">
        <f t="shared" si="796"/>
        <v>0.38712012500000004</v>
      </c>
      <c r="L757" s="13">
        <f t="shared" si="797"/>
        <v>2.0761245674740487</v>
      </c>
      <c r="M757" s="3"/>
      <c r="N757" s="3"/>
    </row>
    <row r="758" spans="1:14" x14ac:dyDescent="0.2">
      <c r="A758" s="22">
        <v>488792</v>
      </c>
      <c r="B758" s="4">
        <v>100</v>
      </c>
      <c r="C758" s="4">
        <v>7</v>
      </c>
      <c r="D758" s="33">
        <v>2.35</v>
      </c>
      <c r="E758" s="23">
        <v>1.2</v>
      </c>
      <c r="F758" s="23">
        <f t="shared" si="788"/>
        <v>2.35</v>
      </c>
      <c r="G758" s="23">
        <f t="shared" si="602"/>
        <v>1.2</v>
      </c>
      <c r="H758" s="4">
        <f t="shared" si="793"/>
        <v>9.7450000000000002E-3</v>
      </c>
      <c r="I758" s="2">
        <f t="shared" si="794"/>
        <v>0.200309625984252</v>
      </c>
      <c r="J758" s="4">
        <f t="shared" si="795"/>
        <v>6.5144174015748041E-2</v>
      </c>
      <c r="K758" s="4">
        <f t="shared" si="796"/>
        <v>0.26545380000000007</v>
      </c>
      <c r="L758" s="13">
        <f t="shared" si="797"/>
        <v>3.0748663101604281</v>
      </c>
      <c r="M758" s="3">
        <f t="shared" ref="M758" si="826">AVERAGE(I758:I759)</f>
        <v>0.200309625984252</v>
      </c>
      <c r="N758" s="3">
        <f t="shared" ref="N758" si="827">AVERAGE(J758:J759)</f>
        <v>6.5144174015748041E-2</v>
      </c>
    </row>
    <row r="759" spans="1:14" x14ac:dyDescent="0.2">
      <c r="A759" s="22"/>
      <c r="B759" s="4">
        <v>100</v>
      </c>
      <c r="C759" s="4">
        <v>7</v>
      </c>
      <c r="D759" s="33">
        <v>2.35</v>
      </c>
      <c r="E759" s="23">
        <v>1.2</v>
      </c>
      <c r="F759" s="23">
        <f t="shared" si="788"/>
        <v>2.35</v>
      </c>
      <c r="G759" s="23">
        <f t="shared" si="602"/>
        <v>1.2</v>
      </c>
      <c r="H759" s="4">
        <f t="shared" si="793"/>
        <v>9.7450000000000002E-3</v>
      </c>
      <c r="I759" s="2">
        <f t="shared" si="794"/>
        <v>0.200309625984252</v>
      </c>
      <c r="J759" s="4">
        <f t="shared" si="795"/>
        <v>6.5144174015748041E-2</v>
      </c>
      <c r="K759" s="4">
        <f t="shared" si="796"/>
        <v>0.26545380000000007</v>
      </c>
      <c r="L759" s="13">
        <f t="shared" si="797"/>
        <v>3.0748663101604281</v>
      </c>
      <c r="M759" s="3"/>
      <c r="N759" s="3"/>
    </row>
    <row r="760" spans="1:14" x14ac:dyDescent="0.2">
      <c r="A760" s="22">
        <v>488793</v>
      </c>
      <c r="B760" s="4">
        <v>100</v>
      </c>
      <c r="C760" s="4">
        <v>8</v>
      </c>
      <c r="D760" s="33">
        <v>4.8</v>
      </c>
      <c r="E760" s="23">
        <v>2.4500000000000002</v>
      </c>
      <c r="F760" s="23">
        <f t="shared" si="788"/>
        <v>4.8</v>
      </c>
      <c r="G760" s="23">
        <f t="shared" si="602"/>
        <v>2.4500000000000002</v>
      </c>
      <c r="H760" s="4">
        <f t="shared" si="793"/>
        <v>3.8630000000000001E-3</v>
      </c>
      <c r="I760" s="2">
        <f t="shared" si="794"/>
        <v>0.1622612086614173</v>
      </c>
      <c r="J760" s="4">
        <f t="shared" si="795"/>
        <v>5.2579536338582748E-2</v>
      </c>
      <c r="K760" s="4">
        <f t="shared" si="796"/>
        <v>0.21484074500000006</v>
      </c>
      <c r="L760" s="13">
        <f t="shared" si="797"/>
        <v>3.0860144451739941</v>
      </c>
      <c r="M760" s="3">
        <f t="shared" ref="M760" si="828">AVERAGE(I760:I761)</f>
        <v>0.16053502559055116</v>
      </c>
      <c r="N760" s="3">
        <f t="shared" ref="N760" si="829">AVERAGE(J760:J761)</f>
        <v>5.6497971909448885E-2</v>
      </c>
    </row>
    <row r="761" spans="1:14" x14ac:dyDescent="0.2">
      <c r="A761" s="22"/>
      <c r="B761" s="4">
        <v>100</v>
      </c>
      <c r="C761" s="4">
        <v>8</v>
      </c>
      <c r="D761" s="33">
        <v>4.8</v>
      </c>
      <c r="E761" s="23">
        <v>2.5</v>
      </c>
      <c r="F761" s="23">
        <f t="shared" si="788"/>
        <v>4.8</v>
      </c>
      <c r="G761" s="23">
        <f t="shared" si="602"/>
        <v>2.5</v>
      </c>
      <c r="H761" s="4">
        <f t="shared" si="793"/>
        <v>3.8630000000000001E-3</v>
      </c>
      <c r="I761" s="2">
        <f t="shared" si="794"/>
        <v>0.15880884251968502</v>
      </c>
      <c r="J761" s="4">
        <f t="shared" si="795"/>
        <v>6.0416407480315015E-2</v>
      </c>
      <c r="K761" s="4">
        <f t="shared" si="796"/>
        <v>0.21922525000000004</v>
      </c>
      <c r="L761" s="13">
        <f t="shared" si="797"/>
        <v>2.6285714285714259</v>
      </c>
      <c r="M761" s="3"/>
      <c r="N761" s="3"/>
    </row>
    <row r="762" spans="1:14" x14ac:dyDescent="0.2">
      <c r="A762" s="22">
        <v>488794</v>
      </c>
      <c r="B762" s="4">
        <v>100</v>
      </c>
      <c r="C762" s="4">
        <v>8</v>
      </c>
      <c r="D762" s="33">
        <v>4.55</v>
      </c>
      <c r="E762" s="23">
        <v>2.25</v>
      </c>
      <c r="F762" s="23">
        <f t="shared" si="788"/>
        <v>4.55</v>
      </c>
      <c r="G762" s="23">
        <f t="shared" si="602"/>
        <v>2.25</v>
      </c>
      <c r="H762" s="4">
        <f t="shared" si="793"/>
        <v>3.8630000000000001E-3</v>
      </c>
      <c r="I762" s="2">
        <f t="shared" si="794"/>
        <v>0.15880884251968502</v>
      </c>
      <c r="J762" s="4">
        <f t="shared" si="795"/>
        <v>3.8493882480314968E-2</v>
      </c>
      <c r="K762" s="4">
        <f t="shared" si="796"/>
        <v>0.19730272499999998</v>
      </c>
      <c r="L762" s="13">
        <f t="shared" si="797"/>
        <v>4.1255605381165905</v>
      </c>
      <c r="M762" s="3">
        <f t="shared" ref="M762" si="830">AVERAGE(I762:I763)</f>
        <v>0.20714196850393699</v>
      </c>
      <c r="N762" s="3">
        <f t="shared" ref="N762" si="831">AVERAGE(J762:J763)</f>
        <v>3.8390311496063055E-2</v>
      </c>
    </row>
    <row r="763" spans="1:14" x14ac:dyDescent="0.2">
      <c r="A763" s="22"/>
      <c r="B763" s="4">
        <v>100</v>
      </c>
      <c r="C763" s="4">
        <v>8</v>
      </c>
      <c r="D763" s="33">
        <v>7.05</v>
      </c>
      <c r="E763" s="23">
        <v>3.35</v>
      </c>
      <c r="F763" s="23">
        <f t="shared" si="788"/>
        <v>7.05</v>
      </c>
      <c r="G763" s="23">
        <f t="shared" si="602"/>
        <v>3.35</v>
      </c>
      <c r="H763" s="4">
        <f t="shared" si="793"/>
        <v>3.8630000000000001E-3</v>
      </c>
      <c r="I763" s="2">
        <f t="shared" si="794"/>
        <v>0.25547509448818895</v>
      </c>
      <c r="J763" s="4">
        <f t="shared" si="795"/>
        <v>3.8286740511811142E-2</v>
      </c>
      <c r="K763" s="4">
        <f t="shared" si="796"/>
        <v>0.29376183500000008</v>
      </c>
      <c r="L763" s="13">
        <f t="shared" si="797"/>
        <v>6.6726780883678778</v>
      </c>
      <c r="M763" s="3"/>
      <c r="N763" s="3"/>
    </row>
    <row r="764" spans="1:14" x14ac:dyDescent="0.2">
      <c r="A764" s="22">
        <v>488805</v>
      </c>
      <c r="B764" s="4">
        <v>100</v>
      </c>
      <c r="C764" s="4">
        <v>8</v>
      </c>
      <c r="D764" s="33">
        <v>0.45</v>
      </c>
      <c r="E764" s="23">
        <v>0.3</v>
      </c>
      <c r="F764" s="23">
        <f t="shared" si="788"/>
        <v>0.45</v>
      </c>
      <c r="G764" s="23">
        <f t="shared" si="602"/>
        <v>0.3</v>
      </c>
      <c r="H764" s="4">
        <f t="shared" si="793"/>
        <v>3.8630000000000001E-3</v>
      </c>
      <c r="I764" s="2">
        <f t="shared" si="794"/>
        <v>1.0357098425196852E-2</v>
      </c>
      <c r="J764" s="4">
        <f t="shared" si="795"/>
        <v>1.594993157480315E-2</v>
      </c>
      <c r="K764" s="4">
        <f t="shared" si="796"/>
        <v>2.6307030000000002E-2</v>
      </c>
      <c r="L764" s="13">
        <f t="shared" si="797"/>
        <v>0.64935064935064946</v>
      </c>
      <c r="M764" s="3">
        <f t="shared" ref="M764" si="832">AVERAGE(I764:I765)</f>
        <v>1.3809464566929136E-2</v>
      </c>
      <c r="N764" s="3">
        <f t="shared" ref="N764" si="833">AVERAGE(J764:J765)</f>
        <v>1.4689817933070868E-2</v>
      </c>
    </row>
    <row r="765" spans="1:14" x14ac:dyDescent="0.2">
      <c r="A765" s="22"/>
      <c r="B765" s="4">
        <v>100</v>
      </c>
      <c r="C765" s="4">
        <v>8</v>
      </c>
      <c r="D765" s="33">
        <v>0.6</v>
      </c>
      <c r="E765" s="23">
        <v>0.35</v>
      </c>
      <c r="F765" s="23">
        <f t="shared" si="788"/>
        <v>0.6</v>
      </c>
      <c r="G765" s="23">
        <f t="shared" si="602"/>
        <v>0.35</v>
      </c>
      <c r="H765" s="4">
        <f t="shared" si="793"/>
        <v>3.8630000000000001E-3</v>
      </c>
      <c r="I765" s="2">
        <f t="shared" si="794"/>
        <v>1.726183070866142E-2</v>
      </c>
      <c r="J765" s="4">
        <f t="shared" si="795"/>
        <v>1.3429704291338584E-2</v>
      </c>
      <c r="K765" s="4">
        <f t="shared" si="796"/>
        <v>3.0691535000000006E-2</v>
      </c>
      <c r="L765" s="13">
        <f t="shared" si="797"/>
        <v>1.2853470437017995</v>
      </c>
      <c r="M765" s="3"/>
      <c r="N765" s="3"/>
    </row>
    <row r="766" spans="1:14" x14ac:dyDescent="0.2">
      <c r="A766" s="22">
        <v>488809</v>
      </c>
      <c r="B766" s="4">
        <v>100</v>
      </c>
      <c r="C766" s="4">
        <v>7</v>
      </c>
      <c r="D766" s="33">
        <v>5</v>
      </c>
      <c r="E766" s="23">
        <v>2.9</v>
      </c>
      <c r="F766" s="23">
        <f t="shared" si="788"/>
        <v>5</v>
      </c>
      <c r="G766" s="23">
        <f t="shared" si="602"/>
        <v>2.9</v>
      </c>
      <c r="H766" s="4">
        <f t="shared" si="793"/>
        <v>9.7450000000000002E-3</v>
      </c>
      <c r="I766" s="2">
        <f t="shared" si="794"/>
        <v>0.36578279527559054</v>
      </c>
      <c r="J766" s="4">
        <f t="shared" si="795"/>
        <v>0.27573055472440949</v>
      </c>
      <c r="K766" s="4">
        <f t="shared" si="796"/>
        <v>0.64151335000000009</v>
      </c>
      <c r="L766" s="13">
        <f t="shared" si="797"/>
        <v>1.3265950726468727</v>
      </c>
      <c r="M766" s="3">
        <f t="shared" ref="M766" si="834">AVERAGE(I766:I767)</f>
        <v>0.36142823818897635</v>
      </c>
      <c r="N766" s="3">
        <f t="shared" ref="N766" si="835">AVERAGE(J766:J767)</f>
        <v>0.2911456868110236</v>
      </c>
    </row>
    <row r="767" spans="1:14" x14ac:dyDescent="0.2">
      <c r="A767" s="22"/>
      <c r="B767" s="4">
        <v>100</v>
      </c>
      <c r="C767" s="4">
        <v>7</v>
      </c>
      <c r="D767" s="33">
        <v>5.05</v>
      </c>
      <c r="E767" s="23">
        <v>3</v>
      </c>
      <c r="F767" s="23">
        <f t="shared" si="788"/>
        <v>5.05</v>
      </c>
      <c r="G767" s="23">
        <f t="shared" si="602"/>
        <v>3</v>
      </c>
      <c r="H767" s="4">
        <f t="shared" si="793"/>
        <v>9.7450000000000002E-3</v>
      </c>
      <c r="I767" s="2">
        <f t="shared" si="794"/>
        <v>0.35707368110236215</v>
      </c>
      <c r="J767" s="4">
        <f t="shared" si="795"/>
        <v>0.30656081889763775</v>
      </c>
      <c r="K767" s="4">
        <f t="shared" si="796"/>
        <v>0.66363449999999991</v>
      </c>
      <c r="L767" s="13">
        <f t="shared" si="797"/>
        <v>1.1647727272727273</v>
      </c>
      <c r="M767" s="3"/>
      <c r="N767" s="3"/>
    </row>
    <row r="768" spans="1:14" x14ac:dyDescent="0.2">
      <c r="A768" s="22">
        <v>488810</v>
      </c>
      <c r="B768" s="4">
        <v>100</v>
      </c>
      <c r="C768" s="4">
        <v>7</v>
      </c>
      <c r="D768" s="33">
        <v>4.5</v>
      </c>
      <c r="E768" s="23">
        <v>2.6</v>
      </c>
      <c r="F768" s="23">
        <f t="shared" si="788"/>
        <v>4.5</v>
      </c>
      <c r="G768" s="23">
        <f t="shared" si="602"/>
        <v>2.6</v>
      </c>
      <c r="H768" s="4">
        <f t="shared" si="793"/>
        <v>9.7450000000000002E-3</v>
      </c>
      <c r="I768" s="2">
        <f t="shared" si="794"/>
        <v>0.33094633858267719</v>
      </c>
      <c r="J768" s="4">
        <f t="shared" si="795"/>
        <v>0.24420356141732277</v>
      </c>
      <c r="K768" s="4">
        <f t="shared" si="796"/>
        <v>0.57514989999999999</v>
      </c>
      <c r="L768" s="13">
        <f t="shared" si="797"/>
        <v>1.3552068473609133</v>
      </c>
      <c r="M768" s="3">
        <f t="shared" ref="M768" si="836">AVERAGE(I768:I769)</f>
        <v>0.32659178149606305</v>
      </c>
      <c r="N768" s="3">
        <f t="shared" ref="N768" si="837">AVERAGE(J768:J769)</f>
        <v>0.26514898100393702</v>
      </c>
    </row>
    <row r="769" spans="1:14" x14ac:dyDescent="0.2">
      <c r="A769" s="22"/>
      <c r="B769" s="4">
        <v>100</v>
      </c>
      <c r="C769" s="4">
        <v>7</v>
      </c>
      <c r="D769" s="33">
        <v>4.5999999999999996</v>
      </c>
      <c r="E769" s="23">
        <v>2.75</v>
      </c>
      <c r="F769" s="23">
        <f t="shared" si="788"/>
        <v>4.5999999999999996</v>
      </c>
      <c r="G769" s="23">
        <f t="shared" si="602"/>
        <v>2.75</v>
      </c>
      <c r="H769" s="4">
        <f t="shared" si="793"/>
        <v>9.7450000000000002E-3</v>
      </c>
      <c r="I769" s="2">
        <f t="shared" si="794"/>
        <v>0.32223722440944885</v>
      </c>
      <c r="J769" s="4">
        <f t="shared" si="795"/>
        <v>0.2860944005905513</v>
      </c>
      <c r="K769" s="4">
        <f t="shared" si="796"/>
        <v>0.60833162500000015</v>
      </c>
      <c r="L769" s="13">
        <f t="shared" si="797"/>
        <v>1.1263318112633178</v>
      </c>
      <c r="M769" s="3"/>
      <c r="N769" s="3"/>
    </row>
    <row r="770" spans="1:14" x14ac:dyDescent="0.2">
      <c r="A770" s="22">
        <v>488811</v>
      </c>
      <c r="B770" s="4">
        <v>100</v>
      </c>
      <c r="C770" s="4">
        <v>7</v>
      </c>
      <c r="D770" s="33">
        <v>2.2000000000000002</v>
      </c>
      <c r="E770" s="23">
        <v>1.1499999999999999</v>
      </c>
      <c r="F770" s="23">
        <f t="shared" si="788"/>
        <v>2.2000000000000002</v>
      </c>
      <c r="G770" s="23">
        <f t="shared" si="602"/>
        <v>1.1499999999999999</v>
      </c>
      <c r="H770" s="4">
        <f t="shared" si="793"/>
        <v>9.7450000000000002E-3</v>
      </c>
      <c r="I770" s="2">
        <f t="shared" si="794"/>
        <v>0.1828913976377953</v>
      </c>
      <c r="J770" s="4">
        <f t="shared" si="795"/>
        <v>7.1501827362204645E-2</v>
      </c>
      <c r="K770" s="4">
        <f t="shared" si="796"/>
        <v>0.25439322499999995</v>
      </c>
      <c r="L770" s="13">
        <f t="shared" si="797"/>
        <v>2.5578562728380057</v>
      </c>
      <c r="M770" s="3">
        <f t="shared" ref="M770" si="838">AVERAGE(I770:I771)</f>
        <v>0.17418228346456696</v>
      </c>
      <c r="N770" s="3">
        <f t="shared" ref="N770" si="839">AVERAGE(J770:J771)</f>
        <v>8.0210941535433011E-2</v>
      </c>
    </row>
    <row r="771" spans="1:14" x14ac:dyDescent="0.2">
      <c r="A771" s="22"/>
      <c r="B771" s="4">
        <v>100</v>
      </c>
      <c r="C771" s="4">
        <v>7</v>
      </c>
      <c r="D771" s="33">
        <v>2.1</v>
      </c>
      <c r="E771" s="23">
        <v>1.1499999999999999</v>
      </c>
      <c r="F771" s="23">
        <f t="shared" si="788"/>
        <v>2.1</v>
      </c>
      <c r="G771" s="23">
        <f t="shared" si="602"/>
        <v>1.1499999999999999</v>
      </c>
      <c r="H771" s="4">
        <f t="shared" si="793"/>
        <v>9.7450000000000002E-3</v>
      </c>
      <c r="I771" s="2">
        <f t="shared" si="794"/>
        <v>0.16547316929133862</v>
      </c>
      <c r="J771" s="4">
        <f t="shared" si="795"/>
        <v>8.8920055708661364E-2</v>
      </c>
      <c r="K771" s="4">
        <f t="shared" si="796"/>
        <v>0.254393225</v>
      </c>
      <c r="L771" s="13">
        <f t="shared" si="797"/>
        <v>1.8609206660137136</v>
      </c>
      <c r="M771" s="3"/>
      <c r="N771" s="3"/>
    </row>
    <row r="772" spans="1:14" x14ac:dyDescent="0.2">
      <c r="A772" s="22">
        <v>488812</v>
      </c>
      <c r="B772" s="4">
        <v>100</v>
      </c>
      <c r="C772" s="4">
        <v>8</v>
      </c>
      <c r="D772" s="33">
        <v>3.65</v>
      </c>
      <c r="E772" s="23">
        <v>1.85</v>
      </c>
      <c r="F772" s="23">
        <f t="shared" si="788"/>
        <v>3.65</v>
      </c>
      <c r="G772" s="23">
        <f t="shared" si="602"/>
        <v>1.85</v>
      </c>
      <c r="H772" s="4">
        <f t="shared" si="793"/>
        <v>3.8630000000000001E-3</v>
      </c>
      <c r="I772" s="2">
        <f t="shared" si="794"/>
        <v>0.12428518110236218</v>
      </c>
      <c r="J772" s="4">
        <f t="shared" si="795"/>
        <v>3.7941503897637834E-2</v>
      </c>
      <c r="K772" s="4">
        <f t="shared" si="796"/>
        <v>0.16222668500000001</v>
      </c>
      <c r="L772" s="13">
        <f t="shared" si="797"/>
        <v>3.2757051865332083</v>
      </c>
      <c r="M772" s="3">
        <f t="shared" ref="M772" si="840">AVERAGE(I772:I773)</f>
        <v>0.12601136417322834</v>
      </c>
      <c r="N772" s="3">
        <f t="shared" ref="N772" si="841">AVERAGE(J772:J773)</f>
        <v>4.0599825826771678E-2</v>
      </c>
    </row>
    <row r="773" spans="1:14" x14ac:dyDescent="0.2">
      <c r="A773" s="22"/>
      <c r="B773" s="4">
        <v>100</v>
      </c>
      <c r="C773" s="4">
        <v>8</v>
      </c>
      <c r="D773" s="33">
        <v>3.8</v>
      </c>
      <c r="E773" s="23">
        <v>1.95</v>
      </c>
      <c r="F773" s="23">
        <f t="shared" si="788"/>
        <v>3.8</v>
      </c>
      <c r="G773" s="23">
        <f t="shared" si="602"/>
        <v>1.95</v>
      </c>
      <c r="H773" s="4">
        <f t="shared" si="793"/>
        <v>3.8630000000000001E-3</v>
      </c>
      <c r="I773" s="2">
        <f t="shared" si="794"/>
        <v>0.12773754724409447</v>
      </c>
      <c r="J773" s="4">
        <f t="shared" si="795"/>
        <v>4.3258147755905522E-2</v>
      </c>
      <c r="K773" s="4">
        <f t="shared" si="796"/>
        <v>0.170995695</v>
      </c>
      <c r="L773" s="13">
        <f t="shared" si="797"/>
        <v>2.9529130087789297</v>
      </c>
      <c r="M773" s="3"/>
      <c r="N773" s="3"/>
    </row>
    <row r="774" spans="1:14" x14ac:dyDescent="0.2">
      <c r="A774" s="22">
        <v>488813</v>
      </c>
      <c r="B774" s="4">
        <v>100</v>
      </c>
      <c r="C774" s="4">
        <v>8</v>
      </c>
      <c r="D774" s="33">
        <v>4.5999999999999996</v>
      </c>
      <c r="E774" s="23">
        <v>2.25</v>
      </c>
      <c r="F774" s="23">
        <f t="shared" si="788"/>
        <v>4.5999999999999996</v>
      </c>
      <c r="G774" s="23">
        <f t="shared" si="602"/>
        <v>2.25</v>
      </c>
      <c r="H774" s="4">
        <f t="shared" si="793"/>
        <v>3.8630000000000001E-3</v>
      </c>
      <c r="I774" s="2">
        <f t="shared" si="794"/>
        <v>0.1622612086614173</v>
      </c>
      <c r="J774" s="4">
        <f t="shared" si="795"/>
        <v>3.5041516338582698E-2</v>
      </c>
      <c r="K774" s="4">
        <f t="shared" si="796"/>
        <v>0.19730272500000001</v>
      </c>
      <c r="L774" s="13">
        <f t="shared" si="797"/>
        <v>4.6305418719211788</v>
      </c>
      <c r="M774" s="3">
        <f t="shared" ref="M774" si="842">AVERAGE(I774:I775)</f>
        <v>0.16226120866141733</v>
      </c>
      <c r="N774" s="3">
        <f t="shared" ref="N774" si="843">AVERAGE(J774:J775)</f>
        <v>3.9426021338582695E-2</v>
      </c>
    </row>
    <row r="775" spans="1:14" x14ac:dyDescent="0.2">
      <c r="A775" s="22"/>
      <c r="B775" s="4">
        <v>100</v>
      </c>
      <c r="C775" s="4">
        <v>8</v>
      </c>
      <c r="D775" s="33">
        <v>4.7</v>
      </c>
      <c r="E775" s="23">
        <v>2.35</v>
      </c>
      <c r="F775" s="23">
        <f t="shared" si="788"/>
        <v>4.7</v>
      </c>
      <c r="G775" s="23">
        <f t="shared" si="602"/>
        <v>2.35</v>
      </c>
      <c r="H775" s="4">
        <f t="shared" si="793"/>
        <v>3.8630000000000001E-3</v>
      </c>
      <c r="I775" s="2">
        <f t="shared" si="794"/>
        <v>0.16226120866141736</v>
      </c>
      <c r="J775" s="4">
        <f t="shared" si="795"/>
        <v>4.3810526338582692E-2</v>
      </c>
      <c r="K775" s="4">
        <f t="shared" si="796"/>
        <v>0.20607173500000003</v>
      </c>
      <c r="L775" s="13">
        <f t="shared" si="797"/>
        <v>3.7037037037037033</v>
      </c>
      <c r="M775" s="3"/>
      <c r="N775" s="3"/>
    </row>
    <row r="776" spans="1:14" x14ac:dyDescent="0.2">
      <c r="A776" s="22">
        <v>488825</v>
      </c>
      <c r="B776" s="4">
        <v>100</v>
      </c>
      <c r="C776" s="4">
        <v>8</v>
      </c>
      <c r="D776" s="33">
        <v>1.3</v>
      </c>
      <c r="E776" s="23">
        <v>0.85</v>
      </c>
      <c r="F776" s="23">
        <f t="shared" si="788"/>
        <v>1.3</v>
      </c>
      <c r="G776" s="23">
        <f t="shared" si="602"/>
        <v>0.85</v>
      </c>
      <c r="H776" s="4">
        <f t="shared" si="793"/>
        <v>3.8630000000000001E-3</v>
      </c>
      <c r="I776" s="2">
        <f t="shared" si="794"/>
        <v>3.1071295275590556E-2</v>
      </c>
      <c r="J776" s="4">
        <f t="shared" si="795"/>
        <v>4.346528972440946E-2</v>
      </c>
      <c r="K776" s="4">
        <f t="shared" si="796"/>
        <v>7.4536585000000016E-2</v>
      </c>
      <c r="L776" s="13">
        <f t="shared" si="797"/>
        <v>0.71485305798252574</v>
      </c>
      <c r="M776" s="3">
        <f t="shared" ref="M776" si="844">AVERAGE(I776:I777)</f>
        <v>2.9345112204724411E-2</v>
      </c>
      <c r="N776" s="3">
        <f t="shared" ref="N776" si="845">AVERAGE(J776:J777)</f>
        <v>3.6422462795275591E-2</v>
      </c>
    </row>
    <row r="777" spans="1:14" x14ac:dyDescent="0.2">
      <c r="A777" s="22"/>
      <c r="B777" s="4">
        <v>100</v>
      </c>
      <c r="C777" s="4">
        <v>8</v>
      </c>
      <c r="D777" s="33">
        <v>1.05</v>
      </c>
      <c r="E777" s="23">
        <v>0.65</v>
      </c>
      <c r="F777" s="23">
        <f t="shared" si="788"/>
        <v>1.05</v>
      </c>
      <c r="G777" s="23">
        <f t="shared" si="602"/>
        <v>0.65</v>
      </c>
      <c r="H777" s="4">
        <f t="shared" si="793"/>
        <v>3.8630000000000001E-3</v>
      </c>
      <c r="I777" s="2">
        <f t="shared" si="794"/>
        <v>2.7618929133858269E-2</v>
      </c>
      <c r="J777" s="4">
        <f t="shared" si="795"/>
        <v>2.9379635866141725E-2</v>
      </c>
      <c r="K777" s="4">
        <f t="shared" si="796"/>
        <v>5.6998564999999994E-2</v>
      </c>
      <c r="L777" s="13">
        <f t="shared" si="797"/>
        <v>0.94007050528789682</v>
      </c>
      <c r="M777" s="3"/>
      <c r="N777" s="3"/>
    </row>
    <row r="778" spans="1:14" x14ac:dyDescent="0.2">
      <c r="A778" s="22">
        <v>488826</v>
      </c>
      <c r="B778" s="4">
        <v>100</v>
      </c>
      <c r="C778" s="4">
        <v>8</v>
      </c>
      <c r="D778" s="33">
        <v>3.35</v>
      </c>
      <c r="E778" s="23">
        <v>2.2999999999999998</v>
      </c>
      <c r="F778" s="23">
        <f t="shared" si="788"/>
        <v>3.35</v>
      </c>
      <c r="G778" s="23">
        <f t="shared" si="602"/>
        <v>2.2999999999999998</v>
      </c>
      <c r="H778" s="4">
        <f t="shared" si="793"/>
        <v>3.8630000000000001E-3</v>
      </c>
      <c r="I778" s="2">
        <f t="shared" si="794"/>
        <v>7.2499688976377971E-2</v>
      </c>
      <c r="J778" s="4">
        <f t="shared" si="795"/>
        <v>0.12918754102362201</v>
      </c>
      <c r="K778" s="4">
        <f t="shared" si="796"/>
        <v>0.20168723</v>
      </c>
      <c r="L778" s="13">
        <f t="shared" si="797"/>
        <v>0.56119722073757383</v>
      </c>
      <c r="M778" s="3">
        <f t="shared" ref="M778" si="846">AVERAGE(I778:I779)</f>
        <v>7.5952055118110234E-2</v>
      </c>
      <c r="N778" s="3">
        <f t="shared" ref="N778" si="847">AVERAGE(J778:J779)</f>
        <v>0.12792742738188978</v>
      </c>
    </row>
    <row r="779" spans="1:14" x14ac:dyDescent="0.2">
      <c r="A779" s="22"/>
      <c r="B779" s="4">
        <v>100</v>
      </c>
      <c r="C779" s="4">
        <v>8</v>
      </c>
      <c r="D779" s="33">
        <v>3.5</v>
      </c>
      <c r="E779" s="23">
        <v>2.35</v>
      </c>
      <c r="F779" s="23">
        <f t="shared" si="788"/>
        <v>3.5</v>
      </c>
      <c r="G779" s="23">
        <f t="shared" si="602"/>
        <v>2.35</v>
      </c>
      <c r="H779" s="4">
        <f t="shared" si="793"/>
        <v>3.8630000000000001E-3</v>
      </c>
      <c r="I779" s="2">
        <f t="shared" si="794"/>
        <v>7.9404421259842511E-2</v>
      </c>
      <c r="J779" s="4">
        <f t="shared" si="795"/>
        <v>0.12666731374015752</v>
      </c>
      <c r="K779" s="4">
        <f t="shared" si="796"/>
        <v>0.20607173500000003</v>
      </c>
      <c r="L779" s="13">
        <f t="shared" si="797"/>
        <v>0.62687380757699618</v>
      </c>
      <c r="M779" s="3"/>
      <c r="N779" s="3"/>
    </row>
    <row r="780" spans="1:14" x14ac:dyDescent="0.2">
      <c r="A780" s="22">
        <v>488827</v>
      </c>
      <c r="B780" s="4">
        <v>100</v>
      </c>
      <c r="C780" s="4">
        <v>7</v>
      </c>
      <c r="D780" s="33">
        <v>6.2</v>
      </c>
      <c r="E780" s="23">
        <v>4.05</v>
      </c>
      <c r="F780" s="23">
        <f t="shared" si="788"/>
        <v>6.2</v>
      </c>
      <c r="G780" s="23">
        <f t="shared" si="602"/>
        <v>4.05</v>
      </c>
      <c r="H780" s="4">
        <f t="shared" si="793"/>
        <v>9.7450000000000002E-3</v>
      </c>
      <c r="I780" s="2">
        <f t="shared" si="794"/>
        <v>0.37449190944881899</v>
      </c>
      <c r="J780" s="4">
        <f t="shared" si="795"/>
        <v>0.5214146655511811</v>
      </c>
      <c r="K780" s="4">
        <f t="shared" si="796"/>
        <v>0.89590657500000015</v>
      </c>
      <c r="L780" s="13">
        <f t="shared" si="797"/>
        <v>0.71822281610155358</v>
      </c>
      <c r="M780" s="3">
        <f t="shared" ref="M780" si="848">AVERAGE(I780:I781)</f>
        <v>0.36578279527559054</v>
      </c>
      <c r="N780" s="3">
        <f t="shared" ref="N780" si="849">AVERAGE(J780:J781)</f>
        <v>0.52459349222440954</v>
      </c>
    </row>
    <row r="781" spans="1:14" x14ac:dyDescent="0.2">
      <c r="A781" s="22"/>
      <c r="B781" s="4">
        <v>100</v>
      </c>
      <c r="C781" s="4">
        <v>7</v>
      </c>
      <c r="D781" s="33">
        <v>6.05</v>
      </c>
      <c r="E781" s="23">
        <v>4</v>
      </c>
      <c r="F781" s="23">
        <f t="shared" si="788"/>
        <v>6.05</v>
      </c>
      <c r="G781" s="23">
        <f t="shared" si="602"/>
        <v>4</v>
      </c>
      <c r="H781" s="4">
        <f t="shared" si="793"/>
        <v>9.7450000000000002E-3</v>
      </c>
      <c r="I781" s="2">
        <f t="shared" si="794"/>
        <v>0.35707368110236215</v>
      </c>
      <c r="J781" s="4">
        <f t="shared" si="795"/>
        <v>0.52777231889763787</v>
      </c>
      <c r="K781" s="4">
        <f t="shared" si="796"/>
        <v>0.88484600000000002</v>
      </c>
      <c r="L781" s="13">
        <f t="shared" si="797"/>
        <v>0.67656765676567632</v>
      </c>
      <c r="M781" s="3"/>
      <c r="N781" s="3"/>
    </row>
    <row r="782" spans="1:14" x14ac:dyDescent="0.2">
      <c r="A782" s="22">
        <v>488828</v>
      </c>
      <c r="B782" s="4">
        <v>100</v>
      </c>
      <c r="C782" s="4">
        <v>6</v>
      </c>
      <c r="D782" s="33">
        <v>2.2999999999999998</v>
      </c>
      <c r="E782" s="23">
        <v>1.3</v>
      </c>
      <c r="F782" s="23">
        <f t="shared" si="788"/>
        <v>2.2999999999999998</v>
      </c>
      <c r="G782" s="23">
        <f t="shared" si="602"/>
        <v>1.3</v>
      </c>
      <c r="H782" s="4">
        <f t="shared" si="793"/>
        <v>3.5767E-2</v>
      </c>
      <c r="I782" s="2">
        <f t="shared" si="794"/>
        <v>0.63929992125984247</v>
      </c>
      <c r="J782" s="4">
        <f t="shared" si="795"/>
        <v>0.41618424874015764</v>
      </c>
      <c r="K782" s="4">
        <f t="shared" si="796"/>
        <v>1.0554841700000002</v>
      </c>
      <c r="L782" s="13">
        <f t="shared" si="797"/>
        <v>1.5360983102918579</v>
      </c>
      <c r="M782" s="3">
        <f t="shared" ref="M782" si="850">AVERAGE(I782:I783)</f>
        <v>0.62331742322834627</v>
      </c>
      <c r="N782" s="3">
        <f t="shared" ref="N782" si="851">AVERAGE(J782:J783)</f>
        <v>0.45246451927165376</v>
      </c>
    </row>
    <row r="783" spans="1:14" x14ac:dyDescent="0.2">
      <c r="A783" s="22"/>
      <c r="B783" s="4">
        <v>100</v>
      </c>
      <c r="C783" s="4">
        <v>6</v>
      </c>
      <c r="D783" s="33">
        <v>2.2999999999999998</v>
      </c>
      <c r="E783" s="23">
        <v>1.35</v>
      </c>
      <c r="F783" s="23">
        <f t="shared" si="788"/>
        <v>2.2999999999999998</v>
      </c>
      <c r="G783" s="23">
        <f t="shared" si="602"/>
        <v>1.35</v>
      </c>
      <c r="H783" s="4">
        <f t="shared" si="793"/>
        <v>3.5767E-2</v>
      </c>
      <c r="I783" s="2">
        <f t="shared" si="794"/>
        <v>0.60733492519685017</v>
      </c>
      <c r="J783" s="4">
        <f t="shared" si="795"/>
        <v>0.48874478980314989</v>
      </c>
      <c r="K783" s="4">
        <f t="shared" si="796"/>
        <v>1.0960797150000001</v>
      </c>
      <c r="L783" s="13">
        <f t="shared" si="797"/>
        <v>1.2426422498364933</v>
      </c>
      <c r="M783" s="3"/>
      <c r="N783" s="3"/>
    </row>
    <row r="784" spans="1:14" x14ac:dyDescent="0.2">
      <c r="A784" s="22">
        <v>488829</v>
      </c>
      <c r="B784" s="4">
        <v>100</v>
      </c>
      <c r="C784" s="4">
        <v>7</v>
      </c>
      <c r="D784" s="33">
        <v>3.2</v>
      </c>
      <c r="E784" s="23">
        <v>1.7</v>
      </c>
      <c r="F784" s="23">
        <f t="shared" si="788"/>
        <v>3.2</v>
      </c>
      <c r="G784" s="23">
        <f t="shared" si="602"/>
        <v>1.7</v>
      </c>
      <c r="H784" s="4">
        <f t="shared" si="793"/>
        <v>9.7450000000000002E-3</v>
      </c>
      <c r="I784" s="2">
        <f t="shared" si="794"/>
        <v>0.26127342519685048</v>
      </c>
      <c r="J784" s="4">
        <f t="shared" si="795"/>
        <v>0.11478612480314963</v>
      </c>
      <c r="K784" s="4">
        <f t="shared" si="796"/>
        <v>0.37605955000000013</v>
      </c>
      <c r="L784" s="13">
        <f t="shared" si="797"/>
        <v>2.2761760242792111</v>
      </c>
      <c r="M784" s="3">
        <f t="shared" ref="M784" si="852">AVERAGE(I784:I785)</f>
        <v>0.25256431102362209</v>
      </c>
      <c r="N784" s="3">
        <f t="shared" ref="N784" si="853">AVERAGE(J784:J785)</f>
        <v>0.13455581397637797</v>
      </c>
    </row>
    <row r="785" spans="1:14" x14ac:dyDescent="0.2">
      <c r="A785" s="22"/>
      <c r="B785" s="4">
        <v>100</v>
      </c>
      <c r="C785" s="4">
        <v>7</v>
      </c>
      <c r="D785" s="33">
        <v>3.2</v>
      </c>
      <c r="E785" s="23">
        <v>1.8</v>
      </c>
      <c r="F785" s="23">
        <f t="shared" si="788"/>
        <v>3.2</v>
      </c>
      <c r="G785" s="23">
        <f t="shared" si="602"/>
        <v>1.8</v>
      </c>
      <c r="H785" s="4">
        <f t="shared" si="793"/>
        <v>9.7450000000000002E-3</v>
      </c>
      <c r="I785" s="2">
        <f t="shared" si="794"/>
        <v>0.24385519685039372</v>
      </c>
      <c r="J785" s="4">
        <f t="shared" si="795"/>
        <v>0.15432550314960633</v>
      </c>
      <c r="K785" s="4">
        <f t="shared" si="796"/>
        <v>0.39818070000000005</v>
      </c>
      <c r="L785" s="13">
        <f t="shared" si="797"/>
        <v>1.5801354401805867</v>
      </c>
      <c r="M785" s="3"/>
      <c r="N785" s="3"/>
    </row>
    <row r="786" spans="1:14" x14ac:dyDescent="0.2">
      <c r="A786" s="22">
        <v>488830</v>
      </c>
      <c r="B786" s="4">
        <v>100</v>
      </c>
      <c r="C786" s="4">
        <v>8</v>
      </c>
      <c r="D786" s="33">
        <v>4.95</v>
      </c>
      <c r="E786" s="23">
        <v>2.5</v>
      </c>
      <c r="F786" s="23">
        <f t="shared" si="788"/>
        <v>4.95</v>
      </c>
      <c r="G786" s="23">
        <f t="shared" si="602"/>
        <v>2.5</v>
      </c>
      <c r="H786" s="4">
        <f t="shared" si="793"/>
        <v>3.8630000000000001E-3</v>
      </c>
      <c r="I786" s="2">
        <f t="shared" si="794"/>
        <v>0.16916594094488194</v>
      </c>
      <c r="J786" s="4">
        <f t="shared" si="795"/>
        <v>5.0059309055118136E-2</v>
      </c>
      <c r="K786" s="4">
        <f t="shared" si="796"/>
        <v>0.21922525000000007</v>
      </c>
      <c r="L786" s="13">
        <f t="shared" si="797"/>
        <v>3.3793103448275854</v>
      </c>
      <c r="M786" s="3">
        <f t="shared" ref="M786" si="854">AVERAGE(I786:I787)</f>
        <v>0.16398739173228349</v>
      </c>
      <c r="N786" s="3">
        <f t="shared" ref="N786" si="855">AVERAGE(J786:J787)</f>
        <v>5.304560576771658E-2</v>
      </c>
    </row>
    <row r="787" spans="1:14" x14ac:dyDescent="0.2">
      <c r="A787" s="22"/>
      <c r="B787" s="4">
        <v>100</v>
      </c>
      <c r="C787" s="4">
        <v>8</v>
      </c>
      <c r="D787" s="33">
        <v>4.75</v>
      </c>
      <c r="E787" s="23">
        <v>2.4500000000000002</v>
      </c>
      <c r="F787" s="23">
        <f t="shared" si="788"/>
        <v>4.75</v>
      </c>
      <c r="G787" s="23">
        <f t="shared" si="602"/>
        <v>2.4500000000000002</v>
      </c>
      <c r="H787" s="4">
        <f t="shared" si="793"/>
        <v>3.8630000000000001E-3</v>
      </c>
      <c r="I787" s="2">
        <f t="shared" si="794"/>
        <v>0.15880884251968502</v>
      </c>
      <c r="J787" s="4">
        <f t="shared" si="795"/>
        <v>5.6031902480315025E-2</v>
      </c>
      <c r="K787" s="4">
        <f t="shared" si="796"/>
        <v>0.21484074500000006</v>
      </c>
      <c r="L787" s="13">
        <f t="shared" si="797"/>
        <v>2.8342575477510747</v>
      </c>
      <c r="M787" s="3"/>
      <c r="N787" s="3"/>
    </row>
    <row r="788" spans="1:14" x14ac:dyDescent="0.2">
      <c r="A788" s="22">
        <v>488831</v>
      </c>
      <c r="B788" s="4">
        <v>100</v>
      </c>
      <c r="C788" s="4">
        <v>8</v>
      </c>
      <c r="D788" s="33">
        <v>4.8</v>
      </c>
      <c r="E788" s="23">
        <v>2.4</v>
      </c>
      <c r="F788" s="23">
        <f t="shared" si="788"/>
        <v>4.8</v>
      </c>
      <c r="G788" s="23">
        <f t="shared" si="602"/>
        <v>2.4</v>
      </c>
      <c r="H788" s="4">
        <f t="shared" si="793"/>
        <v>3.8630000000000001E-3</v>
      </c>
      <c r="I788" s="2">
        <f t="shared" si="794"/>
        <v>0.16571357480314958</v>
      </c>
      <c r="J788" s="4">
        <f t="shared" si="795"/>
        <v>4.4742665196850412E-2</v>
      </c>
      <c r="K788" s="4">
        <f t="shared" si="796"/>
        <v>0.21045623999999999</v>
      </c>
      <c r="L788" s="13">
        <f t="shared" si="797"/>
        <v>3.7037037037037015</v>
      </c>
      <c r="M788" s="3">
        <f t="shared" ref="M788" si="856">AVERAGE(I788:I789)</f>
        <v>0.1622612086614173</v>
      </c>
      <c r="N788" s="3">
        <f t="shared" ref="N788" si="857">AVERAGE(J788:J789)</f>
        <v>4.3810526338582678E-2</v>
      </c>
    </row>
    <row r="789" spans="1:14" x14ac:dyDescent="0.2">
      <c r="A789" s="22"/>
      <c r="B789" s="4">
        <v>100</v>
      </c>
      <c r="C789" s="4">
        <v>8</v>
      </c>
      <c r="D789" s="33">
        <v>4.5999999999999996</v>
      </c>
      <c r="E789" s="23">
        <v>2.2999999999999998</v>
      </c>
      <c r="F789" s="23">
        <f t="shared" si="788"/>
        <v>4.5999999999999996</v>
      </c>
      <c r="G789" s="23">
        <f t="shared" si="602"/>
        <v>2.2999999999999998</v>
      </c>
      <c r="H789" s="4">
        <f t="shared" si="793"/>
        <v>3.8630000000000001E-3</v>
      </c>
      <c r="I789" s="2">
        <f t="shared" si="794"/>
        <v>0.15880884251968502</v>
      </c>
      <c r="J789" s="4">
        <f t="shared" si="795"/>
        <v>4.2878387480314951E-2</v>
      </c>
      <c r="K789" s="4">
        <f t="shared" si="796"/>
        <v>0.20168722999999997</v>
      </c>
      <c r="L789" s="13">
        <f t="shared" si="797"/>
        <v>3.7037037037037042</v>
      </c>
      <c r="M789" s="3"/>
      <c r="N789" s="3"/>
    </row>
    <row r="790" spans="1:14" x14ac:dyDescent="0.2">
      <c r="A790" s="22">
        <v>488832</v>
      </c>
      <c r="B790" s="4">
        <v>100</v>
      </c>
      <c r="C790" s="4">
        <v>8</v>
      </c>
      <c r="D790" s="33">
        <v>4.7</v>
      </c>
      <c r="E790" s="23">
        <v>2.35</v>
      </c>
      <c r="F790" s="23">
        <f t="shared" si="788"/>
        <v>4.7</v>
      </c>
      <c r="G790" s="23">
        <f t="shared" si="602"/>
        <v>2.35</v>
      </c>
      <c r="H790" s="4">
        <f t="shared" si="793"/>
        <v>3.8630000000000001E-3</v>
      </c>
      <c r="I790" s="2">
        <f t="shared" si="794"/>
        <v>0.16226120866141736</v>
      </c>
      <c r="J790" s="4">
        <f t="shared" si="795"/>
        <v>4.3810526338582692E-2</v>
      </c>
      <c r="K790" s="4">
        <f t="shared" si="796"/>
        <v>0.20607173500000003</v>
      </c>
      <c r="L790" s="13">
        <f t="shared" si="797"/>
        <v>3.7037037037037033</v>
      </c>
      <c r="M790" s="3">
        <f t="shared" ref="M790" si="858">AVERAGE(I790:I791)</f>
        <v>0.16571357480314963</v>
      </c>
      <c r="N790" s="3">
        <f t="shared" ref="N790" si="859">AVERAGE(J790:J791)</f>
        <v>4.0358160196850422E-2</v>
      </c>
    </row>
    <row r="791" spans="1:14" x14ac:dyDescent="0.2">
      <c r="A791" s="22"/>
      <c r="B791" s="4">
        <v>100</v>
      </c>
      <c r="C791" s="4">
        <v>8</v>
      </c>
      <c r="D791" s="33">
        <v>4.8</v>
      </c>
      <c r="E791" s="23">
        <v>2.35</v>
      </c>
      <c r="F791" s="23">
        <f t="shared" si="788"/>
        <v>4.8</v>
      </c>
      <c r="G791" s="23">
        <f t="shared" si="602"/>
        <v>2.35</v>
      </c>
      <c r="H791" s="4">
        <f t="shared" si="793"/>
        <v>3.8630000000000001E-3</v>
      </c>
      <c r="I791" s="2">
        <f t="shared" si="794"/>
        <v>0.16916594094488191</v>
      </c>
      <c r="J791" s="4">
        <f t="shared" si="795"/>
        <v>3.6905794055118152E-2</v>
      </c>
      <c r="K791" s="4">
        <f t="shared" si="796"/>
        <v>0.20607173500000006</v>
      </c>
      <c r="L791" s="13">
        <f t="shared" si="797"/>
        <v>4.5837231057062633</v>
      </c>
      <c r="M791" s="3"/>
      <c r="N791" s="3"/>
    </row>
    <row r="792" spans="1:14" x14ac:dyDescent="0.2">
      <c r="A792" s="22">
        <v>488833</v>
      </c>
      <c r="B792" s="4">
        <v>100</v>
      </c>
      <c r="C792" s="4">
        <v>8</v>
      </c>
      <c r="D792" s="33">
        <v>4.5999999999999996</v>
      </c>
      <c r="E792" s="23">
        <v>2.2999999999999998</v>
      </c>
      <c r="F792" s="23">
        <f t="shared" si="788"/>
        <v>4.5999999999999996</v>
      </c>
      <c r="G792" s="23">
        <f t="shared" si="602"/>
        <v>2.2999999999999998</v>
      </c>
      <c r="H792" s="4">
        <f t="shared" si="793"/>
        <v>3.8630000000000001E-3</v>
      </c>
      <c r="I792" s="2">
        <f t="shared" si="794"/>
        <v>0.15880884251968502</v>
      </c>
      <c r="J792" s="4">
        <f t="shared" si="795"/>
        <v>4.2878387480314951E-2</v>
      </c>
      <c r="K792" s="4">
        <f t="shared" si="796"/>
        <v>0.20168722999999997</v>
      </c>
      <c r="L792" s="13">
        <f t="shared" si="797"/>
        <v>3.7037037037037042</v>
      </c>
      <c r="M792" s="3">
        <f t="shared" ref="M792" si="860">AVERAGE(I792:I793)</f>
        <v>0.16743975787401574</v>
      </c>
      <c r="N792" s="3">
        <f t="shared" ref="N792" si="861">AVERAGE(J792:J793)</f>
        <v>4.0824229625984275E-2</v>
      </c>
    </row>
    <row r="793" spans="1:14" x14ac:dyDescent="0.2">
      <c r="A793" s="22"/>
      <c r="B793" s="4">
        <v>100</v>
      </c>
      <c r="C793" s="4">
        <v>8</v>
      </c>
      <c r="D793" s="33">
        <v>5</v>
      </c>
      <c r="E793" s="23">
        <v>2.4500000000000002</v>
      </c>
      <c r="F793" s="23">
        <f t="shared" si="788"/>
        <v>5</v>
      </c>
      <c r="G793" s="23">
        <f t="shared" si="602"/>
        <v>2.4500000000000002</v>
      </c>
      <c r="H793" s="4">
        <f t="shared" si="793"/>
        <v>3.8630000000000001E-3</v>
      </c>
      <c r="I793" s="2">
        <f t="shared" si="794"/>
        <v>0.17607067322834646</v>
      </c>
      <c r="J793" s="4">
        <f t="shared" si="795"/>
        <v>3.8770071771653598E-2</v>
      </c>
      <c r="K793" s="4">
        <f t="shared" si="796"/>
        <v>0.21484074500000006</v>
      </c>
      <c r="L793" s="13">
        <f t="shared" si="797"/>
        <v>4.5414069456812047</v>
      </c>
      <c r="M793" s="3"/>
      <c r="N793" s="3"/>
    </row>
    <row r="794" spans="1:14" x14ac:dyDescent="0.2">
      <c r="A794" s="22">
        <v>488849</v>
      </c>
      <c r="B794" s="4">
        <v>100</v>
      </c>
      <c r="C794" s="4">
        <v>8</v>
      </c>
      <c r="D794" s="33">
        <v>0.95</v>
      </c>
      <c r="E794" s="23">
        <v>0.6</v>
      </c>
      <c r="F794" s="23">
        <f t="shared" si="788"/>
        <v>0.95</v>
      </c>
      <c r="G794" s="23">
        <f t="shared" si="602"/>
        <v>0.6</v>
      </c>
      <c r="H794" s="4">
        <f t="shared" ref="H794:H813" si="862">IF(C794=1,32.7101,IF(C794=2,8.14893,IF(C794=3,1.42818,IF(C794=4,0.44041,IF(C794=5,0.123026,IF(C794=6,0.035767,IF(C794=7,0.009745,0.003863)))))))</f>
        <v>3.8630000000000001E-3</v>
      </c>
      <c r="I794" s="2">
        <f t="shared" ref="I794:I813" si="863">H794*$A$3*(F794-G794)*1000/B794</f>
        <v>2.4166562992125985E-2</v>
      </c>
      <c r="J794" s="4">
        <f t="shared" ref="J794:J813" si="864">2.27*($A$3*G794-($A$3-1)*F794)*H794*1000/B794</f>
        <v>2.8447497007874016E-2</v>
      </c>
      <c r="K794" s="4">
        <f t="shared" ref="K794:K813" si="865">(I794+J794)</f>
        <v>5.2614060000000004E-2</v>
      </c>
      <c r="L794" s="13">
        <f t="shared" ref="L794:L813" si="866">(I794/J794)</f>
        <v>0.84951456310679607</v>
      </c>
      <c r="M794" s="3">
        <f t="shared" ref="M794" si="867">AVERAGE(I794:I795)</f>
        <v>2.4166562992125985E-2</v>
      </c>
      <c r="N794" s="3">
        <f t="shared" ref="N794" si="868">AVERAGE(J794:J795)</f>
        <v>3.0639749507874011E-2</v>
      </c>
    </row>
    <row r="795" spans="1:14" x14ac:dyDescent="0.2">
      <c r="A795" s="22"/>
      <c r="B795" s="4">
        <v>100</v>
      </c>
      <c r="C795" s="4">
        <v>8</v>
      </c>
      <c r="D795" s="33">
        <v>1</v>
      </c>
      <c r="E795" s="23">
        <v>0.65</v>
      </c>
      <c r="F795" s="23">
        <f t="shared" si="788"/>
        <v>1</v>
      </c>
      <c r="G795" s="23">
        <f t="shared" si="602"/>
        <v>0.65</v>
      </c>
      <c r="H795" s="4">
        <f t="shared" si="862"/>
        <v>3.8630000000000001E-3</v>
      </c>
      <c r="I795" s="2">
        <f t="shared" si="863"/>
        <v>2.4166562992125985E-2</v>
      </c>
      <c r="J795" s="4">
        <f t="shared" si="864"/>
        <v>3.2832002007874006E-2</v>
      </c>
      <c r="K795" s="4">
        <f t="shared" si="865"/>
        <v>5.6998564999999987E-2</v>
      </c>
      <c r="L795" s="13">
        <f t="shared" si="866"/>
        <v>0.73606729758149336</v>
      </c>
      <c r="M795" s="3"/>
      <c r="N795" s="3"/>
    </row>
    <row r="796" spans="1:14" x14ac:dyDescent="0.2">
      <c r="A796" s="22">
        <v>488850</v>
      </c>
      <c r="B796" s="4">
        <v>100</v>
      </c>
      <c r="C796" s="4">
        <v>8</v>
      </c>
      <c r="D796" s="33">
        <v>3.45</v>
      </c>
      <c r="E796" s="23">
        <v>2.4</v>
      </c>
      <c r="F796" s="23">
        <f t="shared" si="788"/>
        <v>3.45</v>
      </c>
      <c r="G796" s="23">
        <f t="shared" si="602"/>
        <v>2.4</v>
      </c>
      <c r="H796" s="4">
        <f t="shared" si="862"/>
        <v>3.8630000000000001E-3</v>
      </c>
      <c r="I796" s="2">
        <f t="shared" si="863"/>
        <v>7.2499688976377971E-2</v>
      </c>
      <c r="J796" s="4">
        <f t="shared" si="864"/>
        <v>0.137956551023622</v>
      </c>
      <c r="K796" s="4">
        <f t="shared" si="865"/>
        <v>0.21045623999999996</v>
      </c>
      <c r="L796" s="13">
        <f t="shared" si="866"/>
        <v>0.52552552552552578</v>
      </c>
      <c r="M796" s="3">
        <f t="shared" ref="M796" si="869">AVERAGE(I796:I797)</f>
        <v>7.5952055118110234E-2</v>
      </c>
      <c r="N796" s="3">
        <f t="shared" ref="N796" si="870">AVERAGE(J796:J797)</f>
        <v>0.13231193238188976</v>
      </c>
    </row>
    <row r="797" spans="1:14" x14ac:dyDescent="0.2">
      <c r="A797" s="22"/>
      <c r="B797" s="4">
        <v>100</v>
      </c>
      <c r="C797" s="4">
        <v>8</v>
      </c>
      <c r="D797" s="33">
        <v>3.5</v>
      </c>
      <c r="E797" s="23">
        <v>2.35</v>
      </c>
      <c r="F797" s="23">
        <f t="shared" si="788"/>
        <v>3.5</v>
      </c>
      <c r="G797" s="23">
        <f t="shared" si="602"/>
        <v>2.35</v>
      </c>
      <c r="H797" s="4">
        <f t="shared" si="862"/>
        <v>3.8630000000000001E-3</v>
      </c>
      <c r="I797" s="2">
        <f t="shared" si="863"/>
        <v>7.9404421259842511E-2</v>
      </c>
      <c r="J797" s="4">
        <f t="shared" si="864"/>
        <v>0.12666731374015752</v>
      </c>
      <c r="K797" s="4">
        <f t="shared" si="865"/>
        <v>0.20607173500000003</v>
      </c>
      <c r="L797" s="13">
        <f t="shared" si="866"/>
        <v>0.62687380757699618</v>
      </c>
      <c r="M797" s="3"/>
      <c r="N797" s="3"/>
    </row>
    <row r="798" spans="1:14" x14ac:dyDescent="0.2">
      <c r="A798" s="22">
        <v>488851</v>
      </c>
      <c r="B798" s="4">
        <v>100</v>
      </c>
      <c r="C798" s="4">
        <v>7</v>
      </c>
      <c r="D798" s="33">
        <v>5.15</v>
      </c>
      <c r="E798" s="23">
        <v>3.4</v>
      </c>
      <c r="F798" s="23">
        <f t="shared" si="788"/>
        <v>5.15</v>
      </c>
      <c r="G798" s="23">
        <f t="shared" si="602"/>
        <v>3.4</v>
      </c>
      <c r="H798" s="4">
        <f t="shared" si="862"/>
        <v>9.7450000000000002E-3</v>
      </c>
      <c r="I798" s="2">
        <f t="shared" si="863"/>
        <v>0.30481899606299223</v>
      </c>
      <c r="J798" s="4">
        <f t="shared" si="864"/>
        <v>0.44730010393700792</v>
      </c>
      <c r="K798" s="4">
        <f t="shared" si="865"/>
        <v>0.75211910000000015</v>
      </c>
      <c r="L798" s="13">
        <f t="shared" si="866"/>
        <v>0.68146417445482887</v>
      </c>
      <c r="M798" s="3">
        <f t="shared" ref="M798" si="871">AVERAGE(I798:I799)</f>
        <v>0.31788266732283471</v>
      </c>
      <c r="N798" s="3">
        <f t="shared" ref="N798" si="872">AVERAGE(J798:J799)</f>
        <v>0.42870614517716543</v>
      </c>
    </row>
    <row r="799" spans="1:14" x14ac:dyDescent="0.2">
      <c r="A799" s="22"/>
      <c r="B799" s="4">
        <v>100</v>
      </c>
      <c r="C799" s="4">
        <v>7</v>
      </c>
      <c r="D799" s="33">
        <v>5.25</v>
      </c>
      <c r="E799" s="23">
        <v>3.35</v>
      </c>
      <c r="F799" s="23">
        <f t="shared" si="788"/>
        <v>5.25</v>
      </c>
      <c r="G799" s="23">
        <f t="shared" si="602"/>
        <v>3.35</v>
      </c>
      <c r="H799" s="4">
        <f t="shared" si="862"/>
        <v>9.7450000000000002E-3</v>
      </c>
      <c r="I799" s="2">
        <f t="shared" si="863"/>
        <v>0.33094633858267719</v>
      </c>
      <c r="J799" s="4">
        <f t="shared" si="864"/>
        <v>0.41011218641732294</v>
      </c>
      <c r="K799" s="4">
        <f t="shared" si="865"/>
        <v>0.74105852500000013</v>
      </c>
      <c r="L799" s="13">
        <f t="shared" si="866"/>
        <v>0.80696538543215102</v>
      </c>
      <c r="M799" s="3"/>
      <c r="N799" s="3"/>
    </row>
    <row r="800" spans="1:14" x14ac:dyDescent="0.2">
      <c r="A800" s="22">
        <v>488852</v>
      </c>
      <c r="B800" s="4">
        <v>100</v>
      </c>
      <c r="C800" s="4">
        <v>6</v>
      </c>
      <c r="D800" s="33">
        <v>2.2999999999999998</v>
      </c>
      <c r="E800" s="23">
        <v>1.35</v>
      </c>
      <c r="F800" s="23">
        <f t="shared" si="788"/>
        <v>2.2999999999999998</v>
      </c>
      <c r="G800" s="23">
        <f t="shared" si="602"/>
        <v>1.35</v>
      </c>
      <c r="H800" s="4">
        <f t="shared" si="862"/>
        <v>3.5767E-2</v>
      </c>
      <c r="I800" s="2">
        <f t="shared" si="863"/>
        <v>0.60733492519685017</v>
      </c>
      <c r="J800" s="4">
        <f t="shared" si="864"/>
        <v>0.48874478980314989</v>
      </c>
      <c r="K800" s="4">
        <f t="shared" si="865"/>
        <v>1.0960797150000001</v>
      </c>
      <c r="L800" s="13">
        <f t="shared" si="866"/>
        <v>1.2426422498364933</v>
      </c>
      <c r="M800" s="3">
        <f t="shared" ref="M800" si="873">AVERAGE(I800:I801)</f>
        <v>0.62331742322834627</v>
      </c>
      <c r="N800" s="3">
        <f t="shared" ref="N800" si="874">AVERAGE(J800:J801)</f>
        <v>0.45246451927165376</v>
      </c>
    </row>
    <row r="801" spans="1:14" x14ac:dyDescent="0.2">
      <c r="A801" s="22"/>
      <c r="B801" s="4">
        <v>100</v>
      </c>
      <c r="C801" s="4">
        <v>6</v>
      </c>
      <c r="D801" s="33">
        <v>2.2999999999999998</v>
      </c>
      <c r="E801" s="23">
        <v>1.3</v>
      </c>
      <c r="F801" s="23">
        <f t="shared" si="788"/>
        <v>2.2999999999999998</v>
      </c>
      <c r="G801" s="23">
        <f t="shared" si="602"/>
        <v>1.3</v>
      </c>
      <c r="H801" s="4">
        <f t="shared" si="862"/>
        <v>3.5767E-2</v>
      </c>
      <c r="I801" s="2">
        <f t="shared" si="863"/>
        <v>0.63929992125984247</v>
      </c>
      <c r="J801" s="4">
        <f t="shared" si="864"/>
        <v>0.41618424874015764</v>
      </c>
      <c r="K801" s="4">
        <f t="shared" si="865"/>
        <v>1.0554841700000002</v>
      </c>
      <c r="L801" s="13">
        <f t="shared" si="866"/>
        <v>1.5360983102918579</v>
      </c>
      <c r="M801" s="3"/>
      <c r="N801" s="3"/>
    </row>
    <row r="802" spans="1:14" x14ac:dyDescent="0.2">
      <c r="A802" s="22">
        <v>488853</v>
      </c>
      <c r="B802" s="4">
        <v>100</v>
      </c>
      <c r="C802" s="4">
        <v>7</v>
      </c>
      <c r="D802" s="33">
        <v>5</v>
      </c>
      <c r="E802" s="23">
        <v>2.9</v>
      </c>
      <c r="F802" s="23">
        <f t="shared" si="788"/>
        <v>5</v>
      </c>
      <c r="G802" s="23">
        <f t="shared" si="602"/>
        <v>2.9</v>
      </c>
      <c r="H802" s="4">
        <f t="shared" si="862"/>
        <v>9.7450000000000002E-3</v>
      </c>
      <c r="I802" s="2">
        <f t="shared" si="863"/>
        <v>0.36578279527559054</v>
      </c>
      <c r="J802" s="4">
        <f t="shared" si="864"/>
        <v>0.27573055472440949</v>
      </c>
      <c r="K802" s="4">
        <f t="shared" si="865"/>
        <v>0.64151335000000009</v>
      </c>
      <c r="L802" s="13">
        <f t="shared" si="866"/>
        <v>1.3265950726468727</v>
      </c>
      <c r="M802" s="3">
        <f t="shared" ref="M802" si="875">AVERAGE(I802:I803)</f>
        <v>0.39191013779527561</v>
      </c>
      <c r="N802" s="3">
        <f t="shared" ref="N802" si="876">AVERAGE(J802:J803)</f>
        <v>0.26619407470472439</v>
      </c>
    </row>
    <row r="803" spans="1:14" x14ac:dyDescent="0.2">
      <c r="A803" s="22"/>
      <c r="B803" s="4">
        <v>100</v>
      </c>
      <c r="C803" s="4">
        <v>7</v>
      </c>
      <c r="D803" s="33">
        <v>5.45</v>
      </c>
      <c r="E803" s="23">
        <v>3.05</v>
      </c>
      <c r="F803" s="23">
        <f t="shared" si="788"/>
        <v>5.45</v>
      </c>
      <c r="G803" s="23">
        <f t="shared" si="602"/>
        <v>3.05</v>
      </c>
      <c r="H803" s="4">
        <f t="shared" si="862"/>
        <v>9.7450000000000002E-3</v>
      </c>
      <c r="I803" s="2">
        <f t="shared" si="863"/>
        <v>0.41803748031496069</v>
      </c>
      <c r="J803" s="4">
        <f t="shared" si="864"/>
        <v>0.25665759468503929</v>
      </c>
      <c r="K803" s="4">
        <f t="shared" si="865"/>
        <v>0.67469507500000003</v>
      </c>
      <c r="L803" s="13">
        <f t="shared" si="866"/>
        <v>1.6287750254496105</v>
      </c>
      <c r="M803" s="3"/>
      <c r="N803" s="3"/>
    </row>
    <row r="804" spans="1:14" x14ac:dyDescent="0.2">
      <c r="A804" s="22">
        <v>488854</v>
      </c>
      <c r="B804" s="4">
        <v>100</v>
      </c>
      <c r="C804" s="4">
        <v>7</v>
      </c>
      <c r="D804" s="33">
        <v>3.8</v>
      </c>
      <c r="E804" s="23">
        <v>2.0499999999999998</v>
      </c>
      <c r="F804" s="23">
        <f t="shared" si="788"/>
        <v>3.8</v>
      </c>
      <c r="G804" s="23">
        <f t="shared" si="602"/>
        <v>2.0499999999999998</v>
      </c>
      <c r="H804" s="4">
        <f t="shared" si="862"/>
        <v>9.7450000000000002E-3</v>
      </c>
      <c r="I804" s="2">
        <f t="shared" si="863"/>
        <v>0.30481899606299218</v>
      </c>
      <c r="J804" s="4">
        <f t="shared" si="864"/>
        <v>0.14866457893700791</v>
      </c>
      <c r="K804" s="4">
        <f t="shared" si="865"/>
        <v>0.45348357500000008</v>
      </c>
      <c r="L804" s="13">
        <f t="shared" si="866"/>
        <v>2.050380785002929</v>
      </c>
      <c r="M804" s="3">
        <f t="shared" ref="M804" si="877">AVERAGE(I804:I805)</f>
        <v>0.30046443897637798</v>
      </c>
      <c r="N804" s="3">
        <f t="shared" ref="N804" si="878">AVERAGE(J804:J805)</f>
        <v>0.1474888485236221</v>
      </c>
    </row>
    <row r="805" spans="1:14" x14ac:dyDescent="0.2">
      <c r="A805" s="22"/>
      <c r="B805" s="4">
        <v>100</v>
      </c>
      <c r="C805" s="4">
        <v>7</v>
      </c>
      <c r="D805" s="33">
        <v>3.7</v>
      </c>
      <c r="E805" s="23">
        <v>2</v>
      </c>
      <c r="F805" s="23">
        <f t="shared" si="788"/>
        <v>3.7</v>
      </c>
      <c r="G805" s="23">
        <f t="shared" si="602"/>
        <v>2</v>
      </c>
      <c r="H805" s="4">
        <f t="shared" si="862"/>
        <v>9.7450000000000002E-3</v>
      </c>
      <c r="I805" s="2">
        <f t="shared" si="863"/>
        <v>0.29610988188976384</v>
      </c>
      <c r="J805" s="4">
        <f t="shared" si="864"/>
        <v>0.14631311811023626</v>
      </c>
      <c r="K805" s="4">
        <f t="shared" si="865"/>
        <v>0.44242300000000012</v>
      </c>
      <c r="L805" s="13">
        <f t="shared" si="866"/>
        <v>2.0238095238095237</v>
      </c>
      <c r="M805" s="3"/>
      <c r="N805" s="3"/>
    </row>
    <row r="806" spans="1:14" x14ac:dyDescent="0.2">
      <c r="A806" s="22">
        <v>488855</v>
      </c>
      <c r="B806" s="4">
        <v>100</v>
      </c>
      <c r="C806" s="4">
        <v>7</v>
      </c>
      <c r="D806" s="33">
        <v>2.5499999999999998</v>
      </c>
      <c r="E806" s="23">
        <v>1.3</v>
      </c>
      <c r="F806" s="23">
        <f t="shared" si="788"/>
        <v>2.5499999999999998</v>
      </c>
      <c r="G806" s="23">
        <f t="shared" si="602"/>
        <v>1.3</v>
      </c>
      <c r="H806" s="4">
        <f t="shared" si="862"/>
        <v>9.7450000000000002E-3</v>
      </c>
      <c r="I806" s="2">
        <f t="shared" si="863"/>
        <v>0.21772785433070863</v>
      </c>
      <c r="J806" s="4">
        <f t="shared" si="864"/>
        <v>6.9847095669291398E-2</v>
      </c>
      <c r="K806" s="4">
        <f t="shared" si="865"/>
        <v>0.28757495</v>
      </c>
      <c r="L806" s="13">
        <f t="shared" si="866"/>
        <v>3.1172069825436379</v>
      </c>
      <c r="M806" s="3">
        <f t="shared" ref="M806" si="879">AVERAGE(I806:I807)</f>
        <v>0.21772785433070863</v>
      </c>
      <c r="N806" s="3">
        <f t="shared" ref="N806" si="880">AVERAGE(J806:J807)</f>
        <v>6.431680816929139E-2</v>
      </c>
    </row>
    <row r="807" spans="1:14" x14ac:dyDescent="0.2">
      <c r="A807" s="22"/>
      <c r="B807" s="4">
        <v>100</v>
      </c>
      <c r="C807" s="4">
        <v>7</v>
      </c>
      <c r="D807" s="33">
        <v>2.5</v>
      </c>
      <c r="E807" s="23">
        <v>1.25</v>
      </c>
      <c r="F807" s="23">
        <f t="shared" si="788"/>
        <v>2.5</v>
      </c>
      <c r="G807" s="23">
        <f t="shared" si="602"/>
        <v>1.25</v>
      </c>
      <c r="H807" s="4">
        <f t="shared" si="862"/>
        <v>9.7450000000000002E-3</v>
      </c>
      <c r="I807" s="2">
        <f t="shared" si="863"/>
        <v>0.21772785433070865</v>
      </c>
      <c r="J807" s="4">
        <f t="shared" si="864"/>
        <v>5.8786520669291381E-2</v>
      </c>
      <c r="K807" s="4">
        <f t="shared" si="865"/>
        <v>0.27651437500000003</v>
      </c>
      <c r="L807" s="13">
        <f t="shared" si="866"/>
        <v>3.7037037037037011</v>
      </c>
      <c r="M807" s="3"/>
      <c r="N807" s="3"/>
    </row>
    <row r="808" spans="1:14" x14ac:dyDescent="0.2">
      <c r="A808" s="22">
        <v>488856</v>
      </c>
      <c r="B808" s="4">
        <v>100</v>
      </c>
      <c r="C808" s="4">
        <v>8</v>
      </c>
      <c r="D808" s="33">
        <v>5.5</v>
      </c>
      <c r="E808" s="23">
        <v>2.7</v>
      </c>
      <c r="F808" s="23">
        <f t="shared" si="788"/>
        <v>5.5</v>
      </c>
      <c r="G808" s="23">
        <f t="shared" si="602"/>
        <v>2.7</v>
      </c>
      <c r="H808" s="4">
        <f t="shared" si="862"/>
        <v>3.8630000000000001E-3</v>
      </c>
      <c r="I808" s="2">
        <f t="shared" si="863"/>
        <v>0.19333250393700788</v>
      </c>
      <c r="J808" s="4">
        <f t="shared" si="864"/>
        <v>4.3430766062992177E-2</v>
      </c>
      <c r="K808" s="4">
        <f t="shared" si="865"/>
        <v>0.23676327000000005</v>
      </c>
      <c r="L808" s="13">
        <f t="shared" si="866"/>
        <v>4.4515103338632702</v>
      </c>
      <c r="M808" s="3">
        <f t="shared" ref="M808" si="881">AVERAGE(I808:I809)</f>
        <v>0.19160632086614174</v>
      </c>
      <c r="N808" s="3">
        <f t="shared" ref="N808" si="882">AVERAGE(J808:J809)</f>
        <v>4.5156949133858315E-2</v>
      </c>
    </row>
    <row r="809" spans="1:14" x14ac:dyDescent="0.2">
      <c r="A809" s="22"/>
      <c r="B809" s="4">
        <v>100</v>
      </c>
      <c r="C809" s="4">
        <v>8</v>
      </c>
      <c r="D809" s="33">
        <v>5.45</v>
      </c>
      <c r="E809" s="23">
        <v>2.7</v>
      </c>
      <c r="F809" s="23">
        <f t="shared" si="788"/>
        <v>5.45</v>
      </c>
      <c r="G809" s="23">
        <f t="shared" si="602"/>
        <v>2.7</v>
      </c>
      <c r="H809" s="4">
        <f t="shared" si="862"/>
        <v>3.8630000000000001E-3</v>
      </c>
      <c r="I809" s="2">
        <f t="shared" si="863"/>
        <v>0.1898801377952756</v>
      </c>
      <c r="J809" s="4">
        <f t="shared" si="864"/>
        <v>4.6883132204724454E-2</v>
      </c>
      <c r="K809" s="4">
        <f t="shared" si="865"/>
        <v>0.23676327000000005</v>
      </c>
      <c r="L809" s="13">
        <f t="shared" si="866"/>
        <v>4.0500736377025</v>
      </c>
      <c r="M809" s="3"/>
      <c r="N809" s="3"/>
    </row>
    <row r="810" spans="1:14" x14ac:dyDescent="0.2">
      <c r="A810" s="22">
        <v>488857</v>
      </c>
      <c r="B810" s="4">
        <v>100</v>
      </c>
      <c r="C810" s="4">
        <v>8</v>
      </c>
      <c r="D810" s="33">
        <v>4.45</v>
      </c>
      <c r="E810" s="23">
        <v>2.1</v>
      </c>
      <c r="F810" s="23">
        <f t="shared" si="788"/>
        <v>4.45</v>
      </c>
      <c r="G810" s="23">
        <f t="shared" si="602"/>
        <v>2.1</v>
      </c>
      <c r="H810" s="4">
        <f t="shared" si="862"/>
        <v>3.8630000000000001E-3</v>
      </c>
      <c r="I810" s="2">
        <f t="shared" si="863"/>
        <v>0.16226120866141736</v>
      </c>
      <c r="J810" s="4">
        <f t="shared" si="864"/>
        <v>2.1888001338582659E-2</v>
      </c>
      <c r="K810" s="4">
        <f t="shared" si="865"/>
        <v>0.18414921000000001</v>
      </c>
      <c r="L810" s="13">
        <f t="shared" si="866"/>
        <v>7.4132492113564741</v>
      </c>
      <c r="M810" s="3">
        <f t="shared" ref="M810" si="883">AVERAGE(I810:I811)</f>
        <v>0.16053502559055119</v>
      </c>
      <c r="N810" s="3">
        <f t="shared" ref="N810" si="884">AVERAGE(J810:J811)</f>
        <v>3.0190941909448814E-2</v>
      </c>
    </row>
    <row r="811" spans="1:14" x14ac:dyDescent="0.2">
      <c r="A811" s="22"/>
      <c r="B811" s="4">
        <v>100</v>
      </c>
      <c r="C811" s="4">
        <v>8</v>
      </c>
      <c r="D811" s="33">
        <v>4.55</v>
      </c>
      <c r="E811" s="23">
        <v>2.25</v>
      </c>
      <c r="F811" s="23">
        <f t="shared" si="788"/>
        <v>4.55</v>
      </c>
      <c r="G811" s="23">
        <f t="shared" si="788"/>
        <v>2.25</v>
      </c>
      <c r="H811" s="4">
        <f t="shared" si="862"/>
        <v>3.8630000000000001E-3</v>
      </c>
      <c r="I811" s="2">
        <f t="shared" si="863"/>
        <v>0.15880884251968502</v>
      </c>
      <c r="J811" s="4">
        <f t="shared" si="864"/>
        <v>3.8493882480314968E-2</v>
      </c>
      <c r="K811" s="4">
        <f t="shared" si="865"/>
        <v>0.19730272499999998</v>
      </c>
      <c r="L811" s="13">
        <f t="shared" si="866"/>
        <v>4.1255605381165905</v>
      </c>
      <c r="M811" s="3"/>
      <c r="N811" s="3"/>
    </row>
    <row r="812" spans="1:14" x14ac:dyDescent="0.2">
      <c r="A812" s="32">
        <v>488257</v>
      </c>
      <c r="B812" s="4">
        <v>100</v>
      </c>
      <c r="C812" s="4">
        <v>8</v>
      </c>
      <c r="D812" s="33">
        <v>5.5</v>
      </c>
      <c r="E812" s="23">
        <v>2.6</v>
      </c>
      <c r="F812" s="23">
        <f t="shared" si="788"/>
        <v>5.5</v>
      </c>
      <c r="G812" s="23">
        <f t="shared" si="788"/>
        <v>2.6</v>
      </c>
      <c r="H812" s="4">
        <f t="shared" si="862"/>
        <v>3.8630000000000001E-3</v>
      </c>
      <c r="I812" s="2">
        <f t="shared" si="863"/>
        <v>0.20023723622047243</v>
      </c>
      <c r="J812" s="4">
        <f t="shared" si="864"/>
        <v>2.7757023779527573E-2</v>
      </c>
      <c r="K812" s="4">
        <f t="shared" si="865"/>
        <v>0.22799426</v>
      </c>
      <c r="L812" s="13">
        <f t="shared" si="866"/>
        <v>7.2139303482587023</v>
      </c>
      <c r="M812" s="3">
        <f t="shared" ref="M812" si="885">AVERAGE(I812:I813)</f>
        <v>0.19678487007874018</v>
      </c>
      <c r="N812" s="3">
        <f t="shared" ref="N812" si="886">AVERAGE(J812:J813)</f>
        <v>3.120938992125985E-2</v>
      </c>
    </row>
    <row r="813" spans="1:14" x14ac:dyDescent="0.2">
      <c r="A813" s="22"/>
      <c r="B813" s="4">
        <v>100</v>
      </c>
      <c r="C813" s="4">
        <v>8</v>
      </c>
      <c r="D813" s="33">
        <v>5.4</v>
      </c>
      <c r="E813" s="23">
        <v>2.6</v>
      </c>
      <c r="F813" s="23">
        <f t="shared" si="788"/>
        <v>5.4</v>
      </c>
      <c r="G813" s="23">
        <f t="shared" si="788"/>
        <v>2.6</v>
      </c>
      <c r="H813" s="4">
        <f t="shared" si="862"/>
        <v>3.8630000000000001E-3</v>
      </c>
      <c r="I813" s="2">
        <f t="shared" si="863"/>
        <v>0.1933325039370079</v>
      </c>
      <c r="J813" s="4">
        <f t="shared" si="864"/>
        <v>3.4661756062992127E-2</v>
      </c>
      <c r="K813" s="4">
        <f t="shared" si="865"/>
        <v>0.22799426000000003</v>
      </c>
      <c r="L813" s="13">
        <f t="shared" si="866"/>
        <v>5.5776892430278888</v>
      </c>
      <c r="M813" s="3"/>
      <c r="N813" s="3"/>
    </row>
    <row r="814" spans="1:14" x14ac:dyDescent="0.2">
      <c r="A814" s="22">
        <v>488872</v>
      </c>
      <c r="B814" s="4">
        <v>100</v>
      </c>
      <c r="C814" s="4">
        <v>8</v>
      </c>
      <c r="D814" s="33">
        <v>1.25</v>
      </c>
      <c r="E814" s="23">
        <v>0.95</v>
      </c>
      <c r="F814" s="23">
        <f t="shared" ref="F814:F877" si="887">IF($C814=5,D814-$D$5,IF($C814=6,D814-$D$6,IF($C814=7,D814-$D$7,IF($C814=8,D814-$D$8,D814))))</f>
        <v>1.25</v>
      </c>
      <c r="G814" s="23">
        <f t="shared" ref="G814:G877" si="888">IF($C814=5,E814-$D$5,IF($C814=6,E814-$D$6,IF($C814=7,E814-$D$7,IF($C814=8,E814-$D$8,E814))))</f>
        <v>0.95</v>
      </c>
      <c r="H814" s="4">
        <f t="shared" ref="H814:H877" si="889">IF(C814=1,32.7101,IF(C814=2,8.14893,IF(C814=3,1.42818,IF(C814=4,0.44041,IF(C814=5,0.123026,IF(C814=6,0.035767,IF(C814=7,0.009745,0.003863)))))))</f>
        <v>3.8630000000000001E-3</v>
      </c>
      <c r="I814" s="2">
        <f t="shared" ref="I814:I877" si="890">H814*$A$3*(F814-G814)*1000/B814</f>
        <v>2.0714196850393704E-2</v>
      </c>
      <c r="J814" s="4">
        <f t="shared" ref="J814:J877" si="891">2.27*($A$3*G814-($A$3-1)*F814)*H814*1000/B814</f>
        <v>6.2591398149606292E-2</v>
      </c>
      <c r="K814" s="4">
        <f t="shared" ref="K814:K877" si="892">(I814+J814)</f>
        <v>8.3305594999999996E-2</v>
      </c>
      <c r="L814" s="13">
        <f t="shared" ref="L814:L877" si="893">(I814/J814)</f>
        <v>0.33094318808604534</v>
      </c>
      <c r="M814" s="3">
        <f t="shared" ref="M814" si="894">AVERAGE(I814:I815)</f>
        <v>2.2440379921259839E-2</v>
      </c>
      <c r="N814" s="3">
        <f t="shared" ref="N814" si="895">AVERAGE(J814:J815)</f>
        <v>6.5249720078740164E-2</v>
      </c>
    </row>
    <row r="815" spans="1:14" x14ac:dyDescent="0.2">
      <c r="A815" s="22"/>
      <c r="B815" s="4">
        <v>100</v>
      </c>
      <c r="C815" s="4">
        <v>8</v>
      </c>
      <c r="D815" s="33">
        <v>1.4</v>
      </c>
      <c r="E815" s="23">
        <v>1.05</v>
      </c>
      <c r="F815" s="23">
        <f t="shared" si="887"/>
        <v>1.4</v>
      </c>
      <c r="G815" s="23">
        <f t="shared" si="888"/>
        <v>1.05</v>
      </c>
      <c r="H815" s="4">
        <f t="shared" si="889"/>
        <v>3.8630000000000001E-3</v>
      </c>
      <c r="I815" s="2">
        <f t="shared" si="890"/>
        <v>2.4166562992125974E-2</v>
      </c>
      <c r="J815" s="4">
        <f t="shared" si="891"/>
        <v>6.7908042007874023E-2</v>
      </c>
      <c r="K815" s="4">
        <f t="shared" si="892"/>
        <v>9.2074605000000004E-2</v>
      </c>
      <c r="L815" s="13">
        <f t="shared" si="893"/>
        <v>0.35587188612099624</v>
      </c>
      <c r="M815" s="3"/>
      <c r="N815" s="3"/>
    </row>
    <row r="816" spans="1:14" x14ac:dyDescent="0.2">
      <c r="A816" s="22">
        <v>488873</v>
      </c>
      <c r="B816" s="4">
        <v>100</v>
      </c>
      <c r="C816" s="4">
        <v>8</v>
      </c>
      <c r="D816" s="33">
        <v>1.95</v>
      </c>
      <c r="E816" s="23">
        <v>1.2</v>
      </c>
      <c r="F816" s="23">
        <f t="shared" si="887"/>
        <v>1.95</v>
      </c>
      <c r="G816" s="23">
        <f t="shared" si="888"/>
        <v>1.2</v>
      </c>
      <c r="H816" s="4">
        <f t="shared" si="889"/>
        <v>3.8630000000000001E-3</v>
      </c>
      <c r="I816" s="2">
        <f t="shared" si="890"/>
        <v>5.1785492125984253E-2</v>
      </c>
      <c r="J816" s="4">
        <f t="shared" si="891"/>
        <v>5.3442627874015741E-2</v>
      </c>
      <c r="K816" s="4">
        <f t="shared" si="892"/>
        <v>0.10522811999999999</v>
      </c>
      <c r="L816" s="13">
        <f t="shared" si="893"/>
        <v>0.96899224806201567</v>
      </c>
      <c r="M816" s="3">
        <f t="shared" ref="M816" si="896">AVERAGE(I816:I817)</f>
        <v>4.8333125984251969E-2</v>
      </c>
      <c r="N816" s="3">
        <f t="shared" ref="N816" si="897">AVERAGE(J816:J817)</f>
        <v>7.6625266515748039E-2</v>
      </c>
    </row>
    <row r="817" spans="1:14" x14ac:dyDescent="0.2">
      <c r="A817" s="22"/>
      <c r="B817" s="4">
        <v>100</v>
      </c>
      <c r="C817" s="4">
        <v>8</v>
      </c>
      <c r="D817" s="33">
        <v>2.2999999999999998</v>
      </c>
      <c r="E817" s="23">
        <v>1.65</v>
      </c>
      <c r="F817" s="23">
        <f t="shared" si="887"/>
        <v>2.2999999999999998</v>
      </c>
      <c r="G817" s="23">
        <f t="shared" si="888"/>
        <v>1.65</v>
      </c>
      <c r="H817" s="4">
        <f t="shared" si="889"/>
        <v>3.8630000000000001E-3</v>
      </c>
      <c r="I817" s="2">
        <f t="shared" si="890"/>
        <v>4.4880759842519685E-2</v>
      </c>
      <c r="J817" s="4">
        <f t="shared" si="891"/>
        <v>9.9807905157480337E-2</v>
      </c>
      <c r="K817" s="4">
        <f t="shared" si="892"/>
        <v>0.14468866500000002</v>
      </c>
      <c r="L817" s="13">
        <f t="shared" si="893"/>
        <v>0.44967139398132122</v>
      </c>
      <c r="M817" s="3"/>
      <c r="N817" s="3"/>
    </row>
    <row r="818" spans="1:14" x14ac:dyDescent="0.2">
      <c r="A818" s="22">
        <v>488874</v>
      </c>
      <c r="B818" s="4">
        <v>100</v>
      </c>
      <c r="C818" s="4">
        <v>7</v>
      </c>
      <c r="D818" s="33">
        <v>3.3</v>
      </c>
      <c r="E818" s="23">
        <v>2.25</v>
      </c>
      <c r="F818" s="23">
        <f t="shared" si="887"/>
        <v>3.3</v>
      </c>
      <c r="G818" s="23">
        <f t="shared" si="888"/>
        <v>2.25</v>
      </c>
      <c r="H818" s="4">
        <f t="shared" si="889"/>
        <v>9.7450000000000002E-3</v>
      </c>
      <c r="I818" s="2">
        <f t="shared" si="890"/>
        <v>0.18289139763779524</v>
      </c>
      <c r="J818" s="4">
        <f t="shared" si="891"/>
        <v>0.31483447736220466</v>
      </c>
      <c r="K818" s="4">
        <f t="shared" si="892"/>
        <v>0.49772587499999987</v>
      </c>
      <c r="L818" s="13">
        <f t="shared" si="893"/>
        <v>0.58091286307053946</v>
      </c>
      <c r="M818" s="3">
        <f t="shared" ref="M818" si="898">AVERAGE(I818:I819)</f>
        <v>0.18289139763779524</v>
      </c>
      <c r="N818" s="3">
        <f t="shared" ref="N818" si="899">AVERAGE(J818:J819)</f>
        <v>0.31483447736220466</v>
      </c>
    </row>
    <row r="819" spans="1:14" x14ac:dyDescent="0.2">
      <c r="A819" s="22"/>
      <c r="B819" s="4">
        <v>100</v>
      </c>
      <c r="C819" s="4">
        <v>7</v>
      </c>
      <c r="D819" s="33">
        <v>3.3</v>
      </c>
      <c r="E819" s="23">
        <v>2.25</v>
      </c>
      <c r="F819" s="23">
        <f t="shared" si="887"/>
        <v>3.3</v>
      </c>
      <c r="G819" s="23">
        <f t="shared" si="888"/>
        <v>2.25</v>
      </c>
      <c r="H819" s="4">
        <f t="shared" si="889"/>
        <v>9.7450000000000002E-3</v>
      </c>
      <c r="I819" s="2">
        <f t="shared" si="890"/>
        <v>0.18289139763779524</v>
      </c>
      <c r="J819" s="4">
        <f t="shared" si="891"/>
        <v>0.31483447736220466</v>
      </c>
      <c r="K819" s="4">
        <f t="shared" si="892"/>
        <v>0.49772587499999987</v>
      </c>
      <c r="L819" s="13">
        <f t="shared" si="893"/>
        <v>0.58091286307053946</v>
      </c>
      <c r="M819" s="3"/>
      <c r="N819" s="3"/>
    </row>
    <row r="820" spans="1:14" x14ac:dyDescent="0.2">
      <c r="A820" s="22">
        <v>488875</v>
      </c>
      <c r="B820" s="4">
        <v>100</v>
      </c>
      <c r="C820" s="4">
        <v>7</v>
      </c>
      <c r="D820" s="33">
        <v>6.05</v>
      </c>
      <c r="E820" s="23">
        <v>3.85</v>
      </c>
      <c r="F820" s="23">
        <f t="shared" si="887"/>
        <v>6.05</v>
      </c>
      <c r="G820" s="23">
        <f t="shared" si="888"/>
        <v>3.85</v>
      </c>
      <c r="H820" s="4">
        <f t="shared" si="889"/>
        <v>9.7450000000000002E-3</v>
      </c>
      <c r="I820" s="2">
        <f t="shared" si="890"/>
        <v>0.38320102362204722</v>
      </c>
      <c r="J820" s="4">
        <f t="shared" si="891"/>
        <v>0.46846325137795275</v>
      </c>
      <c r="K820" s="4">
        <f t="shared" si="892"/>
        <v>0.85166427499999997</v>
      </c>
      <c r="L820" s="13">
        <f t="shared" si="893"/>
        <v>0.81799591002044991</v>
      </c>
      <c r="M820" s="3">
        <f t="shared" ref="M820" si="900">AVERAGE(I820:I821)</f>
        <v>0.38755558070866147</v>
      </c>
      <c r="N820" s="3">
        <f t="shared" ref="N820" si="901">AVERAGE(J820:J821)</f>
        <v>0.42539668179133849</v>
      </c>
    </row>
    <row r="821" spans="1:14" x14ac:dyDescent="0.2">
      <c r="A821" s="4"/>
      <c r="B821" s="4">
        <v>100</v>
      </c>
      <c r="C821" s="4">
        <v>7</v>
      </c>
      <c r="D821" s="33">
        <v>5.75</v>
      </c>
      <c r="E821" s="23">
        <v>3.5</v>
      </c>
      <c r="F821" s="23">
        <f t="shared" si="887"/>
        <v>5.75</v>
      </c>
      <c r="G821" s="23">
        <f t="shared" si="888"/>
        <v>3.5</v>
      </c>
      <c r="H821" s="4">
        <f t="shared" si="889"/>
        <v>9.7450000000000002E-3</v>
      </c>
      <c r="I821" s="2">
        <f t="shared" si="890"/>
        <v>0.39191013779527567</v>
      </c>
      <c r="J821" s="4">
        <f t="shared" si="891"/>
        <v>0.38233011220472429</v>
      </c>
      <c r="K821" s="4">
        <f t="shared" si="892"/>
        <v>0.77424024999999996</v>
      </c>
      <c r="L821" s="13">
        <f t="shared" si="893"/>
        <v>1.025056947608201</v>
      </c>
      <c r="M821" s="3"/>
      <c r="N821" s="3"/>
    </row>
    <row r="822" spans="1:14" x14ac:dyDescent="0.2">
      <c r="A822" s="4">
        <v>488876</v>
      </c>
      <c r="B822" s="4">
        <v>100</v>
      </c>
      <c r="C822" s="4">
        <v>7</v>
      </c>
      <c r="D822" s="33">
        <v>6.75</v>
      </c>
      <c r="E822" s="23">
        <v>4.2</v>
      </c>
      <c r="F822" s="23">
        <f t="shared" si="887"/>
        <v>6.75</v>
      </c>
      <c r="G822" s="23">
        <f t="shared" si="888"/>
        <v>4.2</v>
      </c>
      <c r="H822" s="4">
        <f t="shared" si="889"/>
        <v>9.7450000000000002E-3</v>
      </c>
      <c r="I822" s="2">
        <f t="shared" si="890"/>
        <v>0.4441648228346457</v>
      </c>
      <c r="J822" s="4">
        <f t="shared" si="891"/>
        <v>0.48492347716535439</v>
      </c>
      <c r="K822" s="4">
        <f t="shared" si="892"/>
        <v>0.92908830000000009</v>
      </c>
      <c r="L822" s="13">
        <f t="shared" si="893"/>
        <v>0.91594827586206895</v>
      </c>
      <c r="M822" s="3">
        <f t="shared" ref="M822" si="902">AVERAGE(I822:I823)</f>
        <v>0.44851937992125984</v>
      </c>
      <c r="N822" s="3">
        <f t="shared" ref="N822" si="903">AVERAGE(J822:J823)</f>
        <v>0.47503863257874029</v>
      </c>
    </row>
    <row r="823" spans="1:14" x14ac:dyDescent="0.2">
      <c r="A823" s="4"/>
      <c r="B823" s="4">
        <v>100</v>
      </c>
      <c r="C823" s="4">
        <v>7</v>
      </c>
      <c r="D823" s="33">
        <v>6.75</v>
      </c>
      <c r="E823" s="23">
        <v>4.1500000000000004</v>
      </c>
      <c r="F823" s="23">
        <f t="shared" si="887"/>
        <v>6.75</v>
      </c>
      <c r="G823" s="23">
        <f t="shared" si="888"/>
        <v>4.1500000000000004</v>
      </c>
      <c r="H823" s="4">
        <f t="shared" si="889"/>
        <v>9.7450000000000002E-3</v>
      </c>
      <c r="I823" s="2">
        <f t="shared" si="890"/>
        <v>0.45287393700787398</v>
      </c>
      <c r="J823" s="4">
        <f t="shared" si="891"/>
        <v>0.4651537879921262</v>
      </c>
      <c r="K823" s="4">
        <f t="shared" si="892"/>
        <v>0.91802772500000018</v>
      </c>
      <c r="L823" s="13">
        <f t="shared" si="893"/>
        <v>0.97360044935405299</v>
      </c>
      <c r="M823" s="3"/>
      <c r="N823" s="3"/>
    </row>
    <row r="824" spans="1:14" x14ac:dyDescent="0.2">
      <c r="A824" s="4">
        <v>488877</v>
      </c>
      <c r="B824" s="4">
        <v>100</v>
      </c>
      <c r="C824" s="4">
        <v>7</v>
      </c>
      <c r="D824" s="33">
        <v>3.15</v>
      </c>
      <c r="E824" s="23">
        <v>1.9</v>
      </c>
      <c r="F824" s="23">
        <f t="shared" si="887"/>
        <v>3.15</v>
      </c>
      <c r="G824" s="23">
        <f t="shared" si="888"/>
        <v>1.9</v>
      </c>
      <c r="H824" s="4">
        <f t="shared" si="889"/>
        <v>9.7450000000000002E-3</v>
      </c>
      <c r="I824" s="2">
        <f t="shared" si="890"/>
        <v>0.21772785433070865</v>
      </c>
      <c r="J824" s="4">
        <f t="shared" si="891"/>
        <v>0.20257399566929141</v>
      </c>
      <c r="K824" s="4">
        <f t="shared" si="892"/>
        <v>0.42030185000000009</v>
      </c>
      <c r="L824" s="13">
        <f t="shared" si="893"/>
        <v>1.0748065348237312</v>
      </c>
      <c r="M824" s="3">
        <f t="shared" ref="M824" si="904">AVERAGE(I824:I825)</f>
        <v>0.21772785433070865</v>
      </c>
      <c r="N824" s="3">
        <f t="shared" ref="N824" si="905">AVERAGE(J824:J825)</f>
        <v>0.20257399566929141</v>
      </c>
    </row>
    <row r="825" spans="1:14" x14ac:dyDescent="0.2">
      <c r="A825" s="4"/>
      <c r="B825" s="4">
        <v>100</v>
      </c>
      <c r="C825" s="4">
        <v>7</v>
      </c>
      <c r="D825" s="33">
        <v>3.15</v>
      </c>
      <c r="E825" s="23">
        <v>1.9</v>
      </c>
      <c r="F825" s="23">
        <f t="shared" si="887"/>
        <v>3.15</v>
      </c>
      <c r="G825" s="23">
        <f t="shared" si="888"/>
        <v>1.9</v>
      </c>
      <c r="H825" s="4">
        <f t="shared" si="889"/>
        <v>9.7450000000000002E-3</v>
      </c>
      <c r="I825" s="2">
        <f t="shared" si="890"/>
        <v>0.21772785433070865</v>
      </c>
      <c r="J825" s="4">
        <f t="shared" si="891"/>
        <v>0.20257399566929141</v>
      </c>
      <c r="K825" s="4">
        <f t="shared" si="892"/>
        <v>0.42030185000000009</v>
      </c>
      <c r="L825" s="13">
        <f t="shared" si="893"/>
        <v>1.0748065348237312</v>
      </c>
      <c r="M825" s="3"/>
      <c r="N825" s="3"/>
    </row>
    <row r="826" spans="1:14" x14ac:dyDescent="0.2">
      <c r="A826" s="4">
        <v>488879</v>
      </c>
      <c r="B826" s="4">
        <v>100</v>
      </c>
      <c r="C826" s="4">
        <v>8</v>
      </c>
      <c r="D826" s="33">
        <v>4.9000000000000004</v>
      </c>
      <c r="E826" s="23">
        <v>2.6</v>
      </c>
      <c r="F826" s="23">
        <f t="shared" si="887"/>
        <v>4.9000000000000004</v>
      </c>
      <c r="G826" s="23">
        <f t="shared" si="888"/>
        <v>2.6</v>
      </c>
      <c r="H826" s="4">
        <f t="shared" si="889"/>
        <v>3.8630000000000001E-3</v>
      </c>
      <c r="I826" s="2">
        <f t="shared" si="890"/>
        <v>0.15880884251968508</v>
      </c>
      <c r="J826" s="4">
        <f t="shared" si="891"/>
        <v>6.9185417480314954E-2</v>
      </c>
      <c r="K826" s="4">
        <f t="shared" si="892"/>
        <v>0.22799426000000003</v>
      </c>
      <c r="L826" s="13">
        <f t="shared" si="893"/>
        <v>2.2954091816367272</v>
      </c>
      <c r="M826" s="3">
        <f t="shared" ref="M826" si="906">AVERAGE(I826:I827)</f>
        <v>0.14845174409448822</v>
      </c>
      <c r="N826" s="3">
        <f t="shared" ref="N826" si="907">AVERAGE(J826:J827)</f>
        <v>7.2965758405511824E-2</v>
      </c>
    </row>
    <row r="827" spans="1:14" x14ac:dyDescent="0.2">
      <c r="A827" s="4"/>
      <c r="B827" s="4">
        <v>100</v>
      </c>
      <c r="C827" s="4">
        <v>8</v>
      </c>
      <c r="D827" s="33">
        <v>4.45</v>
      </c>
      <c r="E827" s="23">
        <v>2.4500000000000002</v>
      </c>
      <c r="F827" s="23">
        <f t="shared" si="887"/>
        <v>4.45</v>
      </c>
      <c r="G827" s="23">
        <f t="shared" si="888"/>
        <v>2.4500000000000002</v>
      </c>
      <c r="H827" s="4">
        <f t="shared" si="889"/>
        <v>3.8630000000000001E-3</v>
      </c>
      <c r="I827" s="2">
        <f t="shared" si="890"/>
        <v>0.13809464566929136</v>
      </c>
      <c r="J827" s="4">
        <f t="shared" si="891"/>
        <v>7.6746099330708695E-2</v>
      </c>
      <c r="K827" s="4">
        <f t="shared" si="892"/>
        <v>0.21484074500000006</v>
      </c>
      <c r="L827" s="13">
        <f t="shared" si="893"/>
        <v>1.7993702204228514</v>
      </c>
      <c r="M827" s="3"/>
      <c r="N827" s="3"/>
    </row>
    <row r="828" spans="1:14" x14ac:dyDescent="0.2">
      <c r="A828" s="4">
        <v>488880</v>
      </c>
      <c r="B828" s="4">
        <v>100</v>
      </c>
      <c r="C828" s="4">
        <v>8</v>
      </c>
      <c r="D828" s="33">
        <v>4.3499999999999996</v>
      </c>
      <c r="E828" s="23">
        <v>2.35</v>
      </c>
      <c r="F828" s="23">
        <f t="shared" si="887"/>
        <v>4.3499999999999996</v>
      </c>
      <c r="G828" s="23">
        <f t="shared" si="888"/>
        <v>2.35</v>
      </c>
      <c r="H828" s="4">
        <f t="shared" si="889"/>
        <v>3.8630000000000001E-3</v>
      </c>
      <c r="I828" s="2">
        <f t="shared" si="890"/>
        <v>0.1380946456692913</v>
      </c>
      <c r="J828" s="4">
        <f t="shared" si="891"/>
        <v>6.7977089330708729E-2</v>
      </c>
      <c r="K828" s="4">
        <f t="shared" si="892"/>
        <v>0.20607173500000003</v>
      </c>
      <c r="L828" s="13">
        <f t="shared" si="893"/>
        <v>2.0314880650076157</v>
      </c>
      <c r="M828" s="3">
        <f t="shared" ref="M828" si="908">AVERAGE(I828:I829)</f>
        <v>0.23887504921259839</v>
      </c>
      <c r="N828" s="3">
        <f t="shared" ref="N828" si="909">AVERAGE(J828:J829)</f>
        <v>6.3251168287401655E-2</v>
      </c>
    </row>
    <row r="829" spans="1:14" x14ac:dyDescent="0.2">
      <c r="A829" s="4"/>
      <c r="B829" s="4">
        <v>100</v>
      </c>
      <c r="C829" s="4">
        <v>7</v>
      </c>
      <c r="D829" s="33">
        <v>3.75</v>
      </c>
      <c r="E829" s="23">
        <v>1.8</v>
      </c>
      <c r="F829" s="23">
        <f t="shared" si="887"/>
        <v>3.75</v>
      </c>
      <c r="G829" s="23">
        <f t="shared" si="888"/>
        <v>1.8</v>
      </c>
      <c r="H829" s="4">
        <f t="shared" si="889"/>
        <v>9.7450000000000002E-3</v>
      </c>
      <c r="I829" s="2">
        <f t="shared" si="890"/>
        <v>0.33965545275590547</v>
      </c>
      <c r="J829" s="4">
        <f t="shared" si="891"/>
        <v>5.8525247244094566E-2</v>
      </c>
      <c r="K829" s="4">
        <f t="shared" si="892"/>
        <v>0.39818070000000005</v>
      </c>
      <c r="L829" s="13">
        <f t="shared" si="893"/>
        <v>5.8035714285714199</v>
      </c>
      <c r="M829" s="3"/>
      <c r="N829" s="3"/>
    </row>
    <row r="830" spans="1:14" x14ac:dyDescent="0.2">
      <c r="A830" s="4">
        <v>488896</v>
      </c>
      <c r="B830" s="4">
        <v>100</v>
      </c>
      <c r="C830" s="4">
        <v>8</v>
      </c>
      <c r="D830" s="33">
        <v>1.6</v>
      </c>
      <c r="E830" s="23">
        <v>1.1000000000000001</v>
      </c>
      <c r="F830" s="23">
        <f t="shared" si="887"/>
        <v>1.6</v>
      </c>
      <c r="G830" s="23">
        <f t="shared" si="888"/>
        <v>1.1000000000000001</v>
      </c>
      <c r="H830" s="4">
        <f t="shared" si="889"/>
        <v>3.8630000000000001E-3</v>
      </c>
      <c r="I830" s="2">
        <f t="shared" si="890"/>
        <v>3.452366141732284E-2</v>
      </c>
      <c r="J830" s="4">
        <f t="shared" si="891"/>
        <v>6.1935448582677174E-2</v>
      </c>
      <c r="K830" s="4">
        <f t="shared" si="892"/>
        <v>9.6459110000000015E-2</v>
      </c>
      <c r="L830" s="13">
        <f t="shared" si="893"/>
        <v>0.55741360089186176</v>
      </c>
      <c r="M830" s="3">
        <f t="shared" ref="M830" si="910">AVERAGE(I830:I831)</f>
        <v>3.452366141732284E-2</v>
      </c>
      <c r="N830" s="3">
        <f t="shared" ref="N830" si="911">AVERAGE(J830:J831)</f>
        <v>6.1935448582677174E-2</v>
      </c>
    </row>
    <row r="831" spans="1:14" x14ac:dyDescent="0.2">
      <c r="A831" s="4"/>
      <c r="B831" s="4">
        <v>100</v>
      </c>
      <c r="C831" s="4">
        <v>8</v>
      </c>
      <c r="D831" s="33">
        <v>1.6</v>
      </c>
      <c r="E831" s="23">
        <v>1.1000000000000001</v>
      </c>
      <c r="F831" s="23">
        <f t="shared" si="887"/>
        <v>1.6</v>
      </c>
      <c r="G831" s="23">
        <f t="shared" si="888"/>
        <v>1.1000000000000001</v>
      </c>
      <c r="H831" s="4">
        <f t="shared" si="889"/>
        <v>3.8630000000000001E-3</v>
      </c>
      <c r="I831" s="2">
        <f t="shared" si="890"/>
        <v>3.452366141732284E-2</v>
      </c>
      <c r="J831" s="4">
        <f t="shared" si="891"/>
        <v>6.1935448582677174E-2</v>
      </c>
      <c r="K831" s="4">
        <f t="shared" si="892"/>
        <v>9.6459110000000015E-2</v>
      </c>
      <c r="L831" s="13">
        <f t="shared" si="893"/>
        <v>0.55741360089186176</v>
      </c>
      <c r="M831" s="3"/>
      <c r="N831" s="3"/>
    </row>
    <row r="832" spans="1:14" x14ac:dyDescent="0.2">
      <c r="A832" s="4">
        <v>488897</v>
      </c>
      <c r="B832" s="4">
        <v>100</v>
      </c>
      <c r="C832" s="4">
        <v>8</v>
      </c>
      <c r="D832" s="33">
        <v>5.75</v>
      </c>
      <c r="E832" s="23">
        <v>3.85</v>
      </c>
      <c r="F832" s="23">
        <f t="shared" si="887"/>
        <v>5.75</v>
      </c>
      <c r="G832" s="23">
        <f t="shared" si="888"/>
        <v>3.85</v>
      </c>
      <c r="H832" s="4">
        <f t="shared" si="889"/>
        <v>3.8630000000000001E-3</v>
      </c>
      <c r="I832" s="2">
        <f t="shared" si="890"/>
        <v>0.13118991338582678</v>
      </c>
      <c r="J832" s="4">
        <f t="shared" si="891"/>
        <v>0.20641697161417319</v>
      </c>
      <c r="K832" s="4">
        <f t="shared" si="892"/>
        <v>0.33760688499999997</v>
      </c>
      <c r="L832" s="13">
        <f t="shared" si="893"/>
        <v>0.63555778558287357</v>
      </c>
      <c r="M832" s="3">
        <f t="shared" ref="M832" si="912">AVERAGE(I832:I833)</f>
        <v>0.12946373031496061</v>
      </c>
      <c r="N832" s="3">
        <f t="shared" ref="N832" si="913">AVERAGE(J832:J833)</f>
        <v>0.19937414468503936</v>
      </c>
    </row>
    <row r="833" spans="1:14" x14ac:dyDescent="0.2">
      <c r="A833" s="4"/>
      <c r="B833" s="4">
        <v>100</v>
      </c>
      <c r="C833" s="4">
        <v>8</v>
      </c>
      <c r="D833" s="33">
        <v>5.5</v>
      </c>
      <c r="E833" s="23">
        <v>3.65</v>
      </c>
      <c r="F833" s="23">
        <f t="shared" si="887"/>
        <v>5.5</v>
      </c>
      <c r="G833" s="23">
        <f t="shared" si="888"/>
        <v>3.65</v>
      </c>
      <c r="H833" s="4">
        <f t="shared" si="889"/>
        <v>3.8630000000000001E-3</v>
      </c>
      <c r="I833" s="2">
        <f t="shared" si="890"/>
        <v>0.12773754724409447</v>
      </c>
      <c r="J833" s="4">
        <f t="shared" si="891"/>
        <v>0.19233131775590553</v>
      </c>
      <c r="K833" s="4">
        <f t="shared" si="892"/>
        <v>0.32006886499999998</v>
      </c>
      <c r="L833" s="13">
        <f t="shared" si="893"/>
        <v>0.66415365284509054</v>
      </c>
      <c r="M833" s="3"/>
      <c r="N833" s="3"/>
    </row>
    <row r="834" spans="1:14" x14ac:dyDescent="0.2">
      <c r="A834" s="4">
        <v>488898</v>
      </c>
      <c r="B834" s="4">
        <v>100</v>
      </c>
      <c r="C834" s="4">
        <v>7</v>
      </c>
      <c r="D834" s="33">
        <v>4.55</v>
      </c>
      <c r="E834" s="23">
        <v>3.05</v>
      </c>
      <c r="F834" s="23">
        <f t="shared" si="887"/>
        <v>4.55</v>
      </c>
      <c r="G834" s="23">
        <f t="shared" si="888"/>
        <v>3.05</v>
      </c>
      <c r="H834" s="4">
        <f t="shared" si="889"/>
        <v>9.7450000000000002E-3</v>
      </c>
      <c r="I834" s="2">
        <f t="shared" si="890"/>
        <v>0.26127342519685043</v>
      </c>
      <c r="J834" s="4">
        <f t="shared" si="891"/>
        <v>0.41342164980314955</v>
      </c>
      <c r="K834" s="4">
        <f t="shared" si="892"/>
        <v>0.67469507500000003</v>
      </c>
      <c r="L834" s="13">
        <f t="shared" si="893"/>
        <v>0.63197809142616401</v>
      </c>
      <c r="M834" s="3">
        <f t="shared" ref="M834" si="914">AVERAGE(I834:I835)</f>
        <v>0.26127342519685043</v>
      </c>
      <c r="N834" s="3">
        <f t="shared" ref="N834" si="915">AVERAGE(J834:J835)</f>
        <v>0.41342164980314955</v>
      </c>
    </row>
    <row r="835" spans="1:14" x14ac:dyDescent="0.2">
      <c r="A835" s="4"/>
      <c r="B835" s="4">
        <v>100</v>
      </c>
      <c r="C835" s="4">
        <v>7</v>
      </c>
      <c r="D835" s="33">
        <v>4.55</v>
      </c>
      <c r="E835" s="23">
        <v>3.05</v>
      </c>
      <c r="F835" s="23">
        <f t="shared" si="887"/>
        <v>4.55</v>
      </c>
      <c r="G835" s="23">
        <f t="shared" si="888"/>
        <v>3.05</v>
      </c>
      <c r="H835" s="4">
        <f t="shared" si="889"/>
        <v>9.7450000000000002E-3</v>
      </c>
      <c r="I835" s="2">
        <f t="shared" si="890"/>
        <v>0.26127342519685043</v>
      </c>
      <c r="J835" s="4">
        <f t="shared" si="891"/>
        <v>0.41342164980314955</v>
      </c>
      <c r="K835" s="4">
        <f t="shared" si="892"/>
        <v>0.67469507500000003</v>
      </c>
      <c r="L835" s="13">
        <f t="shared" si="893"/>
        <v>0.63197809142616401</v>
      </c>
      <c r="M835" s="3"/>
      <c r="N835" s="3"/>
    </row>
    <row r="836" spans="1:14" x14ac:dyDescent="0.2">
      <c r="A836" s="4">
        <v>488899</v>
      </c>
      <c r="B836" s="4">
        <v>100</v>
      </c>
      <c r="C836" s="4">
        <v>6</v>
      </c>
      <c r="D836" s="33">
        <v>2.2999999999999998</v>
      </c>
      <c r="E836" s="23">
        <v>1.4</v>
      </c>
      <c r="F836" s="23">
        <f t="shared" si="887"/>
        <v>2.2999999999999998</v>
      </c>
      <c r="G836" s="23">
        <f t="shared" si="888"/>
        <v>1.4</v>
      </c>
      <c r="H836" s="4">
        <f t="shared" si="889"/>
        <v>3.5767E-2</v>
      </c>
      <c r="I836" s="2">
        <f t="shared" si="890"/>
        <v>0.57536992913385832</v>
      </c>
      <c r="J836" s="4">
        <f t="shared" si="891"/>
        <v>0.56130533086614176</v>
      </c>
      <c r="K836" s="4">
        <f t="shared" si="892"/>
        <v>1.1366752600000001</v>
      </c>
      <c r="L836" s="13">
        <f t="shared" si="893"/>
        <v>1.0250569476082005</v>
      </c>
      <c r="M836" s="3">
        <f t="shared" ref="M836" si="916">AVERAGE(I836:I837)</f>
        <v>0.55938743110236222</v>
      </c>
      <c r="N836" s="3">
        <f t="shared" ref="N836" si="917">AVERAGE(J836:J837)</f>
        <v>0.59758560139763794</v>
      </c>
    </row>
    <row r="837" spans="1:14" x14ac:dyDescent="0.2">
      <c r="A837" s="4"/>
      <c r="B837" s="4">
        <v>100</v>
      </c>
      <c r="C837" s="4">
        <v>6</v>
      </c>
      <c r="D837" s="33">
        <v>2.2999999999999998</v>
      </c>
      <c r="E837" s="23">
        <v>1.45</v>
      </c>
      <c r="F837" s="23">
        <f t="shared" si="887"/>
        <v>2.2999999999999998</v>
      </c>
      <c r="G837" s="23">
        <f t="shared" si="888"/>
        <v>1.45</v>
      </c>
      <c r="H837" s="4">
        <f t="shared" si="889"/>
        <v>3.5767E-2</v>
      </c>
      <c r="I837" s="2">
        <f t="shared" si="890"/>
        <v>0.54340493307086613</v>
      </c>
      <c r="J837" s="4">
        <f t="shared" si="891"/>
        <v>0.63386587192913402</v>
      </c>
      <c r="K837" s="4">
        <f t="shared" si="892"/>
        <v>1.177270805</v>
      </c>
      <c r="L837" s="13">
        <f t="shared" si="893"/>
        <v>0.85728693898134112</v>
      </c>
      <c r="M837" s="3"/>
      <c r="N837" s="3"/>
    </row>
    <row r="838" spans="1:14" x14ac:dyDescent="0.2">
      <c r="A838" s="4">
        <v>488900</v>
      </c>
      <c r="B838" s="4">
        <v>100</v>
      </c>
      <c r="C838" s="4">
        <v>7</v>
      </c>
      <c r="D838" s="33">
        <v>4</v>
      </c>
      <c r="E838" s="23">
        <v>2.4500000000000002</v>
      </c>
      <c r="F838" s="23">
        <f t="shared" si="887"/>
        <v>4</v>
      </c>
      <c r="G838" s="23">
        <f t="shared" si="888"/>
        <v>2.4500000000000002</v>
      </c>
      <c r="H838" s="4">
        <f t="shared" si="889"/>
        <v>9.7450000000000002E-3</v>
      </c>
      <c r="I838" s="2">
        <f t="shared" si="890"/>
        <v>0.26998253937007877</v>
      </c>
      <c r="J838" s="4">
        <f t="shared" si="891"/>
        <v>0.2719856356299214</v>
      </c>
      <c r="K838" s="4">
        <f t="shared" si="892"/>
        <v>0.54196817500000016</v>
      </c>
      <c r="L838" s="13">
        <f t="shared" si="893"/>
        <v>0.99263528658341293</v>
      </c>
      <c r="M838" s="3">
        <f t="shared" ref="M838" si="918">AVERAGE(I838:I839)</f>
        <v>0.26562798228346463</v>
      </c>
      <c r="N838" s="3">
        <f t="shared" ref="N838" si="919">AVERAGE(J838:J839)</f>
        <v>0.27634019271653554</v>
      </c>
    </row>
    <row r="839" spans="1:14" x14ac:dyDescent="0.2">
      <c r="A839" s="4"/>
      <c r="B839" s="4">
        <v>100</v>
      </c>
      <c r="C839" s="4">
        <v>7</v>
      </c>
      <c r="D839" s="33">
        <v>3.95</v>
      </c>
      <c r="E839" s="23">
        <v>2.4500000000000002</v>
      </c>
      <c r="F839" s="23">
        <f t="shared" si="887"/>
        <v>3.95</v>
      </c>
      <c r="G839" s="23">
        <f t="shared" si="888"/>
        <v>2.4500000000000002</v>
      </c>
      <c r="H839" s="4">
        <f t="shared" si="889"/>
        <v>9.7450000000000002E-3</v>
      </c>
      <c r="I839" s="2">
        <f t="shared" si="890"/>
        <v>0.26127342519685043</v>
      </c>
      <c r="J839" s="4">
        <f t="shared" si="891"/>
        <v>0.28069474980314973</v>
      </c>
      <c r="K839" s="4">
        <f t="shared" si="892"/>
        <v>0.54196817500000016</v>
      </c>
      <c r="L839" s="13">
        <f t="shared" si="893"/>
        <v>0.93080980452994078</v>
      </c>
      <c r="M839" s="3"/>
      <c r="N839" s="3"/>
    </row>
    <row r="840" spans="1:14" x14ac:dyDescent="0.2">
      <c r="A840" s="4">
        <v>488901</v>
      </c>
      <c r="B840" s="4">
        <v>100</v>
      </c>
      <c r="C840" s="4">
        <v>8</v>
      </c>
      <c r="D840" s="33">
        <v>4.45</v>
      </c>
      <c r="E840" s="23">
        <v>2.4500000000000002</v>
      </c>
      <c r="F840" s="23">
        <f t="shared" si="887"/>
        <v>4.45</v>
      </c>
      <c r="G840" s="23">
        <f t="shared" si="888"/>
        <v>2.4500000000000002</v>
      </c>
      <c r="H840" s="4">
        <f t="shared" si="889"/>
        <v>3.8630000000000001E-3</v>
      </c>
      <c r="I840" s="2">
        <f t="shared" si="890"/>
        <v>0.13809464566929136</v>
      </c>
      <c r="J840" s="4">
        <f t="shared" si="891"/>
        <v>7.6746099330708695E-2</v>
      </c>
      <c r="K840" s="4">
        <f t="shared" si="892"/>
        <v>0.21484074500000006</v>
      </c>
      <c r="L840" s="13">
        <f t="shared" si="893"/>
        <v>1.7993702204228514</v>
      </c>
      <c r="M840" s="3">
        <f t="shared" ref="M840" si="920">AVERAGE(I840:I841)</f>
        <v>0.14154701181102364</v>
      </c>
      <c r="N840" s="3">
        <f t="shared" ref="N840" si="921">AVERAGE(J840:J841)</f>
        <v>8.8639500688976386E-2</v>
      </c>
    </row>
    <row r="841" spans="1:14" x14ac:dyDescent="0.2">
      <c r="A841" s="4"/>
      <c r="B841" s="4">
        <v>100</v>
      </c>
      <c r="C841" s="4">
        <v>8</v>
      </c>
      <c r="D841" s="33">
        <v>4.9000000000000004</v>
      </c>
      <c r="E841" s="23">
        <v>2.8</v>
      </c>
      <c r="F841" s="23">
        <f t="shared" si="887"/>
        <v>4.9000000000000004</v>
      </c>
      <c r="G841" s="23">
        <f t="shared" si="888"/>
        <v>2.8</v>
      </c>
      <c r="H841" s="4">
        <f t="shared" si="889"/>
        <v>3.8630000000000001E-3</v>
      </c>
      <c r="I841" s="2">
        <f t="shared" si="890"/>
        <v>0.14499937795275594</v>
      </c>
      <c r="J841" s="4">
        <f t="shared" si="891"/>
        <v>0.10053290204724406</v>
      </c>
      <c r="K841" s="4">
        <f t="shared" si="892"/>
        <v>0.24553227999999999</v>
      </c>
      <c r="L841" s="13">
        <f t="shared" si="893"/>
        <v>1.4423076923076932</v>
      </c>
      <c r="M841" s="3"/>
      <c r="N841" s="3"/>
    </row>
    <row r="842" spans="1:14" x14ac:dyDescent="0.2">
      <c r="A842" s="4">
        <v>488902</v>
      </c>
      <c r="B842" s="4">
        <v>100</v>
      </c>
      <c r="C842" s="4">
        <v>8</v>
      </c>
      <c r="D842" s="33">
        <v>6.55</v>
      </c>
      <c r="E842" s="23">
        <v>3.35</v>
      </c>
      <c r="F842" s="23">
        <f t="shared" si="887"/>
        <v>6.55</v>
      </c>
      <c r="G842" s="23">
        <f t="shared" si="888"/>
        <v>3.35</v>
      </c>
      <c r="H842" s="4">
        <f t="shared" si="889"/>
        <v>3.8630000000000001E-3</v>
      </c>
      <c r="I842" s="2">
        <f t="shared" si="890"/>
        <v>0.22095143307086615</v>
      </c>
      <c r="J842" s="4">
        <f t="shared" si="891"/>
        <v>7.2810401929133906E-2</v>
      </c>
      <c r="K842" s="4">
        <f t="shared" si="892"/>
        <v>0.29376183500000008</v>
      </c>
      <c r="L842" s="13">
        <f t="shared" si="893"/>
        <v>3.0346135609293485</v>
      </c>
      <c r="M842" s="3">
        <f t="shared" ref="M842" si="922">AVERAGE(I842:I843)</f>
        <v>0.17607067322834646</v>
      </c>
      <c r="N842" s="3">
        <f t="shared" ref="N842" si="923">AVERAGE(J842:J843)</f>
        <v>7.1653859271653547E-2</v>
      </c>
    </row>
    <row r="843" spans="1:14" x14ac:dyDescent="0.2">
      <c r="A843" s="4"/>
      <c r="B843" s="4">
        <v>100</v>
      </c>
      <c r="C843" s="4">
        <v>8</v>
      </c>
      <c r="D843" s="33">
        <v>4.2</v>
      </c>
      <c r="E843" s="23">
        <v>2.2999999999999998</v>
      </c>
      <c r="F843" s="23">
        <f t="shared" si="887"/>
        <v>4.2</v>
      </c>
      <c r="G843" s="23">
        <f t="shared" si="888"/>
        <v>2.2999999999999998</v>
      </c>
      <c r="H843" s="4">
        <f t="shared" si="889"/>
        <v>3.8630000000000001E-3</v>
      </c>
      <c r="I843" s="2">
        <f t="shared" si="890"/>
        <v>0.13118991338582681</v>
      </c>
      <c r="J843" s="4">
        <f t="shared" si="891"/>
        <v>7.0497316614173175E-2</v>
      </c>
      <c r="K843" s="4">
        <f t="shared" si="892"/>
        <v>0.20168723</v>
      </c>
      <c r="L843" s="13">
        <f t="shared" si="893"/>
        <v>1.8609206660137139</v>
      </c>
      <c r="M843" s="3"/>
      <c r="N843" s="3"/>
    </row>
    <row r="844" spans="1:14" x14ac:dyDescent="0.2">
      <c r="A844" s="4">
        <v>488903</v>
      </c>
      <c r="B844" s="4">
        <v>100</v>
      </c>
      <c r="C844" s="4">
        <v>8</v>
      </c>
      <c r="D844" s="33">
        <v>3.95</v>
      </c>
      <c r="E844" s="23">
        <v>2.15</v>
      </c>
      <c r="F844" s="23">
        <f t="shared" si="887"/>
        <v>3.95</v>
      </c>
      <c r="G844" s="23">
        <f t="shared" si="888"/>
        <v>2.15</v>
      </c>
      <c r="H844" s="4">
        <f t="shared" si="889"/>
        <v>3.8630000000000001E-3</v>
      </c>
      <c r="I844" s="2">
        <f t="shared" si="890"/>
        <v>0.12428518110236222</v>
      </c>
      <c r="J844" s="4">
        <f t="shared" si="891"/>
        <v>6.424853389763778E-2</v>
      </c>
      <c r="K844" s="4">
        <f t="shared" si="892"/>
        <v>0.18853371499999999</v>
      </c>
      <c r="L844" s="13">
        <f t="shared" si="893"/>
        <v>1.934443847393875</v>
      </c>
      <c r="M844" s="3">
        <f t="shared" ref="M844" si="924">AVERAGE(I844:I845)</f>
        <v>0.1242851811023622</v>
      </c>
      <c r="N844" s="3">
        <f t="shared" ref="N844" si="925">AVERAGE(J844:J845)</f>
        <v>6.8633038897637777E-2</v>
      </c>
    </row>
    <row r="845" spans="1:14" x14ac:dyDescent="0.2">
      <c r="A845" s="4"/>
      <c r="B845" s="4">
        <v>100</v>
      </c>
      <c r="C845" s="4">
        <v>8</v>
      </c>
      <c r="D845" s="33">
        <v>4.05</v>
      </c>
      <c r="E845" s="23">
        <v>2.25</v>
      </c>
      <c r="F845" s="23">
        <f t="shared" si="887"/>
        <v>4.05</v>
      </c>
      <c r="G845" s="23">
        <f t="shared" si="888"/>
        <v>2.25</v>
      </c>
      <c r="H845" s="4">
        <f t="shared" si="889"/>
        <v>3.8630000000000001E-3</v>
      </c>
      <c r="I845" s="2">
        <f t="shared" si="890"/>
        <v>0.12428518110236218</v>
      </c>
      <c r="J845" s="4">
        <f t="shared" si="891"/>
        <v>7.3017543897637788E-2</v>
      </c>
      <c r="K845" s="4">
        <f t="shared" si="892"/>
        <v>0.19730272499999996</v>
      </c>
      <c r="L845" s="13">
        <f t="shared" si="893"/>
        <v>1.7021276595744679</v>
      </c>
      <c r="M845" s="3"/>
      <c r="N845" s="3"/>
    </row>
    <row r="846" spans="1:14" x14ac:dyDescent="0.2">
      <c r="A846" s="4">
        <v>488904</v>
      </c>
      <c r="B846" s="4">
        <v>100</v>
      </c>
      <c r="C846" s="4">
        <v>8</v>
      </c>
      <c r="D846" s="33">
        <v>3.95</v>
      </c>
      <c r="E846" s="23">
        <v>2.15</v>
      </c>
      <c r="F846" s="23">
        <f t="shared" si="887"/>
        <v>3.95</v>
      </c>
      <c r="G846" s="23">
        <f t="shared" si="888"/>
        <v>2.15</v>
      </c>
      <c r="H846" s="4">
        <f t="shared" si="889"/>
        <v>3.8630000000000001E-3</v>
      </c>
      <c r="I846" s="2">
        <f t="shared" si="890"/>
        <v>0.12428518110236222</v>
      </c>
      <c r="J846" s="4">
        <f t="shared" si="891"/>
        <v>6.424853389763778E-2</v>
      </c>
      <c r="K846" s="4">
        <f t="shared" si="892"/>
        <v>0.18853371499999999</v>
      </c>
      <c r="L846" s="13">
        <f t="shared" si="893"/>
        <v>1.934443847393875</v>
      </c>
      <c r="M846" s="3">
        <f t="shared" ref="M846" si="926">AVERAGE(I846:I847)</f>
        <v>0.11392808267716537</v>
      </c>
      <c r="N846" s="3">
        <f t="shared" ref="N846" si="927">AVERAGE(J846:J847)</f>
        <v>6.3644369822834654E-2</v>
      </c>
    </row>
    <row r="847" spans="1:14" x14ac:dyDescent="0.2">
      <c r="A847" s="4"/>
      <c r="B847" s="4">
        <v>100</v>
      </c>
      <c r="C847" s="4">
        <v>8</v>
      </c>
      <c r="D847" s="33">
        <v>3.4</v>
      </c>
      <c r="E847" s="23">
        <v>1.9</v>
      </c>
      <c r="F847" s="23">
        <f t="shared" si="887"/>
        <v>3.4</v>
      </c>
      <c r="G847" s="23">
        <f t="shared" si="888"/>
        <v>1.9</v>
      </c>
      <c r="H847" s="4">
        <f t="shared" si="889"/>
        <v>3.8630000000000001E-3</v>
      </c>
      <c r="I847" s="2">
        <f t="shared" si="890"/>
        <v>0.10357098425196851</v>
      </c>
      <c r="J847" s="4">
        <f t="shared" si="891"/>
        <v>6.3040205748031528E-2</v>
      </c>
      <c r="K847" s="4">
        <f t="shared" si="892"/>
        <v>0.16661119000000002</v>
      </c>
      <c r="L847" s="13">
        <f t="shared" si="893"/>
        <v>1.6429353778751361</v>
      </c>
      <c r="M847" s="3"/>
      <c r="N847" s="3"/>
    </row>
    <row r="848" spans="1:14" x14ac:dyDescent="0.2">
      <c r="A848" s="31">
        <v>488258</v>
      </c>
      <c r="B848" s="4">
        <v>100</v>
      </c>
      <c r="C848" s="4">
        <v>8</v>
      </c>
      <c r="D848" s="33">
        <v>4.3499999999999996</v>
      </c>
      <c r="E848" s="23">
        <v>2.4</v>
      </c>
      <c r="F848" s="23">
        <f t="shared" si="887"/>
        <v>4.3499999999999996</v>
      </c>
      <c r="G848" s="23">
        <f t="shared" si="888"/>
        <v>2.4</v>
      </c>
      <c r="H848" s="4">
        <f t="shared" si="889"/>
        <v>3.8630000000000001E-3</v>
      </c>
      <c r="I848" s="2">
        <f t="shared" si="890"/>
        <v>0.13464227952755903</v>
      </c>
      <c r="J848" s="4">
        <f t="shared" si="891"/>
        <v>7.5813960472440989E-2</v>
      </c>
      <c r="K848" s="4">
        <f t="shared" si="892"/>
        <v>0.21045624000000002</v>
      </c>
      <c r="L848" s="13">
        <f t="shared" si="893"/>
        <v>1.7759562841530041</v>
      </c>
      <c r="M848" s="3">
        <f t="shared" ref="M848" si="928">AVERAGE(I848:I849)</f>
        <v>0.13809464566929133</v>
      </c>
      <c r="N848" s="3">
        <f t="shared" ref="N848" si="929">AVERAGE(J848:J849)</f>
        <v>8.113060433070865E-2</v>
      </c>
    </row>
    <row r="849" spans="1:14" x14ac:dyDescent="0.2">
      <c r="A849" s="4"/>
      <c r="B849" s="4">
        <v>100</v>
      </c>
      <c r="C849" s="4">
        <v>8</v>
      </c>
      <c r="D849" s="33">
        <v>4.6500000000000004</v>
      </c>
      <c r="E849" s="23">
        <v>2.6</v>
      </c>
      <c r="F849" s="23">
        <f t="shared" si="887"/>
        <v>4.6500000000000004</v>
      </c>
      <c r="G849" s="23">
        <f t="shared" si="888"/>
        <v>2.6</v>
      </c>
      <c r="H849" s="4">
        <f t="shared" si="889"/>
        <v>3.8630000000000001E-3</v>
      </c>
      <c r="I849" s="2">
        <f t="shared" si="890"/>
        <v>0.14154701181102364</v>
      </c>
      <c r="J849" s="4">
        <f t="shared" si="891"/>
        <v>8.6447248188976325E-2</v>
      </c>
      <c r="K849" s="4">
        <f t="shared" si="892"/>
        <v>0.22799425999999995</v>
      </c>
      <c r="L849" s="13">
        <f t="shared" si="893"/>
        <v>1.637380191693292</v>
      </c>
      <c r="M849" s="3"/>
      <c r="N849" s="3"/>
    </row>
    <row r="850" spans="1:14" x14ac:dyDescent="0.2">
      <c r="A850" s="4">
        <v>488920</v>
      </c>
      <c r="B850" s="4">
        <v>100</v>
      </c>
      <c r="C850" s="4">
        <v>8</v>
      </c>
      <c r="D850" s="33">
        <v>1.45</v>
      </c>
      <c r="E850" s="23">
        <v>1.05</v>
      </c>
      <c r="F850" s="23">
        <f t="shared" si="887"/>
        <v>1.45</v>
      </c>
      <c r="G850" s="23">
        <f t="shared" si="888"/>
        <v>1.05</v>
      </c>
      <c r="H850" s="4">
        <f t="shared" si="889"/>
        <v>3.8630000000000001E-3</v>
      </c>
      <c r="I850" s="2">
        <f t="shared" si="890"/>
        <v>2.7618929133858265E-2</v>
      </c>
      <c r="J850" s="4">
        <f t="shared" si="891"/>
        <v>6.4455675866141732E-2</v>
      </c>
      <c r="K850" s="4">
        <f t="shared" si="892"/>
        <v>9.2074605000000004E-2</v>
      </c>
      <c r="L850" s="13">
        <f t="shared" si="893"/>
        <v>0.42849491162292447</v>
      </c>
      <c r="M850" s="3">
        <f t="shared" ref="M850" si="930">AVERAGE(I850:I851)</f>
        <v>2.4166562992125978E-2</v>
      </c>
      <c r="N850" s="3">
        <f t="shared" ref="N850" si="931">AVERAGE(J850:J851)</f>
        <v>7.0100294507874028E-2</v>
      </c>
    </row>
    <row r="851" spans="1:14" x14ac:dyDescent="0.2">
      <c r="A851" s="4"/>
      <c r="B851" s="4">
        <v>100</v>
      </c>
      <c r="C851" s="4">
        <v>8</v>
      </c>
      <c r="D851" s="33">
        <v>1.4</v>
      </c>
      <c r="E851" s="23">
        <v>1.1000000000000001</v>
      </c>
      <c r="F851" s="23">
        <f t="shared" si="887"/>
        <v>1.4</v>
      </c>
      <c r="G851" s="23">
        <f t="shared" si="888"/>
        <v>1.1000000000000001</v>
      </c>
      <c r="H851" s="4">
        <f t="shared" si="889"/>
        <v>3.8630000000000001E-3</v>
      </c>
      <c r="I851" s="2">
        <f t="shared" si="890"/>
        <v>2.071419685039369E-2</v>
      </c>
      <c r="J851" s="4">
        <f t="shared" si="891"/>
        <v>7.5744913149606324E-2</v>
      </c>
      <c r="K851" s="4">
        <f t="shared" si="892"/>
        <v>9.6459110000000015E-2</v>
      </c>
      <c r="L851" s="13">
        <f t="shared" si="893"/>
        <v>0.27347310847766615</v>
      </c>
      <c r="M851" s="3"/>
      <c r="N851" s="3"/>
    </row>
    <row r="852" spans="1:14" x14ac:dyDescent="0.2">
      <c r="A852" s="4">
        <v>488921</v>
      </c>
      <c r="B852" s="4">
        <v>100</v>
      </c>
      <c r="C852" s="4">
        <v>8</v>
      </c>
      <c r="D852" s="33">
        <v>2</v>
      </c>
      <c r="E852" s="23">
        <v>1.45</v>
      </c>
      <c r="F852" s="23">
        <f t="shared" si="887"/>
        <v>2</v>
      </c>
      <c r="G852" s="23">
        <f t="shared" si="888"/>
        <v>1.45</v>
      </c>
      <c r="H852" s="4">
        <f t="shared" si="889"/>
        <v>3.8630000000000001E-3</v>
      </c>
      <c r="I852" s="2">
        <f t="shared" si="890"/>
        <v>3.7976027559055124E-2</v>
      </c>
      <c r="J852" s="4">
        <f t="shared" si="891"/>
        <v>8.9174617440944889E-2</v>
      </c>
      <c r="K852" s="4">
        <f t="shared" si="892"/>
        <v>0.12715064500000001</v>
      </c>
      <c r="L852" s="13">
        <f t="shared" si="893"/>
        <v>0.42586140147115759</v>
      </c>
      <c r="M852" s="3">
        <f t="shared" ref="M852" si="932">AVERAGE(I852:I853)</f>
        <v>3.7976027559055117E-2</v>
      </c>
      <c r="N852" s="3">
        <f t="shared" ref="N852" si="933">AVERAGE(J852:J853)</f>
        <v>8.4790112440944893E-2</v>
      </c>
    </row>
    <row r="853" spans="1:14" x14ac:dyDescent="0.2">
      <c r="A853" s="4"/>
      <c r="B853" s="4">
        <v>100</v>
      </c>
      <c r="C853" s="4">
        <v>8</v>
      </c>
      <c r="D853" s="33">
        <v>1.9</v>
      </c>
      <c r="E853" s="23">
        <v>1.35</v>
      </c>
      <c r="F853" s="23">
        <f t="shared" si="887"/>
        <v>1.9</v>
      </c>
      <c r="G853" s="23">
        <f t="shared" si="888"/>
        <v>1.35</v>
      </c>
      <c r="H853" s="4">
        <f t="shared" si="889"/>
        <v>3.8630000000000001E-3</v>
      </c>
      <c r="I853" s="2">
        <f t="shared" si="890"/>
        <v>3.7976027559055103E-2</v>
      </c>
      <c r="J853" s="4">
        <f t="shared" si="891"/>
        <v>8.0405607440944896E-2</v>
      </c>
      <c r="K853" s="4">
        <f t="shared" si="892"/>
        <v>0.118381635</v>
      </c>
      <c r="L853" s="13">
        <f t="shared" si="893"/>
        <v>0.47230571060540977</v>
      </c>
      <c r="M853" s="3"/>
      <c r="N853" s="3"/>
    </row>
    <row r="854" spans="1:14" x14ac:dyDescent="0.2">
      <c r="A854" s="4">
        <v>488922</v>
      </c>
      <c r="B854" s="4">
        <v>100</v>
      </c>
      <c r="C854" s="4">
        <v>8</v>
      </c>
      <c r="D854" s="33">
        <v>5.45</v>
      </c>
      <c r="E854" s="23">
        <v>3.6</v>
      </c>
      <c r="F854" s="23">
        <f t="shared" si="887"/>
        <v>5.45</v>
      </c>
      <c r="G854" s="23">
        <f t="shared" si="888"/>
        <v>3.6</v>
      </c>
      <c r="H854" s="4">
        <f t="shared" si="889"/>
        <v>3.8630000000000001E-3</v>
      </c>
      <c r="I854" s="2">
        <f t="shared" si="890"/>
        <v>0.12773754724409447</v>
      </c>
      <c r="J854" s="4">
        <f t="shared" si="891"/>
        <v>0.18794681275590555</v>
      </c>
      <c r="K854" s="4">
        <f t="shared" si="892"/>
        <v>0.31568436</v>
      </c>
      <c r="L854" s="13">
        <f t="shared" si="893"/>
        <v>0.67964731814842005</v>
      </c>
      <c r="M854" s="3">
        <f t="shared" ref="M854" si="934">AVERAGE(I854:I855)</f>
        <v>0.13118991338582678</v>
      </c>
      <c r="N854" s="3">
        <f t="shared" ref="N854" si="935">AVERAGE(J854:J855)</f>
        <v>0.22833949661417319</v>
      </c>
    </row>
    <row r="855" spans="1:14" x14ac:dyDescent="0.2">
      <c r="A855" s="4"/>
      <c r="B855" s="4">
        <v>100</v>
      </c>
      <c r="C855" s="4">
        <v>8</v>
      </c>
      <c r="D855" s="33">
        <v>6.55</v>
      </c>
      <c r="E855" s="23">
        <v>4.5999999999999996</v>
      </c>
      <c r="F855" s="23">
        <f t="shared" si="887"/>
        <v>6.55</v>
      </c>
      <c r="G855" s="23">
        <f t="shared" si="888"/>
        <v>4.5999999999999996</v>
      </c>
      <c r="H855" s="4">
        <f t="shared" si="889"/>
        <v>3.8630000000000001E-3</v>
      </c>
      <c r="I855" s="2">
        <f t="shared" si="890"/>
        <v>0.13464227952755908</v>
      </c>
      <c r="J855" s="4">
        <f t="shared" si="891"/>
        <v>0.26873218047244085</v>
      </c>
      <c r="K855" s="4">
        <f t="shared" si="892"/>
        <v>0.40337445999999993</v>
      </c>
      <c r="L855" s="13">
        <f t="shared" si="893"/>
        <v>0.50102774922918836</v>
      </c>
      <c r="M855" s="3"/>
      <c r="N855" s="3"/>
    </row>
    <row r="856" spans="1:14" x14ac:dyDescent="0.2">
      <c r="A856" s="4">
        <v>488923</v>
      </c>
      <c r="B856" s="4">
        <v>100</v>
      </c>
      <c r="C856" s="4">
        <v>7</v>
      </c>
      <c r="D856" s="33">
        <v>5.0999999999999996</v>
      </c>
      <c r="E856" s="23">
        <v>3</v>
      </c>
      <c r="F856" s="23">
        <f t="shared" si="887"/>
        <v>5.0999999999999996</v>
      </c>
      <c r="G856" s="23">
        <f t="shared" si="888"/>
        <v>3</v>
      </c>
      <c r="H856" s="4">
        <f t="shared" si="889"/>
        <v>9.7450000000000002E-3</v>
      </c>
      <c r="I856" s="2">
        <f t="shared" si="890"/>
        <v>0.36578279527559049</v>
      </c>
      <c r="J856" s="4">
        <f t="shared" si="891"/>
        <v>0.29785170472440947</v>
      </c>
      <c r="K856" s="4">
        <f t="shared" si="892"/>
        <v>0.66363449999999991</v>
      </c>
      <c r="L856" s="13">
        <f t="shared" si="893"/>
        <v>1.2280701754385961</v>
      </c>
      <c r="M856" s="3">
        <f t="shared" ref="M856" si="936">AVERAGE(I856:I857)</f>
        <v>0.36142823818897629</v>
      </c>
      <c r="N856" s="3">
        <f t="shared" ref="N856" si="937">AVERAGE(J856:J857)</f>
        <v>0.30220626181102361</v>
      </c>
    </row>
    <row r="857" spans="1:14" x14ac:dyDescent="0.2">
      <c r="A857" s="4"/>
      <c r="B857" s="4">
        <v>100</v>
      </c>
      <c r="C857" s="4">
        <v>7</v>
      </c>
      <c r="D857" s="33">
        <v>5.05</v>
      </c>
      <c r="E857" s="23">
        <v>3</v>
      </c>
      <c r="F857" s="23">
        <f t="shared" si="887"/>
        <v>5.05</v>
      </c>
      <c r="G857" s="23">
        <f t="shared" si="888"/>
        <v>3</v>
      </c>
      <c r="H857" s="4">
        <f t="shared" si="889"/>
        <v>9.7450000000000002E-3</v>
      </c>
      <c r="I857" s="2">
        <f t="shared" si="890"/>
        <v>0.35707368110236215</v>
      </c>
      <c r="J857" s="4">
        <f t="shared" si="891"/>
        <v>0.30656081889763775</v>
      </c>
      <c r="K857" s="4">
        <f t="shared" si="892"/>
        <v>0.66363449999999991</v>
      </c>
      <c r="L857" s="13">
        <f t="shared" si="893"/>
        <v>1.1647727272727273</v>
      </c>
      <c r="M857" s="3"/>
      <c r="N857" s="3"/>
    </row>
    <row r="858" spans="1:14" x14ac:dyDescent="0.2">
      <c r="A858" s="4">
        <v>488924</v>
      </c>
      <c r="B858" s="4">
        <v>100</v>
      </c>
      <c r="C858" s="4">
        <v>7</v>
      </c>
      <c r="D858" s="33">
        <v>4.75</v>
      </c>
      <c r="E858" s="23">
        <v>2.75</v>
      </c>
      <c r="F858" s="23">
        <f t="shared" si="887"/>
        <v>4.75</v>
      </c>
      <c r="G858" s="23">
        <f t="shared" si="888"/>
        <v>2.75</v>
      </c>
      <c r="H858" s="4">
        <f t="shared" si="889"/>
        <v>9.7450000000000002E-3</v>
      </c>
      <c r="I858" s="2">
        <f t="shared" si="890"/>
        <v>0.34836456692913387</v>
      </c>
      <c r="J858" s="4">
        <f t="shared" si="891"/>
        <v>0.25996705807086617</v>
      </c>
      <c r="K858" s="4">
        <f t="shared" si="892"/>
        <v>0.60833162500000004</v>
      </c>
      <c r="L858" s="13">
        <f t="shared" si="893"/>
        <v>1.3400335008375208</v>
      </c>
      <c r="M858" s="3">
        <f t="shared" ref="M858" si="938">AVERAGE(I858:I859)</f>
        <v>0.34401000984251973</v>
      </c>
      <c r="N858" s="3">
        <f t="shared" ref="N858" si="939">AVERAGE(J858:J859)</f>
        <v>0.25879132765748031</v>
      </c>
    </row>
    <row r="859" spans="1:14" x14ac:dyDescent="0.2">
      <c r="A859" s="4"/>
      <c r="B859" s="4">
        <v>100</v>
      </c>
      <c r="C859" s="4">
        <v>7</v>
      </c>
      <c r="D859" s="33">
        <v>4.6500000000000004</v>
      </c>
      <c r="E859" s="23">
        <v>2.7</v>
      </c>
      <c r="F859" s="23">
        <f t="shared" si="887"/>
        <v>4.6500000000000004</v>
      </c>
      <c r="G859" s="23">
        <f t="shared" si="888"/>
        <v>2.7</v>
      </c>
      <c r="H859" s="4">
        <f t="shared" si="889"/>
        <v>9.7450000000000002E-3</v>
      </c>
      <c r="I859" s="2">
        <f t="shared" si="890"/>
        <v>0.33965545275590558</v>
      </c>
      <c r="J859" s="4">
        <f t="shared" si="891"/>
        <v>0.25761559724409444</v>
      </c>
      <c r="K859" s="4">
        <f t="shared" si="892"/>
        <v>0.59727105000000003</v>
      </c>
      <c r="L859" s="13">
        <f t="shared" si="893"/>
        <v>1.318458417849899</v>
      </c>
      <c r="M859" s="3"/>
      <c r="N859" s="3"/>
    </row>
    <row r="860" spans="1:14" x14ac:dyDescent="0.2">
      <c r="A860" s="4">
        <v>488925</v>
      </c>
      <c r="B860" s="4">
        <v>100</v>
      </c>
      <c r="C860" s="4">
        <v>8</v>
      </c>
      <c r="D860" s="33">
        <v>4.9000000000000004</v>
      </c>
      <c r="E860" s="23">
        <v>2.7</v>
      </c>
      <c r="F860" s="23">
        <f t="shared" si="887"/>
        <v>4.9000000000000004</v>
      </c>
      <c r="G860" s="23">
        <f t="shared" si="888"/>
        <v>2.7</v>
      </c>
      <c r="H860" s="4">
        <f t="shared" si="889"/>
        <v>3.8630000000000001E-3</v>
      </c>
      <c r="I860" s="2">
        <f t="shared" si="890"/>
        <v>0.1519041102362205</v>
      </c>
      <c r="J860" s="4">
        <f t="shared" si="891"/>
        <v>8.4859159763779543E-2</v>
      </c>
      <c r="K860" s="4">
        <f t="shared" si="892"/>
        <v>0.23676327000000003</v>
      </c>
      <c r="L860" s="13">
        <f t="shared" si="893"/>
        <v>1.790073230268511</v>
      </c>
      <c r="M860" s="3">
        <f t="shared" ref="M860" si="940">AVERAGE(I860:I861)</f>
        <v>0.14845174409448819</v>
      </c>
      <c r="N860" s="3">
        <f t="shared" ref="N860" si="941">AVERAGE(J860:J861)</f>
        <v>8.3927020905511823E-2</v>
      </c>
    </row>
    <row r="861" spans="1:14" x14ac:dyDescent="0.2">
      <c r="A861" s="4"/>
      <c r="B861" s="4">
        <v>100</v>
      </c>
      <c r="C861" s="4">
        <v>8</v>
      </c>
      <c r="D861" s="33">
        <v>4.7</v>
      </c>
      <c r="E861" s="23">
        <v>2.6</v>
      </c>
      <c r="F861" s="23">
        <f t="shared" si="887"/>
        <v>4.7</v>
      </c>
      <c r="G861" s="23">
        <f t="shared" si="888"/>
        <v>2.6</v>
      </c>
      <c r="H861" s="4">
        <f t="shared" si="889"/>
        <v>3.8630000000000001E-3</v>
      </c>
      <c r="I861" s="2">
        <f t="shared" si="890"/>
        <v>0.14499937795275591</v>
      </c>
      <c r="J861" s="4">
        <f t="shared" si="891"/>
        <v>8.2994882047244103E-2</v>
      </c>
      <c r="K861" s="4">
        <f t="shared" si="892"/>
        <v>0.22799426</v>
      </c>
      <c r="L861" s="13">
        <f t="shared" si="893"/>
        <v>1.7470881863560732</v>
      </c>
      <c r="M861" s="3"/>
      <c r="N861" s="3"/>
    </row>
    <row r="862" spans="1:14" x14ac:dyDescent="0.2">
      <c r="A862" s="4">
        <v>488926</v>
      </c>
      <c r="B862" s="4">
        <v>100</v>
      </c>
      <c r="C862" s="4">
        <v>8</v>
      </c>
      <c r="D862" s="33">
        <v>4</v>
      </c>
      <c r="E862" s="23">
        <v>2.15</v>
      </c>
      <c r="F862" s="23">
        <f t="shared" si="887"/>
        <v>4</v>
      </c>
      <c r="G862" s="23">
        <f t="shared" si="888"/>
        <v>2.15</v>
      </c>
      <c r="H862" s="4">
        <f t="shared" si="889"/>
        <v>3.8630000000000001E-3</v>
      </c>
      <c r="I862" s="2">
        <f t="shared" si="890"/>
        <v>0.12773754724409447</v>
      </c>
      <c r="J862" s="4">
        <f t="shared" si="891"/>
        <v>6.0796167755905503E-2</v>
      </c>
      <c r="K862" s="4">
        <f t="shared" si="892"/>
        <v>0.18853371499999999</v>
      </c>
      <c r="L862" s="13">
        <f t="shared" si="893"/>
        <v>2.1010789324247585</v>
      </c>
      <c r="M862" s="3">
        <f t="shared" ref="M862" si="942">AVERAGE(I862:I863)</f>
        <v>0.12773754724409447</v>
      </c>
      <c r="N862" s="3">
        <f t="shared" ref="N862" si="943">AVERAGE(J862:J863)</f>
        <v>6.2988420255905536E-2</v>
      </c>
    </row>
    <row r="863" spans="1:14" x14ac:dyDescent="0.2">
      <c r="A863" s="4"/>
      <c r="B863" s="4">
        <v>100</v>
      </c>
      <c r="C863" s="4">
        <v>8</v>
      </c>
      <c r="D863" s="33">
        <v>4.05</v>
      </c>
      <c r="E863" s="23">
        <v>2.2000000000000002</v>
      </c>
      <c r="F863" s="23">
        <f t="shared" si="887"/>
        <v>4.05</v>
      </c>
      <c r="G863" s="23">
        <f t="shared" si="888"/>
        <v>2.2000000000000002</v>
      </c>
      <c r="H863" s="4">
        <f t="shared" si="889"/>
        <v>3.8630000000000001E-3</v>
      </c>
      <c r="I863" s="2">
        <f t="shared" si="890"/>
        <v>0.12773754724409447</v>
      </c>
      <c r="J863" s="4">
        <f t="shared" si="891"/>
        <v>6.5180672755905555E-2</v>
      </c>
      <c r="K863" s="4">
        <f t="shared" si="892"/>
        <v>0.19291822000000003</v>
      </c>
      <c r="L863" s="13">
        <f t="shared" si="893"/>
        <v>1.9597457627118628</v>
      </c>
      <c r="M863" s="3"/>
      <c r="N863" s="3"/>
    </row>
    <row r="864" spans="1:14" x14ac:dyDescent="0.2">
      <c r="A864" s="4">
        <v>488927</v>
      </c>
      <c r="B864" s="4">
        <v>100</v>
      </c>
      <c r="C864" s="4">
        <v>8</v>
      </c>
      <c r="D864" s="33">
        <v>4.3499999999999996</v>
      </c>
      <c r="E864" s="23">
        <v>2.25</v>
      </c>
      <c r="F864" s="23">
        <f t="shared" si="887"/>
        <v>4.3499999999999996</v>
      </c>
      <c r="G864" s="23">
        <f t="shared" si="888"/>
        <v>2.25</v>
      </c>
      <c r="H864" s="4">
        <f t="shared" si="889"/>
        <v>3.8630000000000001E-3</v>
      </c>
      <c r="I864" s="2">
        <f t="shared" si="890"/>
        <v>0.14499937795275589</v>
      </c>
      <c r="J864" s="4">
        <f t="shared" si="891"/>
        <v>5.2303347047244125E-2</v>
      </c>
      <c r="K864" s="4">
        <f t="shared" si="892"/>
        <v>0.19730272500000001</v>
      </c>
      <c r="L864" s="13">
        <f t="shared" si="893"/>
        <v>2.7722772277227703</v>
      </c>
      <c r="M864" s="3">
        <f t="shared" ref="M864" si="944">AVERAGE(I864:I865)</f>
        <v>0.13464227952755903</v>
      </c>
      <c r="N864" s="3">
        <f t="shared" ref="N864" si="945">AVERAGE(J864:J865)</f>
        <v>6.0468192972440979E-2</v>
      </c>
    </row>
    <row r="865" spans="1:14" x14ac:dyDescent="0.2">
      <c r="A865" s="4"/>
      <c r="B865" s="4">
        <v>100</v>
      </c>
      <c r="C865" s="4">
        <v>8</v>
      </c>
      <c r="D865" s="33">
        <v>4</v>
      </c>
      <c r="E865" s="23">
        <v>2.2000000000000002</v>
      </c>
      <c r="F865" s="23">
        <f t="shared" si="887"/>
        <v>4</v>
      </c>
      <c r="G865" s="23">
        <f t="shared" si="888"/>
        <v>2.2000000000000002</v>
      </c>
      <c r="H865" s="4">
        <f t="shared" si="889"/>
        <v>3.8630000000000001E-3</v>
      </c>
      <c r="I865" s="2">
        <f t="shared" si="890"/>
        <v>0.12428518110236218</v>
      </c>
      <c r="J865" s="4">
        <f t="shared" si="891"/>
        <v>6.8633038897637832E-2</v>
      </c>
      <c r="K865" s="4">
        <f t="shared" si="892"/>
        <v>0.19291822000000003</v>
      </c>
      <c r="L865" s="13">
        <f t="shared" si="893"/>
        <v>1.81086519114688</v>
      </c>
      <c r="M865" s="3"/>
      <c r="N865" s="3"/>
    </row>
    <row r="866" spans="1:14" x14ac:dyDescent="0.2">
      <c r="A866" s="4">
        <v>488932</v>
      </c>
      <c r="B866" s="4">
        <v>100</v>
      </c>
      <c r="C866" s="4">
        <v>8</v>
      </c>
      <c r="D866" s="33">
        <v>1.95</v>
      </c>
      <c r="E866" s="23">
        <v>1.45</v>
      </c>
      <c r="F866" s="23">
        <f t="shared" si="887"/>
        <v>1.95</v>
      </c>
      <c r="G866" s="23">
        <f t="shared" si="888"/>
        <v>1.45</v>
      </c>
      <c r="H866" s="4">
        <f t="shared" si="889"/>
        <v>3.8630000000000001E-3</v>
      </c>
      <c r="I866" s="2">
        <f t="shared" si="890"/>
        <v>3.452366141732284E-2</v>
      </c>
      <c r="J866" s="4">
        <f t="shared" si="891"/>
        <v>9.2626983582677166E-2</v>
      </c>
      <c r="K866" s="4">
        <f t="shared" si="892"/>
        <v>0.12715064500000001</v>
      </c>
      <c r="L866" s="13">
        <f t="shared" si="893"/>
        <v>0.37271710771524419</v>
      </c>
      <c r="M866" s="3">
        <f t="shared" ref="M866" si="946">AVERAGE(I866:I867)</f>
        <v>3.452366141732284E-2</v>
      </c>
      <c r="N866" s="3">
        <f t="shared" ref="N866" si="947">AVERAGE(J866:J867)</f>
        <v>9.4819236082677158E-2</v>
      </c>
    </row>
    <row r="867" spans="1:14" x14ac:dyDescent="0.2">
      <c r="A867" s="4"/>
      <c r="B867" s="4">
        <v>100</v>
      </c>
      <c r="C867" s="4">
        <v>8</v>
      </c>
      <c r="D867" s="33">
        <v>2</v>
      </c>
      <c r="E867" s="23">
        <v>1.5</v>
      </c>
      <c r="F867" s="23">
        <f t="shared" si="887"/>
        <v>2</v>
      </c>
      <c r="G867" s="23">
        <f t="shared" si="888"/>
        <v>1.5</v>
      </c>
      <c r="H867" s="4">
        <f t="shared" si="889"/>
        <v>3.8630000000000001E-3</v>
      </c>
      <c r="I867" s="2">
        <f t="shared" si="890"/>
        <v>3.452366141732284E-2</v>
      </c>
      <c r="J867" s="4">
        <f t="shared" si="891"/>
        <v>9.7011488582677149E-2</v>
      </c>
      <c r="K867" s="4">
        <f t="shared" si="892"/>
        <v>0.13153514999999999</v>
      </c>
      <c r="L867" s="13">
        <f t="shared" si="893"/>
        <v>0.35587188612099657</v>
      </c>
      <c r="M867" s="3"/>
      <c r="N867" s="3"/>
    </row>
    <row r="868" spans="1:14" x14ac:dyDescent="0.2">
      <c r="A868" s="4">
        <v>488933</v>
      </c>
      <c r="B868" s="4">
        <v>100</v>
      </c>
      <c r="C868" s="4">
        <v>8</v>
      </c>
      <c r="D868" s="33">
        <v>3.2</v>
      </c>
      <c r="E868" s="23">
        <v>2.25</v>
      </c>
      <c r="F868" s="23">
        <f t="shared" si="887"/>
        <v>3.2</v>
      </c>
      <c r="G868" s="23">
        <f t="shared" si="888"/>
        <v>2.25</v>
      </c>
      <c r="H868" s="4">
        <f t="shared" si="889"/>
        <v>3.8630000000000001E-3</v>
      </c>
      <c r="I868" s="2">
        <f t="shared" si="890"/>
        <v>6.5594956692913403E-2</v>
      </c>
      <c r="J868" s="4">
        <f t="shared" si="891"/>
        <v>0.13170776830708658</v>
      </c>
      <c r="K868" s="4">
        <f t="shared" si="892"/>
        <v>0.19730272499999998</v>
      </c>
      <c r="L868" s="13">
        <f t="shared" si="893"/>
        <v>0.49803407601572763</v>
      </c>
      <c r="M868" s="3">
        <f t="shared" ref="M868" si="948">AVERAGE(I868:I869)</f>
        <v>6.5594956692913403E-2</v>
      </c>
      <c r="N868" s="3">
        <f t="shared" ref="N868" si="949">AVERAGE(J868:J869)</f>
        <v>0.13390002080708657</v>
      </c>
    </row>
    <row r="869" spans="1:14" x14ac:dyDescent="0.2">
      <c r="A869" s="4"/>
      <c r="B869" s="4">
        <v>100</v>
      </c>
      <c r="C869" s="4">
        <v>8</v>
      </c>
      <c r="D869" s="33">
        <v>3.25</v>
      </c>
      <c r="E869" s="23">
        <v>2.2999999999999998</v>
      </c>
      <c r="F869" s="23">
        <f t="shared" si="887"/>
        <v>3.25</v>
      </c>
      <c r="G869" s="23">
        <f t="shared" si="888"/>
        <v>2.2999999999999998</v>
      </c>
      <c r="H869" s="4">
        <f t="shared" si="889"/>
        <v>3.8630000000000001E-3</v>
      </c>
      <c r="I869" s="2">
        <f t="shared" si="890"/>
        <v>6.5594956692913403E-2</v>
      </c>
      <c r="J869" s="4">
        <f t="shared" si="891"/>
        <v>0.13609227330708656</v>
      </c>
      <c r="K869" s="4">
        <f t="shared" si="892"/>
        <v>0.20168722999999997</v>
      </c>
      <c r="L869" s="13">
        <f t="shared" si="893"/>
        <v>0.48198883815322202</v>
      </c>
      <c r="M869" s="3"/>
      <c r="N869" s="3"/>
    </row>
    <row r="870" spans="1:14" x14ac:dyDescent="0.2">
      <c r="A870" s="4">
        <v>488934</v>
      </c>
      <c r="B870" s="4">
        <v>100</v>
      </c>
      <c r="C870" s="4">
        <v>8</v>
      </c>
      <c r="D870" s="33">
        <v>6.35</v>
      </c>
      <c r="E870" s="23">
        <v>4.25</v>
      </c>
      <c r="F870" s="23">
        <f t="shared" si="887"/>
        <v>6.35</v>
      </c>
      <c r="G870" s="23">
        <f t="shared" si="888"/>
        <v>4.25</v>
      </c>
      <c r="H870" s="4">
        <f t="shared" si="889"/>
        <v>3.8630000000000001E-3</v>
      </c>
      <c r="I870" s="2">
        <f t="shared" si="890"/>
        <v>0.14499937795275589</v>
      </c>
      <c r="J870" s="4">
        <f t="shared" si="891"/>
        <v>0.22768354704724414</v>
      </c>
      <c r="K870" s="4">
        <f t="shared" si="892"/>
        <v>0.372682925</v>
      </c>
      <c r="L870" s="13">
        <f t="shared" si="893"/>
        <v>0.63684609552691407</v>
      </c>
      <c r="M870" s="3">
        <f t="shared" ref="M870" si="950">AVERAGE(I870:I871)</f>
        <v>0.14845174409448819</v>
      </c>
      <c r="N870" s="3">
        <f t="shared" ref="N870" si="951">AVERAGE(J870:J871)</f>
        <v>0.21546217090551184</v>
      </c>
    </row>
    <row r="871" spans="1:14" x14ac:dyDescent="0.2">
      <c r="A871" s="4"/>
      <c r="B871" s="4">
        <v>100</v>
      </c>
      <c r="C871" s="4">
        <v>8</v>
      </c>
      <c r="D871" s="33">
        <v>6.25</v>
      </c>
      <c r="E871" s="23">
        <v>4.05</v>
      </c>
      <c r="F871" s="23">
        <f t="shared" si="887"/>
        <v>6.25</v>
      </c>
      <c r="G871" s="23">
        <f t="shared" si="888"/>
        <v>4.05</v>
      </c>
      <c r="H871" s="4">
        <f t="shared" si="889"/>
        <v>3.8630000000000001E-3</v>
      </c>
      <c r="I871" s="2">
        <f t="shared" si="890"/>
        <v>0.1519041102362205</v>
      </c>
      <c r="J871" s="4">
        <f t="shared" si="891"/>
        <v>0.20324079476377957</v>
      </c>
      <c r="K871" s="4">
        <f t="shared" si="892"/>
        <v>0.35514490500000007</v>
      </c>
      <c r="L871" s="13">
        <f t="shared" si="893"/>
        <v>0.74740954645829794</v>
      </c>
      <c r="M871" s="3"/>
      <c r="N871" s="3"/>
    </row>
    <row r="872" spans="1:14" x14ac:dyDescent="0.2">
      <c r="A872" s="4">
        <v>488935</v>
      </c>
      <c r="B872" s="4">
        <v>100</v>
      </c>
      <c r="C872" s="4">
        <v>7</v>
      </c>
      <c r="D872" s="33">
        <v>3.25</v>
      </c>
      <c r="E872" s="23">
        <v>2.0499999999999998</v>
      </c>
      <c r="F872" s="23">
        <f t="shared" si="887"/>
        <v>3.25</v>
      </c>
      <c r="G872" s="23">
        <f t="shared" si="888"/>
        <v>2.0499999999999998</v>
      </c>
      <c r="H872" s="4">
        <f t="shared" si="889"/>
        <v>9.7450000000000002E-3</v>
      </c>
      <c r="I872" s="2">
        <f t="shared" si="890"/>
        <v>0.20901874015748034</v>
      </c>
      <c r="J872" s="4">
        <f t="shared" si="891"/>
        <v>0.24446483484251963</v>
      </c>
      <c r="K872" s="4">
        <f t="shared" si="892"/>
        <v>0.45348357499999997</v>
      </c>
      <c r="L872" s="13">
        <f t="shared" si="893"/>
        <v>0.85500534378339899</v>
      </c>
      <c r="M872" s="3">
        <f t="shared" ref="M872" si="952">AVERAGE(I872:I873)</f>
        <v>0.20466418307086615</v>
      </c>
      <c r="N872" s="3">
        <f t="shared" ref="N872" si="953">AVERAGE(J872:J873)</f>
        <v>0.25434967942913383</v>
      </c>
    </row>
    <row r="873" spans="1:14" x14ac:dyDescent="0.2">
      <c r="A873" s="4"/>
      <c r="B873" s="4">
        <v>100</v>
      </c>
      <c r="C873" s="4">
        <v>7</v>
      </c>
      <c r="D873" s="33">
        <v>3.25</v>
      </c>
      <c r="E873" s="23">
        <v>2.1</v>
      </c>
      <c r="F873" s="23">
        <f t="shared" si="887"/>
        <v>3.25</v>
      </c>
      <c r="G873" s="23">
        <f t="shared" si="888"/>
        <v>2.1</v>
      </c>
      <c r="H873" s="4">
        <f t="shared" si="889"/>
        <v>9.7450000000000002E-3</v>
      </c>
      <c r="I873" s="2">
        <f t="shared" si="890"/>
        <v>0.20030962598425198</v>
      </c>
      <c r="J873" s="4">
        <f t="shared" si="891"/>
        <v>0.26423452401574804</v>
      </c>
      <c r="K873" s="4">
        <f t="shared" si="892"/>
        <v>0.46454415000000004</v>
      </c>
      <c r="L873" s="13">
        <f t="shared" si="893"/>
        <v>0.75807514831905076</v>
      </c>
      <c r="M873" s="3"/>
      <c r="N873" s="3"/>
    </row>
    <row r="874" spans="1:14" x14ac:dyDescent="0.2">
      <c r="A874" s="4">
        <v>488936</v>
      </c>
      <c r="B874" s="4">
        <v>100</v>
      </c>
      <c r="C874" s="4">
        <v>7</v>
      </c>
      <c r="D874" s="33">
        <v>4.5</v>
      </c>
      <c r="E874" s="23">
        <v>2.8</v>
      </c>
      <c r="F874" s="23">
        <f t="shared" si="887"/>
        <v>4.5</v>
      </c>
      <c r="G874" s="23">
        <f t="shared" si="888"/>
        <v>2.8</v>
      </c>
      <c r="H874" s="4">
        <f t="shared" si="889"/>
        <v>9.7450000000000002E-3</v>
      </c>
      <c r="I874" s="2">
        <f t="shared" si="890"/>
        <v>0.29610988188976384</v>
      </c>
      <c r="J874" s="4">
        <f t="shared" si="891"/>
        <v>0.32328231811023611</v>
      </c>
      <c r="K874" s="4">
        <f t="shared" si="892"/>
        <v>0.61939219999999995</v>
      </c>
      <c r="L874" s="13">
        <f t="shared" si="893"/>
        <v>0.91594827586206951</v>
      </c>
      <c r="M874" s="3">
        <f t="shared" ref="M874" si="954">AVERAGE(I874:I875)</f>
        <v>0.30917355314960637</v>
      </c>
      <c r="N874" s="3">
        <f t="shared" ref="N874" si="955">AVERAGE(J874:J875)</f>
        <v>0.29362778435039361</v>
      </c>
    </row>
    <row r="875" spans="1:14" x14ac:dyDescent="0.2">
      <c r="A875" s="4"/>
      <c r="B875" s="4">
        <v>100</v>
      </c>
      <c r="C875" s="4">
        <v>7</v>
      </c>
      <c r="D875" s="33">
        <v>4.5</v>
      </c>
      <c r="E875" s="23">
        <v>2.65</v>
      </c>
      <c r="F875" s="23">
        <f t="shared" si="887"/>
        <v>4.5</v>
      </c>
      <c r="G875" s="23">
        <f t="shared" si="888"/>
        <v>2.65</v>
      </c>
      <c r="H875" s="4">
        <f t="shared" si="889"/>
        <v>9.7450000000000002E-3</v>
      </c>
      <c r="I875" s="2">
        <f t="shared" si="890"/>
        <v>0.32223722440944891</v>
      </c>
      <c r="J875" s="4">
        <f t="shared" si="891"/>
        <v>0.26397325059055105</v>
      </c>
      <c r="K875" s="4">
        <f t="shared" si="892"/>
        <v>0.5862104749999999</v>
      </c>
      <c r="L875" s="13">
        <f t="shared" si="893"/>
        <v>1.2207192345760485</v>
      </c>
      <c r="M875" s="3"/>
      <c r="N875" s="3"/>
    </row>
    <row r="876" spans="1:14" x14ac:dyDescent="0.2">
      <c r="A876" s="4">
        <v>488937</v>
      </c>
      <c r="B876" s="4">
        <v>100</v>
      </c>
      <c r="C876" s="4">
        <v>7</v>
      </c>
      <c r="D876" s="33">
        <v>7.7</v>
      </c>
      <c r="E876" s="23">
        <v>3.95</v>
      </c>
      <c r="F876" s="23">
        <f t="shared" si="887"/>
        <v>7.7</v>
      </c>
      <c r="G876" s="23">
        <f t="shared" si="888"/>
        <v>3.95</v>
      </c>
      <c r="H876" s="4">
        <f t="shared" si="889"/>
        <v>9.7450000000000002E-3</v>
      </c>
      <c r="I876" s="2">
        <f t="shared" si="890"/>
        <v>0.6531835629921261</v>
      </c>
      <c r="J876" s="4">
        <f t="shared" si="891"/>
        <v>0.22060186200787402</v>
      </c>
      <c r="K876" s="4">
        <f t="shared" si="892"/>
        <v>0.87378542500000012</v>
      </c>
      <c r="L876" s="13">
        <f t="shared" si="893"/>
        <v>2.9609159099881568</v>
      </c>
      <c r="M876" s="3">
        <f t="shared" ref="M876" si="956">AVERAGE(I876:I877)</f>
        <v>0.69418923622047246</v>
      </c>
      <c r="N876" s="3">
        <f t="shared" ref="N876" si="957">AVERAGE(J876:J877)</f>
        <v>0.20955224377952753</v>
      </c>
    </row>
    <row r="877" spans="1:14" x14ac:dyDescent="0.2">
      <c r="A877" s="4"/>
      <c r="B877" s="4">
        <v>100</v>
      </c>
      <c r="C877" s="4">
        <v>6</v>
      </c>
      <c r="D877" s="33">
        <v>2.2999999999999998</v>
      </c>
      <c r="E877" s="23">
        <v>1.1499999999999999</v>
      </c>
      <c r="F877" s="23">
        <f t="shared" si="887"/>
        <v>2.2999999999999998</v>
      </c>
      <c r="G877" s="23">
        <f t="shared" si="888"/>
        <v>1.1499999999999999</v>
      </c>
      <c r="H877" s="4">
        <f t="shared" si="889"/>
        <v>3.5767E-2</v>
      </c>
      <c r="I877" s="2">
        <f t="shared" si="890"/>
        <v>0.73519490944881893</v>
      </c>
      <c r="J877" s="4">
        <f t="shared" si="891"/>
        <v>0.19850262555118106</v>
      </c>
      <c r="K877" s="4">
        <f t="shared" si="892"/>
        <v>0.93369753499999997</v>
      </c>
      <c r="L877" s="13">
        <f t="shared" si="893"/>
        <v>3.7037037037037046</v>
      </c>
      <c r="M877" s="3"/>
      <c r="N877" s="3"/>
    </row>
    <row r="878" spans="1:14" x14ac:dyDescent="0.2">
      <c r="A878" s="4">
        <v>488938</v>
      </c>
      <c r="B878" s="4">
        <v>100</v>
      </c>
      <c r="C878" s="4">
        <v>6</v>
      </c>
      <c r="D878" s="33">
        <v>3.6</v>
      </c>
      <c r="E878" s="23">
        <v>1.9</v>
      </c>
      <c r="F878" s="23">
        <f t="shared" ref="F878:F897" si="958">IF($C878=5,D878-$D$5,IF($C878=6,D878-$D$6,IF($C878=7,D878-$D$7,IF($C878=8,D878-$D$8,D878))))</f>
        <v>3.6</v>
      </c>
      <c r="G878" s="23">
        <f t="shared" ref="G878:G897" si="959">IF($C878=5,E878-$D$5,IF($C878=6,E878-$D$6,IF($C878=7,E878-$D$7,IF($C878=8,E878-$D$8,E878))))</f>
        <v>1.9</v>
      </c>
      <c r="H878" s="4">
        <f t="shared" ref="H878:H897" si="960">IF(C878=1,32.7101,IF(C878=2,8.14893,IF(C878=3,1.42818,IF(C878=4,0.44041,IF(C878=5,0.123026,IF(C878=6,0.035767,IF(C878=7,0.009745,0.003863)))))))</f>
        <v>3.5767E-2</v>
      </c>
      <c r="I878" s="2">
        <f t="shared" ref="I878:I897" si="961">H878*$A$3*(F878-G878)*1000/B878</f>
        <v>1.0868098661417325</v>
      </c>
      <c r="J878" s="4">
        <f t="shared" ref="J878:J897" si="962">2.27*($A$3*G878-($A$3-1)*F878)*H878*1000/B878</f>
        <v>0.45582084385826777</v>
      </c>
      <c r="K878" s="4">
        <f t="shared" ref="K878:K897" si="963">(I878+J878)</f>
        <v>1.5426307100000003</v>
      </c>
      <c r="L878" s="13">
        <f t="shared" ref="L878:L897" si="964">(I878/J878)</f>
        <v>2.3842917251051894</v>
      </c>
      <c r="M878" s="3">
        <f t="shared" ref="M878" si="965">AVERAGE(I878:I879)</f>
        <v>1.0388623720472443</v>
      </c>
      <c r="N878" s="3">
        <f t="shared" ref="N878" si="966">AVERAGE(J878:J879)</f>
        <v>0.52406611045275597</v>
      </c>
    </row>
    <row r="879" spans="1:14" x14ac:dyDescent="0.2">
      <c r="A879" s="4"/>
      <c r="B879" s="4">
        <v>100</v>
      </c>
      <c r="C879" s="4">
        <v>6</v>
      </c>
      <c r="D879" s="33">
        <v>3.5</v>
      </c>
      <c r="E879" s="23">
        <v>1.95</v>
      </c>
      <c r="F879" s="23">
        <f t="shared" si="958"/>
        <v>3.5</v>
      </c>
      <c r="G879" s="23">
        <f t="shared" si="959"/>
        <v>1.95</v>
      </c>
      <c r="H879" s="4">
        <f t="shared" si="960"/>
        <v>3.5767E-2</v>
      </c>
      <c r="I879" s="2">
        <f t="shared" si="961"/>
        <v>0.99091487795275601</v>
      </c>
      <c r="J879" s="4">
        <f t="shared" si="962"/>
        <v>0.59231137704724413</v>
      </c>
      <c r="K879" s="4">
        <f t="shared" si="963"/>
        <v>1.583226255</v>
      </c>
      <c r="L879" s="13">
        <f t="shared" si="964"/>
        <v>1.6729627630868862</v>
      </c>
      <c r="M879" s="3"/>
      <c r="N879" s="3"/>
    </row>
    <row r="880" spans="1:14" x14ac:dyDescent="0.2">
      <c r="A880" s="4">
        <v>488939</v>
      </c>
      <c r="B880" s="4">
        <v>100</v>
      </c>
      <c r="C880" s="4">
        <v>6</v>
      </c>
      <c r="D880" s="33">
        <v>2.25</v>
      </c>
      <c r="E880" s="23">
        <v>1.1000000000000001</v>
      </c>
      <c r="F880" s="23">
        <f t="shared" si="958"/>
        <v>2.25</v>
      </c>
      <c r="G880" s="23">
        <f t="shared" si="959"/>
        <v>1.1000000000000001</v>
      </c>
      <c r="H880" s="4">
        <f t="shared" si="960"/>
        <v>3.5767E-2</v>
      </c>
      <c r="I880" s="2">
        <f t="shared" si="961"/>
        <v>0.73519490944881893</v>
      </c>
      <c r="J880" s="4">
        <f t="shared" si="962"/>
        <v>0.15790708055118122</v>
      </c>
      <c r="K880" s="4">
        <f t="shared" si="963"/>
        <v>0.89310199000000012</v>
      </c>
      <c r="L880" s="13">
        <f t="shared" si="964"/>
        <v>4.6558704453441262</v>
      </c>
      <c r="M880" s="3">
        <f t="shared" ref="M880" si="967">AVERAGE(I880:I881)</f>
        <v>0.75117740748031503</v>
      </c>
      <c r="N880" s="3">
        <f t="shared" ref="N880" si="968">AVERAGE(J880:J881)</f>
        <v>0.16222235501968502</v>
      </c>
    </row>
    <row r="881" spans="1:14" x14ac:dyDescent="0.2">
      <c r="A881" s="4"/>
      <c r="B881" s="4">
        <v>100</v>
      </c>
      <c r="C881" s="4">
        <v>6</v>
      </c>
      <c r="D881" s="33">
        <v>2.35</v>
      </c>
      <c r="E881" s="23">
        <v>1.1499999999999999</v>
      </c>
      <c r="F881" s="23">
        <f t="shared" si="958"/>
        <v>2.35</v>
      </c>
      <c r="G881" s="23">
        <f t="shared" si="959"/>
        <v>1.1499999999999999</v>
      </c>
      <c r="H881" s="4">
        <f t="shared" si="960"/>
        <v>3.5767E-2</v>
      </c>
      <c r="I881" s="2">
        <f t="shared" si="961"/>
        <v>0.76715990551181112</v>
      </c>
      <c r="J881" s="4">
        <f t="shared" si="962"/>
        <v>0.16653762948818884</v>
      </c>
      <c r="K881" s="4">
        <f t="shared" si="963"/>
        <v>0.93369753499999997</v>
      </c>
      <c r="L881" s="13">
        <f t="shared" si="964"/>
        <v>4.6065259117082578</v>
      </c>
      <c r="M881" s="3"/>
      <c r="N881" s="3"/>
    </row>
    <row r="882" spans="1:14" x14ac:dyDescent="0.2">
      <c r="A882" s="4">
        <v>488944</v>
      </c>
      <c r="B882" s="4">
        <v>100</v>
      </c>
      <c r="C882" s="4">
        <v>8</v>
      </c>
      <c r="D882" s="33">
        <v>2.85</v>
      </c>
      <c r="E882" s="23">
        <v>2.25</v>
      </c>
      <c r="F882" s="23">
        <f t="shared" si="958"/>
        <v>2.85</v>
      </c>
      <c r="G882" s="23">
        <f t="shared" si="959"/>
        <v>2.25</v>
      </c>
      <c r="H882" s="4">
        <f t="shared" si="960"/>
        <v>3.8630000000000001E-3</v>
      </c>
      <c r="I882" s="2">
        <f t="shared" si="961"/>
        <v>4.1428393700787408E-2</v>
      </c>
      <c r="J882" s="4">
        <f t="shared" si="962"/>
        <v>0.15587433129921258</v>
      </c>
      <c r="K882" s="4">
        <f t="shared" si="963"/>
        <v>0.19730272499999998</v>
      </c>
      <c r="L882" s="13">
        <f t="shared" si="964"/>
        <v>0.26578073089701004</v>
      </c>
      <c r="M882" s="3">
        <f t="shared" ref="M882" si="969">AVERAGE(I882:I883)</f>
        <v>4.1428393700787408E-2</v>
      </c>
      <c r="N882" s="3">
        <f t="shared" ref="N882" si="970">AVERAGE(J882:J883)</f>
        <v>0.15148982629921259</v>
      </c>
    </row>
    <row r="883" spans="1:14" x14ac:dyDescent="0.2">
      <c r="A883" s="4"/>
      <c r="B883" s="4">
        <v>100</v>
      </c>
      <c r="C883" s="4">
        <v>8</v>
      </c>
      <c r="D883" s="33">
        <v>2.75</v>
      </c>
      <c r="E883" s="23">
        <v>2.15</v>
      </c>
      <c r="F883" s="23">
        <f t="shared" si="958"/>
        <v>2.75</v>
      </c>
      <c r="G883" s="23">
        <f t="shared" si="959"/>
        <v>2.15</v>
      </c>
      <c r="H883" s="4">
        <f t="shared" si="960"/>
        <v>3.8630000000000001E-3</v>
      </c>
      <c r="I883" s="2">
        <f t="shared" si="961"/>
        <v>4.1428393700787408E-2</v>
      </c>
      <c r="J883" s="4">
        <f t="shared" si="962"/>
        <v>0.14710532129921261</v>
      </c>
      <c r="K883" s="4">
        <f t="shared" si="963"/>
        <v>0.18853371500000002</v>
      </c>
      <c r="L883" s="13">
        <f t="shared" si="964"/>
        <v>0.28162403191739033</v>
      </c>
      <c r="M883" s="3"/>
      <c r="N883" s="3"/>
    </row>
    <row r="884" spans="1:14" x14ac:dyDescent="0.2">
      <c r="A884" s="4">
        <v>488945</v>
      </c>
      <c r="B884" s="4">
        <v>100</v>
      </c>
      <c r="C884" s="4">
        <v>8</v>
      </c>
      <c r="D884" s="33">
        <v>4.8</v>
      </c>
      <c r="E884" s="23">
        <v>3.5</v>
      </c>
      <c r="F884" s="23">
        <f t="shared" si="958"/>
        <v>4.8</v>
      </c>
      <c r="G884" s="23">
        <f t="shared" si="959"/>
        <v>3.5</v>
      </c>
      <c r="H884" s="4">
        <f t="shared" si="960"/>
        <v>3.8630000000000001E-3</v>
      </c>
      <c r="I884" s="2">
        <f t="shared" si="961"/>
        <v>8.976151968503937E-2</v>
      </c>
      <c r="J884" s="4">
        <f t="shared" si="962"/>
        <v>0.21715383031496063</v>
      </c>
      <c r="K884" s="4">
        <f t="shared" si="963"/>
        <v>0.30691535000000003</v>
      </c>
      <c r="L884" s="13">
        <f t="shared" si="964"/>
        <v>0.41335453100158981</v>
      </c>
      <c r="M884" s="3">
        <f t="shared" ref="M884" si="971">AVERAGE(I884:I885)</f>
        <v>8.976151968503937E-2</v>
      </c>
      <c r="N884" s="3">
        <f t="shared" ref="N884" si="972">AVERAGE(J884:J885)</f>
        <v>0.20619256781496065</v>
      </c>
    </row>
    <row r="885" spans="1:14" x14ac:dyDescent="0.2">
      <c r="A885" s="4"/>
      <c r="B885" s="4">
        <v>100</v>
      </c>
      <c r="C885" s="4">
        <v>8</v>
      </c>
      <c r="D885" s="33">
        <v>4.55</v>
      </c>
      <c r="E885" s="23">
        <v>3.25</v>
      </c>
      <c r="F885" s="23">
        <f t="shared" si="958"/>
        <v>4.55</v>
      </c>
      <c r="G885" s="23">
        <f t="shared" si="959"/>
        <v>3.25</v>
      </c>
      <c r="H885" s="4">
        <f t="shared" si="960"/>
        <v>3.8630000000000001E-3</v>
      </c>
      <c r="I885" s="2">
        <f t="shared" si="961"/>
        <v>8.976151968503937E-2</v>
      </c>
      <c r="J885" s="4">
        <f t="shared" si="962"/>
        <v>0.19523130531496069</v>
      </c>
      <c r="K885" s="4">
        <f t="shared" si="963"/>
        <v>0.28499282500000006</v>
      </c>
      <c r="L885" s="13">
        <f t="shared" si="964"/>
        <v>0.45977011494252862</v>
      </c>
      <c r="M885" s="3"/>
      <c r="N885" s="3"/>
    </row>
    <row r="886" spans="1:14" x14ac:dyDescent="0.2">
      <c r="A886" s="4">
        <v>488946</v>
      </c>
      <c r="B886" s="4">
        <v>100</v>
      </c>
      <c r="C886" s="4">
        <v>8</v>
      </c>
      <c r="D886" s="33">
        <v>6.15</v>
      </c>
      <c r="E886" s="23">
        <v>4.1500000000000004</v>
      </c>
      <c r="F886" s="23">
        <f t="shared" si="958"/>
        <v>6.15</v>
      </c>
      <c r="G886" s="23">
        <f t="shared" si="959"/>
        <v>4.1500000000000004</v>
      </c>
      <c r="H886" s="4">
        <f t="shared" si="960"/>
        <v>3.8630000000000001E-3</v>
      </c>
      <c r="I886" s="2">
        <f t="shared" si="961"/>
        <v>0.13809464566929136</v>
      </c>
      <c r="J886" s="4">
        <f t="shared" si="962"/>
        <v>0.22581926933070873</v>
      </c>
      <c r="K886" s="4">
        <f t="shared" si="963"/>
        <v>0.36391391500000009</v>
      </c>
      <c r="L886" s="13">
        <f t="shared" si="964"/>
        <v>0.61152728940528966</v>
      </c>
      <c r="M886" s="3">
        <f t="shared" ref="M886" si="973">AVERAGE(I886:I887)</f>
        <v>0.13809464566929136</v>
      </c>
      <c r="N886" s="3">
        <f t="shared" ref="N886" si="974">AVERAGE(J886:J887)</f>
        <v>0.23020377433070871</v>
      </c>
    </row>
    <row r="887" spans="1:14" x14ac:dyDescent="0.2">
      <c r="A887" s="4"/>
      <c r="B887" s="4">
        <v>100</v>
      </c>
      <c r="C887" s="4">
        <v>8</v>
      </c>
      <c r="D887" s="33">
        <v>6.25</v>
      </c>
      <c r="E887" s="23">
        <v>4.25</v>
      </c>
      <c r="F887" s="23">
        <f t="shared" si="958"/>
        <v>6.25</v>
      </c>
      <c r="G887" s="23">
        <f t="shared" si="959"/>
        <v>4.25</v>
      </c>
      <c r="H887" s="4">
        <f t="shared" si="960"/>
        <v>3.8630000000000001E-3</v>
      </c>
      <c r="I887" s="2">
        <f t="shared" si="961"/>
        <v>0.13809464566929136</v>
      </c>
      <c r="J887" s="4">
        <f t="shared" si="962"/>
        <v>0.23458827933070869</v>
      </c>
      <c r="K887" s="4">
        <f t="shared" si="963"/>
        <v>0.37268292500000005</v>
      </c>
      <c r="L887" s="13">
        <f t="shared" si="964"/>
        <v>0.58866813833701248</v>
      </c>
      <c r="M887" s="3"/>
      <c r="N887" s="3"/>
    </row>
    <row r="888" spans="1:14" x14ac:dyDescent="0.2">
      <c r="A888" s="4">
        <v>488947</v>
      </c>
      <c r="B888" s="4">
        <v>100</v>
      </c>
      <c r="C888" s="4">
        <v>7</v>
      </c>
      <c r="D888" s="33">
        <v>4.05</v>
      </c>
      <c r="E888" s="23">
        <v>2.5499999999999998</v>
      </c>
      <c r="F888" s="23">
        <f t="shared" si="958"/>
        <v>4.05</v>
      </c>
      <c r="G888" s="23">
        <f t="shared" si="959"/>
        <v>2.5499999999999998</v>
      </c>
      <c r="H888" s="4">
        <f t="shared" si="960"/>
        <v>9.7450000000000002E-3</v>
      </c>
      <c r="I888" s="2">
        <f t="shared" si="961"/>
        <v>0.26127342519685043</v>
      </c>
      <c r="J888" s="4">
        <f t="shared" si="962"/>
        <v>0.30281589980314966</v>
      </c>
      <c r="K888" s="4">
        <f t="shared" si="963"/>
        <v>0.56408932500000009</v>
      </c>
      <c r="L888" s="13">
        <f t="shared" si="964"/>
        <v>0.86281276962899045</v>
      </c>
      <c r="M888" s="3">
        <f t="shared" ref="M888" si="975">AVERAGE(I888:I889)</f>
        <v>0.26998253937007877</v>
      </c>
      <c r="N888" s="3">
        <f t="shared" ref="N888" si="976">AVERAGE(J888:J889)</f>
        <v>0.29410678562992126</v>
      </c>
    </row>
    <row r="889" spans="1:14" x14ac:dyDescent="0.2">
      <c r="A889" s="4"/>
      <c r="B889" s="4">
        <v>100</v>
      </c>
      <c r="C889" s="4">
        <v>7</v>
      </c>
      <c r="D889" s="33">
        <v>4.1500000000000004</v>
      </c>
      <c r="E889" s="23">
        <v>2.5499999999999998</v>
      </c>
      <c r="F889" s="23">
        <f t="shared" si="958"/>
        <v>4.1500000000000004</v>
      </c>
      <c r="G889" s="23">
        <f t="shared" si="959"/>
        <v>2.5499999999999998</v>
      </c>
      <c r="H889" s="4">
        <f t="shared" si="960"/>
        <v>9.7450000000000002E-3</v>
      </c>
      <c r="I889" s="2">
        <f t="shared" si="961"/>
        <v>0.27869165354330716</v>
      </c>
      <c r="J889" s="4">
        <f t="shared" si="962"/>
        <v>0.28539767145669287</v>
      </c>
      <c r="K889" s="4">
        <f t="shared" si="963"/>
        <v>0.56408932500000009</v>
      </c>
      <c r="L889" s="13">
        <f t="shared" si="964"/>
        <v>0.97650289899298182</v>
      </c>
      <c r="M889" s="3"/>
      <c r="N889" s="3"/>
    </row>
    <row r="890" spans="1:14" x14ac:dyDescent="0.2">
      <c r="A890" s="4">
        <v>488948</v>
      </c>
      <c r="B890" s="4">
        <v>100</v>
      </c>
      <c r="C890" s="4">
        <v>6</v>
      </c>
      <c r="D890" s="33">
        <v>2.2999999999999998</v>
      </c>
      <c r="E890" s="23">
        <v>1.35</v>
      </c>
      <c r="F890" s="23">
        <f t="shared" si="958"/>
        <v>2.2999999999999998</v>
      </c>
      <c r="G890" s="23">
        <f t="shared" si="959"/>
        <v>1.35</v>
      </c>
      <c r="H890" s="4">
        <f t="shared" si="960"/>
        <v>3.5767E-2</v>
      </c>
      <c r="I890" s="2">
        <f t="shared" si="961"/>
        <v>0.60733492519685017</v>
      </c>
      <c r="J890" s="4">
        <f t="shared" si="962"/>
        <v>0.48874478980314989</v>
      </c>
      <c r="K890" s="4">
        <f t="shared" si="963"/>
        <v>1.0960797150000001</v>
      </c>
      <c r="L890" s="13">
        <f t="shared" si="964"/>
        <v>1.2426422498364933</v>
      </c>
      <c r="M890" s="3">
        <f t="shared" ref="M890" si="977">AVERAGE(I890:I891)</f>
        <v>0.63929992125984247</v>
      </c>
      <c r="N890" s="3">
        <f t="shared" ref="N890" si="978">AVERAGE(J890:J891)</f>
        <v>0.47707756624015751</v>
      </c>
    </row>
    <row r="891" spans="1:14" x14ac:dyDescent="0.2">
      <c r="A891" s="4"/>
      <c r="B891" s="4">
        <v>100</v>
      </c>
      <c r="C891" s="4">
        <v>6</v>
      </c>
      <c r="D891" s="33">
        <v>2.4500000000000002</v>
      </c>
      <c r="E891" s="23">
        <v>1.4</v>
      </c>
      <c r="F891" s="23">
        <f t="shared" si="958"/>
        <v>2.4500000000000002</v>
      </c>
      <c r="G891" s="23">
        <f t="shared" si="959"/>
        <v>1.4</v>
      </c>
      <c r="H891" s="4">
        <f t="shared" si="960"/>
        <v>3.5767E-2</v>
      </c>
      <c r="I891" s="2">
        <f t="shared" si="961"/>
        <v>0.67126491732283489</v>
      </c>
      <c r="J891" s="4">
        <f t="shared" si="962"/>
        <v>0.46541034267716519</v>
      </c>
      <c r="K891" s="4">
        <f t="shared" si="963"/>
        <v>1.1366752600000001</v>
      </c>
      <c r="L891" s="13">
        <f t="shared" si="964"/>
        <v>1.4423076923076934</v>
      </c>
      <c r="M891" s="3"/>
      <c r="N891" s="3"/>
    </row>
    <row r="892" spans="1:14" x14ac:dyDescent="0.2">
      <c r="A892" s="4">
        <v>488950</v>
      </c>
      <c r="B892" s="4">
        <v>100</v>
      </c>
      <c r="C892" s="4">
        <v>7</v>
      </c>
      <c r="D892" s="33">
        <v>6</v>
      </c>
      <c r="E892" s="23">
        <v>3.25</v>
      </c>
      <c r="F892" s="23">
        <f t="shared" si="958"/>
        <v>6</v>
      </c>
      <c r="G892" s="23">
        <f t="shared" si="959"/>
        <v>3.25</v>
      </c>
      <c r="H892" s="4">
        <f t="shared" si="960"/>
        <v>9.7450000000000002E-3</v>
      </c>
      <c r="I892" s="2">
        <f t="shared" si="961"/>
        <v>0.47900127952755911</v>
      </c>
      <c r="J892" s="4">
        <f t="shared" si="962"/>
        <v>0.23993609547244102</v>
      </c>
      <c r="K892" s="4">
        <f t="shared" si="963"/>
        <v>0.7189373750000001</v>
      </c>
      <c r="L892" s="13">
        <f t="shared" si="964"/>
        <v>1.9963702359346638</v>
      </c>
      <c r="M892" s="3">
        <f t="shared" ref="M892" si="979">AVERAGE(I892:I893)</f>
        <v>0.50948317913385832</v>
      </c>
      <c r="N892" s="3">
        <f t="shared" ref="N892" si="980">AVERAGE(J892:J893)</f>
        <v>0.2260450583661418</v>
      </c>
    </row>
    <row r="893" spans="1:14" x14ac:dyDescent="0.2">
      <c r="A893" s="4"/>
      <c r="B893" s="4">
        <v>100</v>
      </c>
      <c r="C893" s="4">
        <v>7</v>
      </c>
      <c r="D893" s="33">
        <v>6.5</v>
      </c>
      <c r="E893" s="23">
        <v>3.4</v>
      </c>
      <c r="F893" s="23">
        <f t="shared" si="958"/>
        <v>6.5</v>
      </c>
      <c r="G893" s="23">
        <f t="shared" si="959"/>
        <v>3.4</v>
      </c>
      <c r="H893" s="4">
        <f t="shared" si="960"/>
        <v>9.7450000000000002E-3</v>
      </c>
      <c r="I893" s="2">
        <f t="shared" si="961"/>
        <v>0.53996507874015753</v>
      </c>
      <c r="J893" s="4">
        <f t="shared" si="962"/>
        <v>0.21215402125984259</v>
      </c>
      <c r="K893" s="4">
        <f t="shared" si="963"/>
        <v>0.75211910000000015</v>
      </c>
      <c r="L893" s="13">
        <f t="shared" si="964"/>
        <v>2.5451559934318548</v>
      </c>
      <c r="M893" s="3"/>
      <c r="N893" s="3"/>
    </row>
    <row r="894" spans="1:14" x14ac:dyDescent="0.2">
      <c r="A894" s="4">
        <v>488951</v>
      </c>
      <c r="B894" s="4">
        <v>100</v>
      </c>
      <c r="C894" s="4">
        <v>7</v>
      </c>
      <c r="D894" s="33">
        <v>5.95</v>
      </c>
      <c r="E894" s="23">
        <v>3.15</v>
      </c>
      <c r="F894" s="23">
        <f t="shared" si="958"/>
        <v>5.95</v>
      </c>
      <c r="G894" s="23">
        <f t="shared" si="959"/>
        <v>3.15</v>
      </c>
      <c r="H894" s="4">
        <f t="shared" si="960"/>
        <v>9.7450000000000002E-3</v>
      </c>
      <c r="I894" s="2">
        <f t="shared" si="961"/>
        <v>0.48771039370078745</v>
      </c>
      <c r="J894" s="4">
        <f t="shared" si="962"/>
        <v>0.20910583129921256</v>
      </c>
      <c r="K894" s="4">
        <f t="shared" si="963"/>
        <v>0.69681622500000007</v>
      </c>
      <c r="L894" s="13">
        <f t="shared" si="964"/>
        <v>2.332361516034986</v>
      </c>
      <c r="M894" s="3">
        <f t="shared" ref="M894" si="981">AVERAGE(I894:I895)</f>
        <v>0.49206495078740164</v>
      </c>
      <c r="N894" s="3">
        <f t="shared" ref="N894" si="982">AVERAGE(J894:J895)</f>
        <v>0.22134213671259836</v>
      </c>
    </row>
    <row r="895" spans="1:14" x14ac:dyDescent="0.2">
      <c r="A895" s="4"/>
      <c r="B895" s="4">
        <v>100</v>
      </c>
      <c r="C895" s="4">
        <v>7</v>
      </c>
      <c r="D895" s="33">
        <v>6.15</v>
      </c>
      <c r="E895" s="23">
        <v>3.3</v>
      </c>
      <c r="F895" s="23">
        <f t="shared" si="958"/>
        <v>6.15</v>
      </c>
      <c r="G895" s="23">
        <f t="shared" si="959"/>
        <v>3.3</v>
      </c>
      <c r="H895" s="4">
        <f t="shared" si="960"/>
        <v>9.7450000000000002E-3</v>
      </c>
      <c r="I895" s="2">
        <f t="shared" si="961"/>
        <v>0.49641950787401584</v>
      </c>
      <c r="J895" s="4">
        <f t="shared" si="962"/>
        <v>0.23357844212598416</v>
      </c>
      <c r="K895" s="4">
        <f t="shared" si="963"/>
        <v>0.72999795000000001</v>
      </c>
      <c r="L895" s="13">
        <f t="shared" si="964"/>
        <v>2.1252796420581666</v>
      </c>
      <c r="M895" s="3"/>
      <c r="N895" s="3"/>
    </row>
    <row r="896" spans="1:14" x14ac:dyDescent="0.2">
      <c r="A896" s="31">
        <v>488259</v>
      </c>
      <c r="B896" s="4">
        <v>100</v>
      </c>
      <c r="C896" s="4">
        <v>6</v>
      </c>
      <c r="D896" s="33">
        <v>2.65</v>
      </c>
      <c r="E896" s="23">
        <v>1.35</v>
      </c>
      <c r="F896" s="23">
        <f t="shared" si="958"/>
        <v>2.65</v>
      </c>
      <c r="G896" s="23">
        <f t="shared" si="959"/>
        <v>1.35</v>
      </c>
      <c r="H896" s="4">
        <f t="shared" si="960"/>
        <v>3.5767E-2</v>
      </c>
      <c r="I896" s="2">
        <f t="shared" si="961"/>
        <v>0.83108989763779517</v>
      </c>
      <c r="J896" s="4">
        <f t="shared" si="962"/>
        <v>0.26498981736220484</v>
      </c>
      <c r="K896" s="4">
        <f t="shared" si="963"/>
        <v>1.0960797150000001</v>
      </c>
      <c r="L896" s="13">
        <f t="shared" si="964"/>
        <v>3.1363088057901067</v>
      </c>
      <c r="M896" s="3">
        <f t="shared" ref="M896" si="983">AVERAGE(I896:I897)</f>
        <v>0.83108989763779517</v>
      </c>
      <c r="N896" s="3">
        <f t="shared" ref="N896" si="984">AVERAGE(J896:J897)</f>
        <v>0.24469204486220475</v>
      </c>
    </row>
    <row r="897" spans="1:14" x14ac:dyDescent="0.2">
      <c r="A897" s="4"/>
      <c r="B897" s="4">
        <v>100</v>
      </c>
      <c r="C897" s="4">
        <v>6</v>
      </c>
      <c r="D897" s="33">
        <v>2.6</v>
      </c>
      <c r="E897" s="23">
        <v>1.3</v>
      </c>
      <c r="F897" s="23">
        <f t="shared" si="958"/>
        <v>2.6</v>
      </c>
      <c r="G897" s="23">
        <f t="shared" si="959"/>
        <v>1.3</v>
      </c>
      <c r="H897" s="4">
        <f t="shared" si="960"/>
        <v>3.5767E-2</v>
      </c>
      <c r="I897" s="2">
        <f t="shared" si="961"/>
        <v>0.83108989763779528</v>
      </c>
      <c r="J897" s="4">
        <f t="shared" si="962"/>
        <v>0.22439427236220463</v>
      </c>
      <c r="K897" s="4">
        <f t="shared" si="963"/>
        <v>1.0554841699999999</v>
      </c>
      <c r="L897" s="13">
        <f t="shared" si="964"/>
        <v>3.7037037037037051</v>
      </c>
      <c r="M897" s="3"/>
      <c r="N897" s="3"/>
    </row>
    <row r="898" spans="1:14" x14ac:dyDescent="0.2">
      <c r="A898" s="4">
        <v>488956</v>
      </c>
      <c r="B898" s="4">
        <v>100</v>
      </c>
      <c r="C898" s="4">
        <v>8</v>
      </c>
      <c r="D898" s="33">
        <v>2</v>
      </c>
      <c r="E898" s="23">
        <v>1.6</v>
      </c>
      <c r="F898" s="23">
        <f t="shared" ref="F898:F961" si="985">IF($C898=5,D898-$D$5,IF($C898=6,D898-$D$6,IF($C898=7,D898-$D$7,IF($C898=8,D898-$D$8,D898))))</f>
        <v>2</v>
      </c>
      <c r="G898" s="23">
        <f t="shared" ref="G898:G961" si="986">IF($C898=5,E898-$D$5,IF($C898=6,E898-$D$6,IF($C898=7,E898-$D$7,IF($C898=8,E898-$D$8,E898))))</f>
        <v>1.6</v>
      </c>
      <c r="H898" s="4">
        <f t="shared" ref="H898:H961" si="987">IF(C898=1,32.7101,IF(C898=2,8.14893,IF(C898=3,1.42818,IF(C898=4,0.44041,IF(C898=5,0.123026,IF(C898=6,0.035767,IF(C898=7,0.009745,0.003863)))))))</f>
        <v>3.8630000000000001E-3</v>
      </c>
      <c r="I898" s="2">
        <f t="shared" ref="I898:I961" si="988">H898*$A$3*(F898-G898)*1000/B898</f>
        <v>2.7618929133858265E-2</v>
      </c>
      <c r="J898" s="4">
        <f t="shared" ref="J898:J961" si="989">2.27*($A$3*G898-($A$3-1)*F898)*H898*1000/B898</f>
        <v>0.11268523086614175</v>
      </c>
      <c r="K898" s="4">
        <f t="shared" ref="K898:K961" si="990">(I898+J898)</f>
        <v>0.14030416000000001</v>
      </c>
      <c r="L898" s="13">
        <f t="shared" ref="L898:L961" si="991">(I898/J898)</f>
        <v>0.24509803921568621</v>
      </c>
      <c r="M898" s="3">
        <f t="shared" ref="M898" si="992">AVERAGE(I898:I899)</f>
        <v>2.9345112204724404E-2</v>
      </c>
      <c r="N898" s="3">
        <f t="shared" ref="N898" si="993">AVERAGE(J898:J899)</f>
        <v>8.9036522795275602E-2</v>
      </c>
    </row>
    <row r="899" spans="1:14" x14ac:dyDescent="0.2">
      <c r="A899" s="4"/>
      <c r="B899" s="4">
        <v>100</v>
      </c>
      <c r="C899" s="4">
        <v>8</v>
      </c>
      <c r="D899" s="33">
        <v>1.55</v>
      </c>
      <c r="E899" s="23">
        <v>1.1000000000000001</v>
      </c>
      <c r="F899" s="23">
        <f t="shared" si="985"/>
        <v>1.55</v>
      </c>
      <c r="G899" s="23">
        <f t="shared" si="986"/>
        <v>1.1000000000000001</v>
      </c>
      <c r="H899" s="4">
        <f t="shared" si="987"/>
        <v>3.8630000000000001E-3</v>
      </c>
      <c r="I899" s="2">
        <f t="shared" si="988"/>
        <v>3.1071295275590546E-2</v>
      </c>
      <c r="J899" s="4">
        <f t="shared" si="989"/>
        <v>6.5387814724409465E-2</v>
      </c>
      <c r="K899" s="4">
        <f t="shared" si="990"/>
        <v>9.6459110000000015E-2</v>
      </c>
      <c r="L899" s="13">
        <f t="shared" si="991"/>
        <v>0.47518479408658904</v>
      </c>
      <c r="M899" s="3"/>
      <c r="N899" s="3"/>
    </row>
    <row r="900" spans="1:14" x14ac:dyDescent="0.2">
      <c r="A900" s="4">
        <v>488957</v>
      </c>
      <c r="B900" s="4">
        <v>100</v>
      </c>
      <c r="C900" s="4">
        <v>8</v>
      </c>
      <c r="D900" s="33">
        <v>2.75</v>
      </c>
      <c r="E900" s="23">
        <v>2</v>
      </c>
      <c r="F900" s="23">
        <f t="shared" si="985"/>
        <v>2.75</v>
      </c>
      <c r="G900" s="23">
        <f t="shared" si="986"/>
        <v>2</v>
      </c>
      <c r="H900" s="4">
        <f t="shared" si="987"/>
        <v>3.8630000000000001E-3</v>
      </c>
      <c r="I900" s="2">
        <f t="shared" si="988"/>
        <v>5.1785492125984253E-2</v>
      </c>
      <c r="J900" s="4">
        <f t="shared" si="989"/>
        <v>0.12359470787401575</v>
      </c>
      <c r="K900" s="4">
        <f t="shared" si="990"/>
        <v>0.17538019999999999</v>
      </c>
      <c r="L900" s="13">
        <f t="shared" si="991"/>
        <v>0.41899441340782123</v>
      </c>
      <c r="M900" s="3">
        <f t="shared" ref="M900" si="994">AVERAGE(I900:I901)</f>
        <v>5.5237858267716544E-2</v>
      </c>
      <c r="N900" s="3">
        <f t="shared" ref="N900" si="995">AVERAGE(J900:J901)</f>
        <v>0.11575783673228347</v>
      </c>
    </row>
    <row r="901" spans="1:14" x14ac:dyDescent="0.2">
      <c r="A901" s="4"/>
      <c r="B901" s="4">
        <v>100</v>
      </c>
      <c r="C901" s="4">
        <v>8</v>
      </c>
      <c r="D901" s="33">
        <v>2.75</v>
      </c>
      <c r="E901" s="23">
        <v>1.9</v>
      </c>
      <c r="F901" s="23">
        <f t="shared" si="985"/>
        <v>2.75</v>
      </c>
      <c r="G901" s="23">
        <f t="shared" si="986"/>
        <v>1.9</v>
      </c>
      <c r="H901" s="4">
        <f t="shared" si="987"/>
        <v>3.8630000000000001E-3</v>
      </c>
      <c r="I901" s="2">
        <f t="shared" si="988"/>
        <v>5.8690224409448828E-2</v>
      </c>
      <c r="J901" s="4">
        <f t="shared" si="989"/>
        <v>0.1079209655905512</v>
      </c>
      <c r="K901" s="4">
        <f t="shared" si="990"/>
        <v>0.16661119000000002</v>
      </c>
      <c r="L901" s="13">
        <f t="shared" si="991"/>
        <v>0.54382597568777991</v>
      </c>
      <c r="M901" s="3"/>
      <c r="N901" s="3"/>
    </row>
    <row r="902" spans="1:14" x14ac:dyDescent="0.2">
      <c r="A902" s="4">
        <v>488958</v>
      </c>
      <c r="B902" s="4">
        <v>100</v>
      </c>
      <c r="C902" s="4">
        <v>8</v>
      </c>
      <c r="D902" s="33">
        <v>7</v>
      </c>
      <c r="E902" s="23">
        <v>4.3499999999999996</v>
      </c>
      <c r="F902" s="23">
        <f t="shared" si="985"/>
        <v>7</v>
      </c>
      <c r="G902" s="23">
        <f t="shared" si="986"/>
        <v>4.3499999999999996</v>
      </c>
      <c r="H902" s="4">
        <f t="shared" si="987"/>
        <v>3.8630000000000001E-3</v>
      </c>
      <c r="I902" s="2">
        <f t="shared" si="988"/>
        <v>0.18297540551181105</v>
      </c>
      <c r="J902" s="4">
        <f t="shared" si="989"/>
        <v>0.19847652948818895</v>
      </c>
      <c r="K902" s="4">
        <f t="shared" si="990"/>
        <v>0.38145193499999996</v>
      </c>
      <c r="L902" s="13">
        <f t="shared" si="991"/>
        <v>0.92189946077578733</v>
      </c>
      <c r="M902" s="3">
        <f t="shared" ref="M902" si="996">AVERAGE(I902:I903)</f>
        <v>0.17607067322834649</v>
      </c>
      <c r="N902" s="3">
        <f t="shared" ref="N902" si="997">AVERAGE(J902:J903)</f>
        <v>0.21195801927165348</v>
      </c>
    </row>
    <row r="903" spans="1:14" x14ac:dyDescent="0.2">
      <c r="A903" s="4"/>
      <c r="B903" s="4">
        <v>100</v>
      </c>
      <c r="C903" s="4">
        <v>8</v>
      </c>
      <c r="D903" s="33">
        <v>6.95</v>
      </c>
      <c r="E903" s="23">
        <v>4.5</v>
      </c>
      <c r="F903" s="23">
        <f t="shared" si="985"/>
        <v>6.95</v>
      </c>
      <c r="G903" s="23">
        <f t="shared" si="986"/>
        <v>4.5</v>
      </c>
      <c r="H903" s="4">
        <f t="shared" si="987"/>
        <v>3.8630000000000001E-3</v>
      </c>
      <c r="I903" s="2">
        <f t="shared" si="988"/>
        <v>0.16916594094488194</v>
      </c>
      <c r="J903" s="4">
        <f t="shared" si="989"/>
        <v>0.22543950905511803</v>
      </c>
      <c r="K903" s="4">
        <f t="shared" si="990"/>
        <v>0.39460544999999997</v>
      </c>
      <c r="L903" s="13">
        <f t="shared" si="991"/>
        <v>0.75038284839203717</v>
      </c>
      <c r="M903" s="3"/>
      <c r="N903" s="3"/>
    </row>
    <row r="904" spans="1:14" x14ac:dyDescent="0.2">
      <c r="A904" s="4">
        <v>488959</v>
      </c>
      <c r="B904" s="4">
        <v>100</v>
      </c>
      <c r="C904" s="4">
        <v>7</v>
      </c>
      <c r="D904" s="33">
        <v>3.55</v>
      </c>
      <c r="E904" s="23">
        <v>2.2000000000000002</v>
      </c>
      <c r="F904" s="23">
        <f t="shared" si="985"/>
        <v>3.55</v>
      </c>
      <c r="G904" s="23">
        <f t="shared" si="986"/>
        <v>2.2000000000000002</v>
      </c>
      <c r="H904" s="4">
        <f t="shared" si="987"/>
        <v>9.7450000000000002E-3</v>
      </c>
      <c r="I904" s="2">
        <f t="shared" si="988"/>
        <v>0.23514608267716533</v>
      </c>
      <c r="J904" s="4">
        <f t="shared" si="989"/>
        <v>0.25151921732283478</v>
      </c>
      <c r="K904" s="4">
        <f t="shared" si="990"/>
        <v>0.48666530000000008</v>
      </c>
      <c r="L904" s="13">
        <f t="shared" si="991"/>
        <v>0.93490304709141214</v>
      </c>
      <c r="M904" s="3">
        <f t="shared" ref="M904" si="998">AVERAGE(I904:I905)</f>
        <v>0.22643696850393699</v>
      </c>
      <c r="N904" s="3">
        <f t="shared" ref="N904" si="999">AVERAGE(J904:J905)</f>
        <v>0.23810718149606308</v>
      </c>
    </row>
    <row r="905" spans="1:14" x14ac:dyDescent="0.2">
      <c r="A905" s="4"/>
      <c r="B905" s="4">
        <v>100</v>
      </c>
      <c r="C905" s="4">
        <v>7</v>
      </c>
      <c r="D905" s="33">
        <v>3.25</v>
      </c>
      <c r="E905" s="23">
        <v>2</v>
      </c>
      <c r="F905" s="23">
        <f t="shared" si="985"/>
        <v>3.25</v>
      </c>
      <c r="G905" s="23">
        <f t="shared" si="986"/>
        <v>2</v>
      </c>
      <c r="H905" s="4">
        <f t="shared" si="987"/>
        <v>9.7450000000000002E-3</v>
      </c>
      <c r="I905" s="2">
        <f t="shared" si="988"/>
        <v>0.21772785433070865</v>
      </c>
      <c r="J905" s="4">
        <f t="shared" si="989"/>
        <v>0.22469514566929136</v>
      </c>
      <c r="K905" s="4">
        <f t="shared" si="990"/>
        <v>0.44242300000000001</v>
      </c>
      <c r="L905" s="13">
        <f t="shared" si="991"/>
        <v>0.96899224806201534</v>
      </c>
      <c r="M905" s="3"/>
      <c r="N905" s="3"/>
    </row>
    <row r="906" spans="1:14" x14ac:dyDescent="0.2">
      <c r="A906" s="4">
        <v>488960</v>
      </c>
      <c r="B906" s="4">
        <v>100</v>
      </c>
      <c r="C906" s="4">
        <v>7</v>
      </c>
      <c r="D906" s="33">
        <v>5.75</v>
      </c>
      <c r="E906" s="23">
        <v>3.35</v>
      </c>
      <c r="F906" s="23">
        <f t="shared" si="985"/>
        <v>5.75</v>
      </c>
      <c r="G906" s="23">
        <f t="shared" si="986"/>
        <v>3.35</v>
      </c>
      <c r="H906" s="4">
        <f t="shared" si="987"/>
        <v>9.7450000000000002E-3</v>
      </c>
      <c r="I906" s="2">
        <f t="shared" si="988"/>
        <v>0.41803748031496063</v>
      </c>
      <c r="J906" s="4">
        <f t="shared" si="989"/>
        <v>0.32302104468503939</v>
      </c>
      <c r="K906" s="4">
        <f t="shared" si="990"/>
        <v>0.74105852500000002</v>
      </c>
      <c r="L906" s="13">
        <f t="shared" si="991"/>
        <v>1.2941493664060393</v>
      </c>
      <c r="M906" s="3">
        <f t="shared" ref="M906" si="1000">AVERAGE(I906:I907)</f>
        <v>0.42239203740157483</v>
      </c>
      <c r="N906" s="3">
        <f t="shared" ref="N906" si="1001">AVERAGE(J906:J907)</f>
        <v>0.27995447509842519</v>
      </c>
    </row>
    <row r="907" spans="1:14" x14ac:dyDescent="0.2">
      <c r="A907" s="4"/>
      <c r="B907" s="4">
        <v>100</v>
      </c>
      <c r="C907" s="4">
        <v>7</v>
      </c>
      <c r="D907" s="33">
        <v>5.45</v>
      </c>
      <c r="E907" s="23">
        <v>3</v>
      </c>
      <c r="F907" s="23">
        <f t="shared" si="985"/>
        <v>5.45</v>
      </c>
      <c r="G907" s="23">
        <f t="shared" si="986"/>
        <v>3</v>
      </c>
      <c r="H907" s="4">
        <f t="shared" si="987"/>
        <v>9.7450000000000002E-3</v>
      </c>
      <c r="I907" s="2">
        <f t="shared" si="988"/>
        <v>0.42674659448818902</v>
      </c>
      <c r="J907" s="4">
        <f t="shared" si="989"/>
        <v>0.23688790551181105</v>
      </c>
      <c r="K907" s="4">
        <f t="shared" si="990"/>
        <v>0.66363450000000013</v>
      </c>
      <c r="L907" s="13">
        <f t="shared" si="991"/>
        <v>1.8014705882352942</v>
      </c>
      <c r="M907" s="3"/>
      <c r="N907" s="3"/>
    </row>
    <row r="908" spans="1:14" x14ac:dyDescent="0.2">
      <c r="A908" s="4">
        <v>488961</v>
      </c>
      <c r="B908" s="4">
        <v>100</v>
      </c>
      <c r="C908" s="4">
        <v>6</v>
      </c>
      <c r="D908" s="33">
        <v>2.4500000000000002</v>
      </c>
      <c r="E908" s="23">
        <v>1.3</v>
      </c>
      <c r="F908" s="23">
        <f t="shared" si="985"/>
        <v>2.4500000000000002</v>
      </c>
      <c r="G908" s="23">
        <f t="shared" si="986"/>
        <v>1.3</v>
      </c>
      <c r="H908" s="4">
        <f t="shared" si="987"/>
        <v>3.5767E-2</v>
      </c>
      <c r="I908" s="2">
        <f t="shared" si="988"/>
        <v>0.73519490944881893</v>
      </c>
      <c r="J908" s="4">
        <f t="shared" si="989"/>
        <v>0.32028926055118107</v>
      </c>
      <c r="K908" s="4">
        <f t="shared" si="990"/>
        <v>1.0554841699999999</v>
      </c>
      <c r="L908" s="13">
        <f t="shared" si="991"/>
        <v>2.2954091816367268</v>
      </c>
      <c r="M908" s="3">
        <f t="shared" ref="M908" si="1002">AVERAGE(I908:I909)</f>
        <v>0.70322991338582674</v>
      </c>
      <c r="N908" s="3">
        <f t="shared" ref="N908" si="1003">AVERAGE(J908:J909)</f>
        <v>0.33195648411417333</v>
      </c>
    </row>
    <row r="909" spans="1:14" x14ac:dyDescent="0.2">
      <c r="A909" s="4"/>
      <c r="B909" s="4">
        <v>100</v>
      </c>
      <c r="C909" s="4">
        <v>6</v>
      </c>
      <c r="D909" s="33">
        <v>2.2999999999999998</v>
      </c>
      <c r="E909" s="23">
        <v>1.25</v>
      </c>
      <c r="F909" s="23">
        <f t="shared" si="985"/>
        <v>2.2999999999999998</v>
      </c>
      <c r="G909" s="23">
        <f t="shared" si="986"/>
        <v>1.25</v>
      </c>
      <c r="H909" s="4">
        <f t="shared" si="987"/>
        <v>3.5767E-2</v>
      </c>
      <c r="I909" s="2">
        <f t="shared" si="988"/>
        <v>0.67126491732283455</v>
      </c>
      <c r="J909" s="4">
        <f t="shared" si="989"/>
        <v>0.3436237076771656</v>
      </c>
      <c r="K909" s="4">
        <f t="shared" si="990"/>
        <v>1.0148886250000002</v>
      </c>
      <c r="L909" s="13">
        <f t="shared" si="991"/>
        <v>1.9534883720930216</v>
      </c>
      <c r="M909" s="3"/>
      <c r="N909" s="3"/>
    </row>
    <row r="910" spans="1:14" x14ac:dyDescent="0.2">
      <c r="A910" s="4">
        <v>488962</v>
      </c>
      <c r="B910" s="4">
        <v>100</v>
      </c>
      <c r="C910" s="4">
        <v>6</v>
      </c>
      <c r="D910" s="33">
        <v>3</v>
      </c>
      <c r="E910" s="23">
        <v>1.5</v>
      </c>
      <c r="F910" s="23">
        <f t="shared" si="985"/>
        <v>3</v>
      </c>
      <c r="G910" s="23">
        <f t="shared" si="986"/>
        <v>1.5</v>
      </c>
      <c r="H910" s="4">
        <f t="shared" si="987"/>
        <v>3.5767E-2</v>
      </c>
      <c r="I910" s="2">
        <f t="shared" si="988"/>
        <v>0.95894988188976371</v>
      </c>
      <c r="J910" s="4">
        <f t="shared" si="989"/>
        <v>0.25891646811023611</v>
      </c>
      <c r="K910" s="4">
        <f t="shared" si="990"/>
        <v>1.2178663499999998</v>
      </c>
      <c r="L910" s="13">
        <f t="shared" si="991"/>
        <v>3.7037037037037051</v>
      </c>
      <c r="M910" s="3">
        <f t="shared" ref="M910" si="1004">AVERAGE(I910:I911)</f>
        <v>0.95894988188976371</v>
      </c>
      <c r="N910" s="3">
        <f t="shared" ref="N910" si="1005">AVERAGE(J910:J911)</f>
        <v>0.25891646811023611</v>
      </c>
    </row>
    <row r="911" spans="1:14" x14ac:dyDescent="0.2">
      <c r="A911" s="4"/>
      <c r="B911" s="4">
        <v>100</v>
      </c>
      <c r="C911" s="4">
        <v>6</v>
      </c>
      <c r="D911" s="33">
        <v>3</v>
      </c>
      <c r="E911" s="23">
        <v>1.5</v>
      </c>
      <c r="F911" s="23">
        <f t="shared" si="985"/>
        <v>3</v>
      </c>
      <c r="G911" s="23">
        <f t="shared" si="986"/>
        <v>1.5</v>
      </c>
      <c r="H911" s="4">
        <f t="shared" si="987"/>
        <v>3.5767E-2</v>
      </c>
      <c r="I911" s="2">
        <f t="shared" si="988"/>
        <v>0.95894988188976371</v>
      </c>
      <c r="J911" s="4">
        <f t="shared" si="989"/>
        <v>0.25891646811023611</v>
      </c>
      <c r="K911" s="4">
        <f t="shared" si="990"/>
        <v>1.2178663499999998</v>
      </c>
      <c r="L911" s="13">
        <f t="shared" si="991"/>
        <v>3.7037037037037051</v>
      </c>
      <c r="M911" s="3"/>
      <c r="N911" s="3"/>
    </row>
    <row r="912" spans="1:14" x14ac:dyDescent="0.2">
      <c r="A912" s="4">
        <v>488963</v>
      </c>
      <c r="B912" s="4">
        <v>100</v>
      </c>
      <c r="C912" s="4">
        <v>6</v>
      </c>
      <c r="D912" s="33">
        <v>2.8</v>
      </c>
      <c r="E912" s="23">
        <v>1.35</v>
      </c>
      <c r="F912" s="23">
        <f t="shared" si="985"/>
        <v>2.8</v>
      </c>
      <c r="G912" s="23">
        <f t="shared" si="986"/>
        <v>1.35</v>
      </c>
      <c r="H912" s="4">
        <f t="shared" si="987"/>
        <v>3.5767E-2</v>
      </c>
      <c r="I912" s="2">
        <f t="shared" si="988"/>
        <v>0.92698488582677152</v>
      </c>
      <c r="J912" s="4">
        <f t="shared" si="989"/>
        <v>0.16909482917322863</v>
      </c>
      <c r="K912" s="4">
        <f t="shared" si="990"/>
        <v>1.0960797150000001</v>
      </c>
      <c r="L912" s="13">
        <f t="shared" si="991"/>
        <v>5.4820415879016915</v>
      </c>
      <c r="M912" s="3">
        <f t="shared" ref="M912" si="1006">AVERAGE(I912:I913)</f>
        <v>0.91100238779527565</v>
      </c>
      <c r="N912" s="3">
        <f t="shared" ref="N912" si="1007">AVERAGE(J912:J913)</f>
        <v>0.16477955470472455</v>
      </c>
    </row>
    <row r="913" spans="1:14" x14ac:dyDescent="0.2">
      <c r="A913" s="4"/>
      <c r="B913" s="4">
        <v>100</v>
      </c>
      <c r="C913" s="4">
        <v>6</v>
      </c>
      <c r="D913" s="33">
        <v>2.7</v>
      </c>
      <c r="E913" s="23">
        <v>1.3</v>
      </c>
      <c r="F913" s="23">
        <f t="shared" si="985"/>
        <v>2.7</v>
      </c>
      <c r="G913" s="23">
        <f t="shared" si="986"/>
        <v>1.3</v>
      </c>
      <c r="H913" s="4">
        <f t="shared" si="987"/>
        <v>3.5767E-2</v>
      </c>
      <c r="I913" s="2">
        <f t="shared" si="988"/>
        <v>0.89501988976377977</v>
      </c>
      <c r="J913" s="4">
        <f t="shared" si="989"/>
        <v>0.16046428023622045</v>
      </c>
      <c r="K913" s="4">
        <f t="shared" si="990"/>
        <v>1.0554841700000002</v>
      </c>
      <c r="L913" s="13">
        <f t="shared" si="991"/>
        <v>5.5776892430278906</v>
      </c>
      <c r="M913" s="3"/>
      <c r="N913" s="3"/>
    </row>
    <row r="914" spans="1:14" x14ac:dyDescent="0.2">
      <c r="A914" s="4">
        <v>488964</v>
      </c>
      <c r="B914" s="4">
        <v>100</v>
      </c>
      <c r="C914" s="4">
        <v>6</v>
      </c>
      <c r="D914" s="33">
        <v>2.7</v>
      </c>
      <c r="E914" s="23">
        <v>1.35</v>
      </c>
      <c r="F914" s="23">
        <f t="shared" si="985"/>
        <v>2.7</v>
      </c>
      <c r="G914" s="23">
        <f t="shared" si="986"/>
        <v>1.35</v>
      </c>
      <c r="H914" s="4">
        <f t="shared" si="987"/>
        <v>3.5767E-2</v>
      </c>
      <c r="I914" s="2">
        <f t="shared" si="988"/>
        <v>0.86305489370078747</v>
      </c>
      <c r="J914" s="4">
        <f t="shared" si="989"/>
        <v>0.23302482129921276</v>
      </c>
      <c r="K914" s="4">
        <f t="shared" si="990"/>
        <v>1.0960797150000001</v>
      </c>
      <c r="L914" s="13">
        <f t="shared" si="991"/>
        <v>3.7037037037037015</v>
      </c>
      <c r="M914" s="3">
        <f t="shared" ref="M914" si="1008">AVERAGE(I914:I915)</f>
        <v>0.89501988976377955</v>
      </c>
      <c r="N914" s="3">
        <f t="shared" ref="N914" si="1009">AVERAGE(J914:J915)</f>
        <v>0.24165537023622052</v>
      </c>
    </row>
    <row r="915" spans="1:14" x14ac:dyDescent="0.2">
      <c r="A915" s="4"/>
      <c r="B915" s="4">
        <v>100</v>
      </c>
      <c r="C915" s="4">
        <v>6</v>
      </c>
      <c r="D915" s="33">
        <v>2.9</v>
      </c>
      <c r="E915" s="23">
        <v>1.45</v>
      </c>
      <c r="F915" s="23">
        <f t="shared" si="985"/>
        <v>2.9</v>
      </c>
      <c r="G915" s="23">
        <f t="shared" si="986"/>
        <v>1.45</v>
      </c>
      <c r="H915" s="4">
        <f t="shared" si="987"/>
        <v>3.5767E-2</v>
      </c>
      <c r="I915" s="2">
        <f t="shared" si="988"/>
        <v>0.92698488582677174</v>
      </c>
      <c r="J915" s="4">
        <f t="shared" si="989"/>
        <v>0.25028591917322829</v>
      </c>
      <c r="K915" s="4">
        <f t="shared" si="990"/>
        <v>1.177270805</v>
      </c>
      <c r="L915" s="13">
        <f t="shared" si="991"/>
        <v>3.7037037037037051</v>
      </c>
      <c r="M915" s="3"/>
      <c r="N915" s="3"/>
    </row>
    <row r="916" spans="1:14" x14ac:dyDescent="0.2">
      <c r="A916" s="4">
        <v>488970</v>
      </c>
      <c r="B916" s="4">
        <v>100</v>
      </c>
      <c r="C916" s="4">
        <v>8</v>
      </c>
      <c r="D916" s="33">
        <v>1.55</v>
      </c>
      <c r="E916" s="23">
        <v>1.05</v>
      </c>
      <c r="F916" s="23">
        <f t="shared" si="985"/>
        <v>1.55</v>
      </c>
      <c r="G916" s="23">
        <f t="shared" si="986"/>
        <v>1.05</v>
      </c>
      <c r="H916" s="4">
        <f t="shared" si="987"/>
        <v>3.8630000000000001E-3</v>
      </c>
      <c r="I916" s="2">
        <f t="shared" si="988"/>
        <v>3.452366141732284E-2</v>
      </c>
      <c r="J916" s="4">
        <f t="shared" si="989"/>
        <v>5.7550943582677178E-2</v>
      </c>
      <c r="K916" s="4">
        <f t="shared" si="990"/>
        <v>9.2074605000000018E-2</v>
      </c>
      <c r="L916" s="13">
        <f t="shared" si="991"/>
        <v>0.59988002399520091</v>
      </c>
      <c r="M916" s="3">
        <f t="shared" ref="M916" si="1010">AVERAGE(I916:I917)</f>
        <v>3.6249844488188979E-2</v>
      </c>
      <c r="N916" s="3">
        <f t="shared" ref="N916" si="1011">AVERAGE(J916:J917)</f>
        <v>4.9248003011811023E-2</v>
      </c>
    </row>
    <row r="917" spans="1:14" x14ac:dyDescent="0.2">
      <c r="A917" s="4"/>
      <c r="B917" s="4">
        <v>100</v>
      </c>
      <c r="C917" s="4">
        <v>8</v>
      </c>
      <c r="D917" s="33">
        <v>1.45</v>
      </c>
      <c r="E917" s="23">
        <v>0.9</v>
      </c>
      <c r="F917" s="23">
        <f t="shared" si="985"/>
        <v>1.45</v>
      </c>
      <c r="G917" s="23">
        <f t="shared" si="986"/>
        <v>0.9</v>
      </c>
      <c r="H917" s="4">
        <f t="shared" si="987"/>
        <v>3.8630000000000001E-3</v>
      </c>
      <c r="I917" s="2">
        <f t="shared" si="988"/>
        <v>3.7976027559055117E-2</v>
      </c>
      <c r="J917" s="4">
        <f t="shared" si="989"/>
        <v>4.0945062440944875E-2</v>
      </c>
      <c r="K917" s="4">
        <f t="shared" si="990"/>
        <v>7.8921089999999999E-2</v>
      </c>
      <c r="L917" s="13">
        <f t="shared" si="991"/>
        <v>0.92748735244519409</v>
      </c>
      <c r="M917" s="3"/>
      <c r="N917" s="3"/>
    </row>
    <row r="918" spans="1:14" x14ac:dyDescent="0.2">
      <c r="A918" s="4">
        <v>488971</v>
      </c>
      <c r="B918" s="4">
        <v>100</v>
      </c>
      <c r="C918" s="4">
        <v>8</v>
      </c>
      <c r="D918" s="33">
        <v>2</v>
      </c>
      <c r="E918" s="23">
        <v>1.25</v>
      </c>
      <c r="F918" s="23">
        <f t="shared" si="985"/>
        <v>2</v>
      </c>
      <c r="G918" s="23">
        <f t="shared" si="986"/>
        <v>1.25</v>
      </c>
      <c r="H918" s="4">
        <f t="shared" si="987"/>
        <v>3.8630000000000001E-3</v>
      </c>
      <c r="I918" s="2">
        <f t="shared" si="988"/>
        <v>5.1785492125984253E-2</v>
      </c>
      <c r="J918" s="4">
        <f t="shared" si="989"/>
        <v>5.7827132874015759E-2</v>
      </c>
      <c r="K918" s="4">
        <f t="shared" si="990"/>
        <v>0.10961262500000002</v>
      </c>
      <c r="L918" s="13">
        <f t="shared" si="991"/>
        <v>0.8955223880597013</v>
      </c>
      <c r="M918" s="3">
        <f t="shared" ref="M918" si="1012">AVERAGE(I918:I919)</f>
        <v>5.1785492125984253E-2</v>
      </c>
      <c r="N918" s="3">
        <f t="shared" ref="N918" si="1013">AVERAGE(J918:J919)</f>
        <v>5.7827132874015759E-2</v>
      </c>
    </row>
    <row r="919" spans="1:14" x14ac:dyDescent="0.2">
      <c r="A919" s="4"/>
      <c r="B919" s="4">
        <v>100</v>
      </c>
      <c r="C919" s="4">
        <v>8</v>
      </c>
      <c r="D919" s="33">
        <v>2</v>
      </c>
      <c r="E919" s="23">
        <v>1.25</v>
      </c>
      <c r="F919" s="23">
        <f t="shared" si="985"/>
        <v>2</v>
      </c>
      <c r="G919" s="23">
        <f t="shared" si="986"/>
        <v>1.25</v>
      </c>
      <c r="H919" s="4">
        <f t="shared" si="987"/>
        <v>3.8630000000000001E-3</v>
      </c>
      <c r="I919" s="2">
        <f t="shared" si="988"/>
        <v>5.1785492125984253E-2</v>
      </c>
      <c r="J919" s="4">
        <f t="shared" si="989"/>
        <v>5.7827132874015759E-2</v>
      </c>
      <c r="K919" s="4">
        <f t="shared" si="990"/>
        <v>0.10961262500000002</v>
      </c>
      <c r="L919" s="13">
        <f t="shared" si="991"/>
        <v>0.8955223880597013</v>
      </c>
      <c r="M919" s="3"/>
      <c r="N919" s="3"/>
    </row>
    <row r="920" spans="1:14" x14ac:dyDescent="0.2">
      <c r="A920" s="4">
        <v>488972</v>
      </c>
      <c r="B920" s="4">
        <v>100</v>
      </c>
      <c r="C920" s="4">
        <v>8</v>
      </c>
      <c r="D920" s="33">
        <v>3.75</v>
      </c>
      <c r="E920" s="23">
        <v>2.25</v>
      </c>
      <c r="F920" s="23">
        <f t="shared" si="985"/>
        <v>3.75</v>
      </c>
      <c r="G920" s="23">
        <f t="shared" si="986"/>
        <v>2.25</v>
      </c>
      <c r="H920" s="4">
        <f t="shared" si="987"/>
        <v>3.8630000000000001E-3</v>
      </c>
      <c r="I920" s="2">
        <f t="shared" si="988"/>
        <v>0.10357098425196851</v>
      </c>
      <c r="J920" s="4">
        <f t="shared" si="989"/>
        <v>9.3731740748031492E-2</v>
      </c>
      <c r="K920" s="4">
        <f t="shared" si="990"/>
        <v>0.19730272500000001</v>
      </c>
      <c r="L920" s="13">
        <f t="shared" si="991"/>
        <v>1.1049723756906078</v>
      </c>
      <c r="M920" s="3">
        <f t="shared" ref="M920" si="1014">AVERAGE(I920:I921)</f>
        <v>0.10184480118110235</v>
      </c>
      <c r="N920" s="3">
        <f t="shared" ref="N920" si="1015">AVERAGE(J920:J921)</f>
        <v>9.3265671318897667E-2</v>
      </c>
    </row>
    <row r="921" spans="1:14" x14ac:dyDescent="0.2">
      <c r="A921" s="4"/>
      <c r="B921" s="4">
        <v>100</v>
      </c>
      <c r="C921" s="4">
        <v>8</v>
      </c>
      <c r="D921" s="33">
        <v>3.65</v>
      </c>
      <c r="E921" s="23">
        <v>2.2000000000000002</v>
      </c>
      <c r="F921" s="23">
        <f t="shared" si="985"/>
        <v>3.65</v>
      </c>
      <c r="G921" s="23">
        <f t="shared" si="986"/>
        <v>2.2000000000000002</v>
      </c>
      <c r="H921" s="4">
        <f t="shared" si="987"/>
        <v>3.8630000000000001E-3</v>
      </c>
      <c r="I921" s="2">
        <f t="shared" si="988"/>
        <v>0.1001186181102362</v>
      </c>
      <c r="J921" s="4">
        <f t="shared" si="989"/>
        <v>9.2799601889763841E-2</v>
      </c>
      <c r="K921" s="4">
        <f t="shared" si="990"/>
        <v>0.19291822000000003</v>
      </c>
      <c r="L921" s="13">
        <f t="shared" si="991"/>
        <v>1.0788690476190468</v>
      </c>
      <c r="M921" s="3"/>
      <c r="N921" s="3"/>
    </row>
    <row r="922" spans="1:14" x14ac:dyDescent="0.2">
      <c r="A922" s="4">
        <v>488973</v>
      </c>
      <c r="B922" s="4">
        <v>100</v>
      </c>
      <c r="C922" s="4">
        <v>8</v>
      </c>
      <c r="D922" s="33">
        <v>6.15</v>
      </c>
      <c r="E922" s="23">
        <v>3.55</v>
      </c>
      <c r="F922" s="23">
        <f t="shared" si="985"/>
        <v>6.15</v>
      </c>
      <c r="G922" s="23">
        <f t="shared" si="986"/>
        <v>3.55</v>
      </c>
      <c r="H922" s="4">
        <f t="shared" si="987"/>
        <v>3.8630000000000001E-3</v>
      </c>
      <c r="I922" s="2">
        <f t="shared" si="988"/>
        <v>0.17952303937007877</v>
      </c>
      <c r="J922" s="4">
        <f t="shared" si="989"/>
        <v>0.13177681562992119</v>
      </c>
      <c r="K922" s="4">
        <f t="shared" si="990"/>
        <v>0.31129985499999996</v>
      </c>
      <c r="L922" s="13">
        <f t="shared" si="991"/>
        <v>1.3623264343725447</v>
      </c>
      <c r="M922" s="3">
        <f t="shared" ref="M922" si="1016">AVERAGE(I922:I923)</f>
        <v>0.18470158858267721</v>
      </c>
      <c r="N922" s="3">
        <f t="shared" ref="N922" si="1017">AVERAGE(J922:J923)</f>
        <v>0.12002150891732279</v>
      </c>
    </row>
    <row r="923" spans="1:14" x14ac:dyDescent="0.2">
      <c r="A923" s="4"/>
      <c r="B923" s="4">
        <v>100</v>
      </c>
      <c r="C923" s="4">
        <v>8</v>
      </c>
      <c r="D923" s="33">
        <v>6.15</v>
      </c>
      <c r="E923" s="23">
        <v>3.4</v>
      </c>
      <c r="F923" s="23">
        <f t="shared" si="985"/>
        <v>6.15</v>
      </c>
      <c r="G923" s="23">
        <f t="shared" si="986"/>
        <v>3.4</v>
      </c>
      <c r="H923" s="4">
        <f t="shared" si="987"/>
        <v>3.8630000000000001E-3</v>
      </c>
      <c r="I923" s="2">
        <f t="shared" si="988"/>
        <v>0.18988013779527563</v>
      </c>
      <c r="J923" s="4">
        <f t="shared" si="989"/>
        <v>0.10826620220472438</v>
      </c>
      <c r="K923" s="4">
        <f t="shared" si="990"/>
        <v>0.29814634000000001</v>
      </c>
      <c r="L923" s="13">
        <f t="shared" si="991"/>
        <v>1.7538265306122456</v>
      </c>
      <c r="M923" s="3"/>
      <c r="N923" s="3"/>
    </row>
    <row r="924" spans="1:14" x14ac:dyDescent="0.2">
      <c r="A924" s="4">
        <v>488974</v>
      </c>
      <c r="B924" s="4">
        <v>100</v>
      </c>
      <c r="C924" s="4">
        <v>7</v>
      </c>
      <c r="D924" s="33">
        <v>4.45</v>
      </c>
      <c r="E924" s="23">
        <v>2.5499999999999998</v>
      </c>
      <c r="F924" s="23">
        <f t="shared" si="985"/>
        <v>4.45</v>
      </c>
      <c r="G924" s="23">
        <f t="shared" si="986"/>
        <v>2.5499999999999998</v>
      </c>
      <c r="H924" s="4">
        <f t="shared" si="987"/>
        <v>9.7450000000000002E-3</v>
      </c>
      <c r="I924" s="2">
        <f t="shared" si="988"/>
        <v>0.33094633858267725</v>
      </c>
      <c r="J924" s="4">
        <f t="shared" si="989"/>
        <v>0.23314298641732278</v>
      </c>
      <c r="K924" s="4">
        <f t="shared" si="990"/>
        <v>0.56408932500000009</v>
      </c>
      <c r="L924" s="13">
        <f t="shared" si="991"/>
        <v>1.4194994396712746</v>
      </c>
      <c r="M924" s="3">
        <f t="shared" ref="M924" si="1018">AVERAGE(I924:I925)</f>
        <v>0.33965545275590558</v>
      </c>
      <c r="N924" s="3">
        <f t="shared" ref="N924" si="1019">AVERAGE(J924:J925)</f>
        <v>0.21337329724409448</v>
      </c>
    </row>
    <row r="925" spans="1:14" x14ac:dyDescent="0.2">
      <c r="A925" s="4"/>
      <c r="B925" s="4">
        <v>100</v>
      </c>
      <c r="C925" s="4">
        <v>7</v>
      </c>
      <c r="D925" s="33">
        <v>4.45</v>
      </c>
      <c r="E925" s="23">
        <v>2.4500000000000002</v>
      </c>
      <c r="F925" s="23">
        <f t="shared" si="985"/>
        <v>4.45</v>
      </c>
      <c r="G925" s="23">
        <f t="shared" si="986"/>
        <v>2.4500000000000002</v>
      </c>
      <c r="H925" s="4">
        <f t="shared" si="987"/>
        <v>9.7450000000000002E-3</v>
      </c>
      <c r="I925" s="2">
        <f t="shared" si="988"/>
        <v>0.34836456692913387</v>
      </c>
      <c r="J925" s="4">
        <f t="shared" si="989"/>
        <v>0.19360360807086621</v>
      </c>
      <c r="K925" s="4">
        <f t="shared" si="990"/>
        <v>0.54196817500000005</v>
      </c>
      <c r="L925" s="13">
        <f t="shared" si="991"/>
        <v>1.7993702204228514</v>
      </c>
      <c r="M925" s="3"/>
      <c r="N925" s="3"/>
    </row>
    <row r="926" spans="1:14" x14ac:dyDescent="0.2">
      <c r="A926" s="4">
        <v>488975</v>
      </c>
      <c r="B926" s="4">
        <v>100</v>
      </c>
      <c r="C926" s="4">
        <v>6</v>
      </c>
      <c r="D926" s="33">
        <v>4.8499999999999996</v>
      </c>
      <c r="E926" s="23">
        <v>2.5499999999999998</v>
      </c>
      <c r="F926" s="23">
        <f t="shared" si="985"/>
        <v>4.8499999999999996</v>
      </c>
      <c r="G926" s="23">
        <f t="shared" si="986"/>
        <v>2.5499999999999998</v>
      </c>
      <c r="H926" s="4">
        <f t="shared" si="987"/>
        <v>3.5767E-2</v>
      </c>
      <c r="I926" s="2">
        <f t="shared" si="988"/>
        <v>1.4703898188976379</v>
      </c>
      <c r="J926" s="4">
        <f t="shared" si="989"/>
        <v>0.59998297610236262</v>
      </c>
      <c r="K926" s="4">
        <f t="shared" si="990"/>
        <v>2.0703727950000004</v>
      </c>
      <c r="L926" s="13">
        <f t="shared" si="991"/>
        <v>2.4507192328183254</v>
      </c>
      <c r="M926" s="3">
        <f t="shared" ref="M926" si="1020">AVERAGE(I926:I927)</f>
        <v>1.4544073208661419</v>
      </c>
      <c r="N926" s="3">
        <f t="shared" ref="N926" si="1021">AVERAGE(J926:J927)</f>
        <v>0.59566770163385874</v>
      </c>
    </row>
    <row r="927" spans="1:14" x14ac:dyDescent="0.2">
      <c r="A927" s="4"/>
      <c r="B927" s="4">
        <v>100</v>
      </c>
      <c r="C927" s="4">
        <v>6</v>
      </c>
      <c r="D927" s="33">
        <v>4.75</v>
      </c>
      <c r="E927" s="23">
        <v>2.5</v>
      </c>
      <c r="F927" s="23">
        <f t="shared" si="985"/>
        <v>4.75</v>
      </c>
      <c r="G927" s="23">
        <f t="shared" si="986"/>
        <v>2.5</v>
      </c>
      <c r="H927" s="4">
        <f t="shared" si="987"/>
        <v>3.5767E-2</v>
      </c>
      <c r="I927" s="2">
        <f t="shared" si="988"/>
        <v>1.4384248228346459</v>
      </c>
      <c r="J927" s="4">
        <f t="shared" si="989"/>
        <v>0.59135242716535474</v>
      </c>
      <c r="K927" s="4">
        <f t="shared" si="990"/>
        <v>2.0297772500000004</v>
      </c>
      <c r="L927" s="13">
        <f t="shared" si="991"/>
        <v>2.4324324324324311</v>
      </c>
      <c r="M927" s="3"/>
      <c r="N927" s="3"/>
    </row>
    <row r="928" spans="1:14" x14ac:dyDescent="0.2">
      <c r="A928" s="4">
        <v>488976</v>
      </c>
      <c r="B928" s="4">
        <v>100</v>
      </c>
      <c r="C928" s="4">
        <v>7</v>
      </c>
      <c r="D928" s="33">
        <v>4.5</v>
      </c>
      <c r="E928" s="23">
        <v>2.2999999999999998</v>
      </c>
      <c r="F928" s="23">
        <f t="shared" si="985"/>
        <v>4.5</v>
      </c>
      <c r="G928" s="23">
        <f t="shared" si="986"/>
        <v>2.2999999999999998</v>
      </c>
      <c r="H928" s="4">
        <f t="shared" si="987"/>
        <v>9.7450000000000002E-3</v>
      </c>
      <c r="I928" s="2">
        <f t="shared" si="988"/>
        <v>0.38320102362204733</v>
      </c>
      <c r="J928" s="4">
        <f t="shared" si="989"/>
        <v>0.12558542637795261</v>
      </c>
      <c r="K928" s="4">
        <f t="shared" si="990"/>
        <v>0.50878644999999989</v>
      </c>
      <c r="L928" s="13">
        <f t="shared" si="991"/>
        <v>3.0513176144244145</v>
      </c>
      <c r="M928" s="3">
        <f t="shared" ref="M928" si="1022">AVERAGE(I928:I929)</f>
        <v>0.38755558070866147</v>
      </c>
      <c r="N928" s="3">
        <f t="shared" ref="N928" si="1023">AVERAGE(J928:J929)</f>
        <v>0.1212308692913385</v>
      </c>
    </row>
    <row r="929" spans="1:14" x14ac:dyDescent="0.2">
      <c r="A929" s="4"/>
      <c r="B929" s="4">
        <v>100</v>
      </c>
      <c r="C929" s="4">
        <v>7</v>
      </c>
      <c r="D929" s="33">
        <v>4.55</v>
      </c>
      <c r="E929" s="23">
        <v>2.2999999999999998</v>
      </c>
      <c r="F929" s="23">
        <f t="shared" si="985"/>
        <v>4.55</v>
      </c>
      <c r="G929" s="23">
        <f t="shared" si="986"/>
        <v>2.2999999999999998</v>
      </c>
      <c r="H929" s="4">
        <f t="shared" si="987"/>
        <v>9.7450000000000002E-3</v>
      </c>
      <c r="I929" s="2">
        <f t="shared" si="988"/>
        <v>0.39191013779527567</v>
      </c>
      <c r="J929" s="4">
        <f t="shared" si="989"/>
        <v>0.11687631220472439</v>
      </c>
      <c r="K929" s="4">
        <f t="shared" si="990"/>
        <v>0.50878645000000011</v>
      </c>
      <c r="L929" s="13">
        <f t="shared" si="991"/>
        <v>3.3532041728763056</v>
      </c>
      <c r="M929" s="3"/>
      <c r="N929" s="3"/>
    </row>
    <row r="930" spans="1:14" x14ac:dyDescent="0.2">
      <c r="A930" s="4">
        <v>488977</v>
      </c>
      <c r="B930" s="4">
        <v>100</v>
      </c>
      <c r="C930" s="4">
        <v>7</v>
      </c>
      <c r="D930" s="33">
        <v>3.25</v>
      </c>
      <c r="E930" s="23">
        <v>1.65</v>
      </c>
      <c r="F930" s="23">
        <f t="shared" si="985"/>
        <v>3.25</v>
      </c>
      <c r="G930" s="23">
        <f t="shared" si="986"/>
        <v>1.65</v>
      </c>
      <c r="H930" s="4">
        <f t="shared" si="987"/>
        <v>9.7450000000000002E-3</v>
      </c>
      <c r="I930" s="2">
        <f t="shared" si="988"/>
        <v>0.27869165354330711</v>
      </c>
      <c r="J930" s="4">
        <f t="shared" si="989"/>
        <v>8.6307321456692898E-2</v>
      </c>
      <c r="K930" s="4">
        <f t="shared" si="990"/>
        <v>0.364998975</v>
      </c>
      <c r="L930" s="13">
        <f t="shared" si="991"/>
        <v>3.2290615539858738</v>
      </c>
      <c r="M930" s="3">
        <f t="shared" ref="M930" si="1024">AVERAGE(I930:I931)</f>
        <v>0.28304621062992125</v>
      </c>
      <c r="N930" s="3">
        <f t="shared" ref="N930" si="1025">AVERAGE(J930:J931)</f>
        <v>7.6422476870078748E-2</v>
      </c>
    </row>
    <row r="931" spans="1:14" x14ac:dyDescent="0.2">
      <c r="A931" s="4"/>
      <c r="B931" s="4">
        <v>100</v>
      </c>
      <c r="C931" s="4">
        <v>7</v>
      </c>
      <c r="D931" s="33">
        <v>3.25</v>
      </c>
      <c r="E931" s="23">
        <v>1.6</v>
      </c>
      <c r="F931" s="23">
        <f t="shared" si="985"/>
        <v>3.25</v>
      </c>
      <c r="G931" s="23">
        <f t="shared" si="986"/>
        <v>1.6</v>
      </c>
      <c r="H931" s="4">
        <f t="shared" si="987"/>
        <v>9.7450000000000002E-3</v>
      </c>
      <c r="I931" s="2">
        <f t="shared" si="988"/>
        <v>0.28740076771653539</v>
      </c>
      <c r="J931" s="4">
        <f t="shared" si="989"/>
        <v>6.6537632283464598E-2</v>
      </c>
      <c r="K931" s="4">
        <f t="shared" si="990"/>
        <v>0.35393839999999999</v>
      </c>
      <c r="L931" s="13">
        <f t="shared" si="991"/>
        <v>4.3193717277486883</v>
      </c>
      <c r="M931" s="3"/>
      <c r="N931" s="3"/>
    </row>
    <row r="932" spans="1:14" x14ac:dyDescent="0.2">
      <c r="A932" s="4">
        <v>488978</v>
      </c>
      <c r="B932" s="4">
        <v>100</v>
      </c>
      <c r="C932" s="4">
        <v>7</v>
      </c>
      <c r="D932" s="33">
        <v>3.2</v>
      </c>
      <c r="E932" s="23">
        <v>1.6</v>
      </c>
      <c r="F932" s="23">
        <f t="shared" si="985"/>
        <v>3.2</v>
      </c>
      <c r="G932" s="23">
        <f t="shared" si="986"/>
        <v>1.6</v>
      </c>
      <c r="H932" s="4">
        <f t="shared" si="987"/>
        <v>9.7450000000000002E-3</v>
      </c>
      <c r="I932" s="2">
        <f t="shared" si="988"/>
        <v>0.27869165354330711</v>
      </c>
      <c r="J932" s="4">
        <f t="shared" si="989"/>
        <v>7.5246746456692937E-2</v>
      </c>
      <c r="K932" s="4">
        <f t="shared" si="990"/>
        <v>0.35393840000000004</v>
      </c>
      <c r="L932" s="13">
        <f t="shared" si="991"/>
        <v>3.7037037037037028</v>
      </c>
      <c r="M932" s="3">
        <f t="shared" ref="M932" si="1026">AVERAGE(I932:I933)</f>
        <v>0.27869165354330705</v>
      </c>
      <c r="N932" s="3">
        <f t="shared" ref="N932" si="1027">AVERAGE(J932:J933)</f>
        <v>6.9716458956692956E-2</v>
      </c>
    </row>
    <row r="933" spans="1:14" x14ac:dyDescent="0.2">
      <c r="A933" s="4"/>
      <c r="B933" s="4">
        <v>100</v>
      </c>
      <c r="C933" s="4">
        <v>7</v>
      </c>
      <c r="D933" s="33">
        <v>3.15</v>
      </c>
      <c r="E933" s="23">
        <v>1.55</v>
      </c>
      <c r="F933" s="23">
        <f t="shared" si="985"/>
        <v>3.15</v>
      </c>
      <c r="G933" s="23">
        <f t="shared" si="986"/>
        <v>1.55</v>
      </c>
      <c r="H933" s="4">
        <f t="shared" si="987"/>
        <v>9.7450000000000002E-3</v>
      </c>
      <c r="I933" s="2">
        <f t="shared" si="988"/>
        <v>0.27869165354330705</v>
      </c>
      <c r="J933" s="4">
        <f t="shared" si="989"/>
        <v>6.4186171456692975E-2</v>
      </c>
      <c r="K933" s="4">
        <f t="shared" si="990"/>
        <v>0.34287782500000002</v>
      </c>
      <c r="L933" s="13">
        <f t="shared" si="991"/>
        <v>4.3419267299864268</v>
      </c>
      <c r="M933" s="3"/>
      <c r="N933" s="3"/>
    </row>
    <row r="934" spans="1:14" x14ac:dyDescent="0.2">
      <c r="A934" s="4">
        <v>488984</v>
      </c>
      <c r="B934" s="4">
        <v>100</v>
      </c>
      <c r="C934" s="4">
        <v>8</v>
      </c>
      <c r="D934" s="33">
        <v>1.5</v>
      </c>
      <c r="E934" s="23">
        <v>1</v>
      </c>
      <c r="F934" s="23">
        <f t="shared" si="985"/>
        <v>1.5</v>
      </c>
      <c r="G934" s="23">
        <f t="shared" si="986"/>
        <v>1</v>
      </c>
      <c r="H934" s="4">
        <f t="shared" si="987"/>
        <v>3.8630000000000001E-3</v>
      </c>
      <c r="I934" s="2">
        <f t="shared" si="988"/>
        <v>3.452366141732284E-2</v>
      </c>
      <c r="J934" s="4">
        <f t="shared" si="989"/>
        <v>5.3166438582677167E-2</v>
      </c>
      <c r="K934" s="4">
        <f t="shared" si="990"/>
        <v>8.7690100000000007E-2</v>
      </c>
      <c r="L934" s="13">
        <f t="shared" si="991"/>
        <v>0.64935064935064946</v>
      </c>
      <c r="M934" s="3">
        <f t="shared" ref="M934" si="1028">AVERAGE(I934:I935)</f>
        <v>3.452366141732284E-2</v>
      </c>
      <c r="N934" s="3">
        <f t="shared" ref="N934" si="1029">AVERAGE(J934:J935)</f>
        <v>5.3166438582677167E-2</v>
      </c>
    </row>
    <row r="935" spans="1:14" x14ac:dyDescent="0.2">
      <c r="A935" s="4"/>
      <c r="B935" s="4">
        <v>100</v>
      </c>
      <c r="C935" s="4">
        <v>8</v>
      </c>
      <c r="D935" s="33">
        <v>1.5</v>
      </c>
      <c r="E935" s="23">
        <v>1</v>
      </c>
      <c r="F935" s="23">
        <f t="shared" si="985"/>
        <v>1.5</v>
      </c>
      <c r="G935" s="23">
        <f t="shared" si="986"/>
        <v>1</v>
      </c>
      <c r="H935" s="4">
        <f t="shared" si="987"/>
        <v>3.8630000000000001E-3</v>
      </c>
      <c r="I935" s="2">
        <f t="shared" si="988"/>
        <v>3.452366141732284E-2</v>
      </c>
      <c r="J935" s="4">
        <f t="shared" si="989"/>
        <v>5.3166438582677167E-2</v>
      </c>
      <c r="K935" s="4">
        <f t="shared" si="990"/>
        <v>8.7690100000000007E-2</v>
      </c>
      <c r="L935" s="13">
        <f t="shared" si="991"/>
        <v>0.64935064935064946</v>
      </c>
      <c r="M935" s="3"/>
      <c r="N935" s="3"/>
    </row>
    <row r="936" spans="1:14" x14ac:dyDescent="0.2">
      <c r="A936" s="4">
        <v>488985</v>
      </c>
      <c r="B936" s="4">
        <v>100</v>
      </c>
      <c r="C936" s="4">
        <v>8</v>
      </c>
      <c r="D936" s="33">
        <v>4.05</v>
      </c>
      <c r="E936" s="23">
        <v>2.65</v>
      </c>
      <c r="F936" s="23">
        <f t="shared" si="985"/>
        <v>4.05</v>
      </c>
      <c r="G936" s="23">
        <f t="shared" si="986"/>
        <v>2.65</v>
      </c>
      <c r="H936" s="4">
        <f t="shared" si="987"/>
        <v>3.8630000000000001E-3</v>
      </c>
      <c r="I936" s="2">
        <f t="shared" si="988"/>
        <v>9.6666251968503938E-2</v>
      </c>
      <c r="J936" s="4">
        <f t="shared" si="989"/>
        <v>0.13571251303149603</v>
      </c>
      <c r="K936" s="4">
        <f t="shared" si="990"/>
        <v>0.23237876499999999</v>
      </c>
      <c r="L936" s="13">
        <f t="shared" si="991"/>
        <v>0.71228694988552543</v>
      </c>
      <c r="M936" s="3">
        <f t="shared" ref="M936" si="1030">AVERAGE(I936:I937)</f>
        <v>9.6666251968503938E-2</v>
      </c>
      <c r="N936" s="3">
        <f t="shared" ref="N936" si="1031">AVERAGE(J936:J937)</f>
        <v>0.13352026053149602</v>
      </c>
    </row>
    <row r="937" spans="1:14" x14ac:dyDescent="0.2">
      <c r="A937" s="4"/>
      <c r="B937" s="4">
        <v>100</v>
      </c>
      <c r="C937" s="4">
        <v>8</v>
      </c>
      <c r="D937" s="33">
        <v>4</v>
      </c>
      <c r="E937" s="23">
        <v>2.6</v>
      </c>
      <c r="F937" s="23">
        <f t="shared" si="985"/>
        <v>4</v>
      </c>
      <c r="G937" s="23">
        <f t="shared" si="986"/>
        <v>2.6</v>
      </c>
      <c r="H937" s="4">
        <f t="shared" si="987"/>
        <v>3.8630000000000001E-3</v>
      </c>
      <c r="I937" s="2">
        <f t="shared" si="988"/>
        <v>9.6666251968503938E-2</v>
      </c>
      <c r="J937" s="4">
        <f t="shared" si="989"/>
        <v>0.13132800803149602</v>
      </c>
      <c r="K937" s="4">
        <f t="shared" si="990"/>
        <v>0.22799425999999995</v>
      </c>
      <c r="L937" s="13">
        <f t="shared" si="991"/>
        <v>0.73606729758149336</v>
      </c>
      <c r="M937" s="3"/>
      <c r="N937" s="3"/>
    </row>
    <row r="938" spans="1:14" x14ac:dyDescent="0.2">
      <c r="A938" s="4">
        <v>488986</v>
      </c>
      <c r="B938" s="4">
        <v>100</v>
      </c>
      <c r="C938" s="4">
        <v>8</v>
      </c>
      <c r="D938" s="33">
        <v>6.2</v>
      </c>
      <c r="E938" s="23">
        <v>3.6</v>
      </c>
      <c r="F938" s="23">
        <f t="shared" si="985"/>
        <v>6.2</v>
      </c>
      <c r="G938" s="23">
        <f t="shared" si="986"/>
        <v>3.6</v>
      </c>
      <c r="H938" s="4">
        <f t="shared" si="987"/>
        <v>3.8630000000000001E-3</v>
      </c>
      <c r="I938" s="2">
        <f t="shared" si="988"/>
        <v>0.17952303937007877</v>
      </c>
      <c r="J938" s="4">
        <f t="shared" si="989"/>
        <v>0.13616132062992134</v>
      </c>
      <c r="K938" s="4">
        <f t="shared" si="990"/>
        <v>0.31568436000000011</v>
      </c>
      <c r="L938" s="13">
        <f t="shared" si="991"/>
        <v>1.3184584178498979</v>
      </c>
      <c r="M938" s="3">
        <f t="shared" ref="M938" si="1032">AVERAGE(I938:I939)</f>
        <v>0.17952303937007874</v>
      </c>
      <c r="N938" s="3">
        <f t="shared" ref="N938" si="1033">AVERAGE(J938:J939)</f>
        <v>0.1317768156299213</v>
      </c>
    </row>
    <row r="939" spans="1:14" x14ac:dyDescent="0.2">
      <c r="A939" s="4"/>
      <c r="B939" s="4">
        <v>100</v>
      </c>
      <c r="C939" s="4">
        <v>8</v>
      </c>
      <c r="D939" s="33">
        <v>6.1</v>
      </c>
      <c r="E939" s="23">
        <v>3.5</v>
      </c>
      <c r="F939" s="23">
        <f t="shared" si="985"/>
        <v>6.1</v>
      </c>
      <c r="G939" s="23">
        <f t="shared" si="986"/>
        <v>3.5</v>
      </c>
      <c r="H939" s="4">
        <f t="shared" si="987"/>
        <v>3.8630000000000001E-3</v>
      </c>
      <c r="I939" s="2">
        <f t="shared" si="988"/>
        <v>0.17952303937007874</v>
      </c>
      <c r="J939" s="4">
        <f t="shared" si="989"/>
        <v>0.12739231062992126</v>
      </c>
      <c r="K939" s="4">
        <f t="shared" si="990"/>
        <v>0.30691535000000003</v>
      </c>
      <c r="L939" s="13">
        <f t="shared" si="991"/>
        <v>1.4092140921409213</v>
      </c>
      <c r="M939" s="3"/>
      <c r="N939" s="3"/>
    </row>
    <row r="940" spans="1:14" x14ac:dyDescent="0.2">
      <c r="A940" s="4">
        <v>488987</v>
      </c>
      <c r="B940" s="4">
        <v>100</v>
      </c>
      <c r="C940" s="4">
        <v>7</v>
      </c>
      <c r="D940" s="33">
        <v>4</v>
      </c>
      <c r="E940" s="23">
        <v>2.2000000000000002</v>
      </c>
      <c r="F940" s="23">
        <f t="shared" si="985"/>
        <v>4</v>
      </c>
      <c r="G940" s="23">
        <f t="shared" si="986"/>
        <v>2.2000000000000002</v>
      </c>
      <c r="H940" s="4">
        <f t="shared" si="987"/>
        <v>9.7450000000000002E-3</v>
      </c>
      <c r="I940" s="2">
        <f t="shared" si="988"/>
        <v>0.3135281102362204</v>
      </c>
      <c r="J940" s="4">
        <f t="shared" si="989"/>
        <v>0.17313718976377962</v>
      </c>
      <c r="K940" s="4">
        <f t="shared" si="990"/>
        <v>0.48666530000000002</v>
      </c>
      <c r="L940" s="13">
        <f t="shared" si="991"/>
        <v>1.8108651911468798</v>
      </c>
      <c r="M940" s="3">
        <f t="shared" ref="M940" si="1034">AVERAGE(I940:I941)</f>
        <v>0.3222372244094488</v>
      </c>
      <c r="N940" s="3">
        <f t="shared" ref="N940" si="1035">AVERAGE(J940:J941)</f>
        <v>0.16442807559055128</v>
      </c>
    </row>
    <row r="941" spans="1:14" x14ac:dyDescent="0.2">
      <c r="A941" s="4"/>
      <c r="B941" s="4">
        <v>100</v>
      </c>
      <c r="C941" s="4">
        <v>7</v>
      </c>
      <c r="D941" s="33">
        <v>4.0999999999999996</v>
      </c>
      <c r="E941" s="23">
        <v>2.2000000000000002</v>
      </c>
      <c r="F941" s="23">
        <f t="shared" si="985"/>
        <v>4.0999999999999996</v>
      </c>
      <c r="G941" s="23">
        <f t="shared" si="986"/>
        <v>2.2000000000000002</v>
      </c>
      <c r="H941" s="4">
        <f t="shared" si="987"/>
        <v>9.7450000000000002E-3</v>
      </c>
      <c r="I941" s="2">
        <f t="shared" si="988"/>
        <v>0.33094633858267714</v>
      </c>
      <c r="J941" s="4">
        <f t="shared" si="989"/>
        <v>0.15571896141732297</v>
      </c>
      <c r="K941" s="4">
        <f t="shared" si="990"/>
        <v>0.48666530000000008</v>
      </c>
      <c r="L941" s="13">
        <f t="shared" si="991"/>
        <v>2.1252796420581634</v>
      </c>
      <c r="M941" s="3"/>
      <c r="N941" s="3"/>
    </row>
    <row r="942" spans="1:14" x14ac:dyDescent="0.2">
      <c r="A942" s="4">
        <v>488988</v>
      </c>
      <c r="B942" s="4">
        <v>100</v>
      </c>
      <c r="C942" s="4">
        <v>6</v>
      </c>
      <c r="D942" s="33">
        <v>2.2000000000000002</v>
      </c>
      <c r="E942" s="23">
        <v>1.05</v>
      </c>
      <c r="F942" s="23">
        <f t="shared" si="985"/>
        <v>2.2000000000000002</v>
      </c>
      <c r="G942" s="23">
        <f t="shared" si="986"/>
        <v>1.05</v>
      </c>
      <c r="H942" s="4">
        <f t="shared" si="987"/>
        <v>3.5767E-2</v>
      </c>
      <c r="I942" s="2">
        <f t="shared" si="988"/>
        <v>0.73519490944881893</v>
      </c>
      <c r="J942" s="4">
        <f t="shared" si="989"/>
        <v>0.117311535551181</v>
      </c>
      <c r="K942" s="4">
        <f t="shared" si="990"/>
        <v>0.85250644499999995</v>
      </c>
      <c r="L942" s="13">
        <f t="shared" si="991"/>
        <v>6.2670299727520495</v>
      </c>
      <c r="M942" s="3">
        <f t="shared" ref="M942" si="1036">AVERAGE(I942:I943)</f>
        <v>0.73519490944881893</v>
      </c>
      <c r="N942" s="3">
        <f t="shared" ref="N942" si="1037">AVERAGE(J942:J943)</f>
        <v>0.15790708055118102</v>
      </c>
    </row>
    <row r="943" spans="1:14" x14ac:dyDescent="0.2">
      <c r="A943" s="4"/>
      <c r="B943" s="4">
        <v>100</v>
      </c>
      <c r="C943" s="4">
        <v>6</v>
      </c>
      <c r="D943" s="33">
        <v>2.2999999999999998</v>
      </c>
      <c r="E943" s="23">
        <v>1.1499999999999999</v>
      </c>
      <c r="F943" s="23">
        <f t="shared" si="985"/>
        <v>2.2999999999999998</v>
      </c>
      <c r="G943" s="23">
        <f t="shared" si="986"/>
        <v>1.1499999999999999</v>
      </c>
      <c r="H943" s="4">
        <f t="shared" si="987"/>
        <v>3.5767E-2</v>
      </c>
      <c r="I943" s="2">
        <f t="shared" si="988"/>
        <v>0.73519490944881893</v>
      </c>
      <c r="J943" s="4">
        <f t="shared" si="989"/>
        <v>0.19850262555118106</v>
      </c>
      <c r="K943" s="4">
        <f t="shared" si="990"/>
        <v>0.93369753499999997</v>
      </c>
      <c r="L943" s="13">
        <f t="shared" si="991"/>
        <v>3.7037037037037046</v>
      </c>
      <c r="M943" s="3"/>
      <c r="N943" s="3"/>
    </row>
    <row r="944" spans="1:14" x14ac:dyDescent="0.2">
      <c r="A944" s="4">
        <v>488989</v>
      </c>
      <c r="B944" s="4">
        <v>100</v>
      </c>
      <c r="C944" s="4">
        <v>6</v>
      </c>
      <c r="D944" s="33">
        <v>5.45</v>
      </c>
      <c r="E944" s="23">
        <v>2.85</v>
      </c>
      <c r="F944" s="23">
        <f t="shared" si="985"/>
        <v>5.45</v>
      </c>
      <c r="G944" s="23">
        <f t="shared" si="986"/>
        <v>2.85</v>
      </c>
      <c r="H944" s="4">
        <f t="shared" si="987"/>
        <v>3.5767E-2</v>
      </c>
      <c r="I944" s="2">
        <f t="shared" si="988"/>
        <v>1.6621797952755906</v>
      </c>
      <c r="J944" s="4">
        <f t="shared" si="989"/>
        <v>0.65176626972440987</v>
      </c>
      <c r="K944" s="4">
        <f t="shared" si="990"/>
        <v>2.3139460650000006</v>
      </c>
      <c r="L944" s="13">
        <f t="shared" si="991"/>
        <v>2.5502697400686594</v>
      </c>
      <c r="M944" s="3">
        <f t="shared" ref="M944" si="1038">AVERAGE(I944:I945)</f>
        <v>1.6621797952755903</v>
      </c>
      <c r="N944" s="3">
        <f t="shared" ref="N944" si="1039">AVERAGE(J944:J945)</f>
        <v>0.6111707247244097</v>
      </c>
    </row>
    <row r="945" spans="1:14" x14ac:dyDescent="0.2">
      <c r="A945" s="4"/>
      <c r="B945" s="4">
        <v>100</v>
      </c>
      <c r="C945" s="4">
        <v>6</v>
      </c>
      <c r="D945" s="33">
        <v>5.35</v>
      </c>
      <c r="E945" s="23">
        <v>2.75</v>
      </c>
      <c r="F945" s="23">
        <f t="shared" si="985"/>
        <v>5.35</v>
      </c>
      <c r="G945" s="23">
        <f t="shared" si="986"/>
        <v>2.75</v>
      </c>
      <c r="H945" s="4">
        <f t="shared" si="987"/>
        <v>3.5767E-2</v>
      </c>
      <c r="I945" s="2">
        <f t="shared" si="988"/>
        <v>1.6621797952755903</v>
      </c>
      <c r="J945" s="4">
        <f t="shared" si="989"/>
        <v>0.57057517972440952</v>
      </c>
      <c r="K945" s="4">
        <f t="shared" si="990"/>
        <v>2.2327549749999998</v>
      </c>
      <c r="L945" s="13">
        <f t="shared" si="991"/>
        <v>2.913165266106442</v>
      </c>
      <c r="M945" s="3"/>
      <c r="N945" s="3"/>
    </row>
    <row r="946" spans="1:14" x14ac:dyDescent="0.2">
      <c r="A946" s="4">
        <v>488990</v>
      </c>
      <c r="B946" s="4">
        <v>100</v>
      </c>
      <c r="C946" s="4">
        <v>7</v>
      </c>
      <c r="D946" s="33">
        <v>3.75</v>
      </c>
      <c r="E946" s="23">
        <v>1.95</v>
      </c>
      <c r="F946" s="23">
        <f t="shared" si="985"/>
        <v>3.75</v>
      </c>
      <c r="G946" s="23">
        <f t="shared" si="986"/>
        <v>1.95</v>
      </c>
      <c r="H946" s="4">
        <f t="shared" si="987"/>
        <v>9.7450000000000002E-3</v>
      </c>
      <c r="I946" s="2">
        <f t="shared" si="988"/>
        <v>0.31352811023622051</v>
      </c>
      <c r="J946" s="4">
        <f t="shared" si="989"/>
        <v>0.11783431476377954</v>
      </c>
      <c r="K946" s="4">
        <f t="shared" si="990"/>
        <v>0.43136242500000005</v>
      </c>
      <c r="L946" s="13">
        <f t="shared" si="991"/>
        <v>2.6607538802660757</v>
      </c>
      <c r="M946" s="3">
        <f t="shared" ref="M946" si="1040">AVERAGE(I946:I947)</f>
        <v>0.31352811023622051</v>
      </c>
      <c r="N946" s="3">
        <f t="shared" ref="N946" si="1041">AVERAGE(J946:J947)</f>
        <v>0.11783431476377954</v>
      </c>
    </row>
    <row r="947" spans="1:14" x14ac:dyDescent="0.2">
      <c r="A947" s="4"/>
      <c r="B947" s="4">
        <v>100</v>
      </c>
      <c r="C947" s="4">
        <v>7</v>
      </c>
      <c r="D947" s="33">
        <v>3.75</v>
      </c>
      <c r="E947" s="23">
        <v>1.95</v>
      </c>
      <c r="F947" s="23">
        <f t="shared" si="985"/>
        <v>3.75</v>
      </c>
      <c r="G947" s="23">
        <f t="shared" si="986"/>
        <v>1.95</v>
      </c>
      <c r="H947" s="4">
        <f t="shared" si="987"/>
        <v>9.7450000000000002E-3</v>
      </c>
      <c r="I947" s="2">
        <f t="shared" si="988"/>
        <v>0.31352811023622051</v>
      </c>
      <c r="J947" s="4">
        <f t="shared" si="989"/>
        <v>0.11783431476377954</v>
      </c>
      <c r="K947" s="4">
        <f t="shared" si="990"/>
        <v>0.43136242500000005</v>
      </c>
      <c r="L947" s="13">
        <f t="shared" si="991"/>
        <v>2.6607538802660757</v>
      </c>
      <c r="M947" s="3"/>
      <c r="N947" s="3"/>
    </row>
    <row r="948" spans="1:14" x14ac:dyDescent="0.2">
      <c r="A948" s="4">
        <v>488991</v>
      </c>
      <c r="B948" s="4">
        <v>100</v>
      </c>
      <c r="C948" s="4">
        <v>7</v>
      </c>
      <c r="D948" s="33">
        <v>3.3</v>
      </c>
      <c r="E948" s="23">
        <v>1.7</v>
      </c>
      <c r="F948" s="23">
        <f t="shared" si="985"/>
        <v>3.3</v>
      </c>
      <c r="G948" s="23">
        <f t="shared" si="986"/>
        <v>1.7</v>
      </c>
      <c r="H948" s="4">
        <f t="shared" si="987"/>
        <v>9.7450000000000002E-3</v>
      </c>
      <c r="I948" s="2">
        <f t="shared" si="988"/>
        <v>0.27869165354330705</v>
      </c>
      <c r="J948" s="4">
        <f t="shared" si="989"/>
        <v>9.7367896456692971E-2</v>
      </c>
      <c r="K948" s="4">
        <f t="shared" si="990"/>
        <v>0.37605955000000002</v>
      </c>
      <c r="L948" s="13">
        <f t="shared" si="991"/>
        <v>2.8622540250447206</v>
      </c>
      <c r="M948" s="3">
        <f t="shared" ref="M948" si="1042">AVERAGE(I948:I949)</f>
        <v>0.27869165354330705</v>
      </c>
      <c r="N948" s="3">
        <f t="shared" ref="N948" si="1043">AVERAGE(J948:J949)</f>
        <v>8.6307321456692954E-2</v>
      </c>
    </row>
    <row r="949" spans="1:14" x14ac:dyDescent="0.2">
      <c r="A949" s="4"/>
      <c r="B949" s="4">
        <v>100</v>
      </c>
      <c r="C949" s="4">
        <v>7</v>
      </c>
      <c r="D949" s="33">
        <v>3.2</v>
      </c>
      <c r="E949" s="23">
        <v>1.6</v>
      </c>
      <c r="F949" s="23">
        <f t="shared" si="985"/>
        <v>3.2</v>
      </c>
      <c r="G949" s="23">
        <f t="shared" si="986"/>
        <v>1.6</v>
      </c>
      <c r="H949" s="4">
        <f t="shared" si="987"/>
        <v>9.7450000000000002E-3</v>
      </c>
      <c r="I949" s="2">
        <f t="shared" si="988"/>
        <v>0.27869165354330711</v>
      </c>
      <c r="J949" s="4">
        <f t="shared" si="989"/>
        <v>7.5246746456692937E-2</v>
      </c>
      <c r="K949" s="4">
        <f t="shared" si="990"/>
        <v>0.35393840000000004</v>
      </c>
      <c r="L949" s="13">
        <f t="shared" si="991"/>
        <v>3.7037037037037028</v>
      </c>
      <c r="M949" s="3"/>
      <c r="N949" s="3"/>
    </row>
    <row r="950" spans="1:14" x14ac:dyDescent="0.2">
      <c r="A950" s="4">
        <v>488992</v>
      </c>
      <c r="B950" s="4">
        <v>100</v>
      </c>
      <c r="C950" s="4">
        <v>7</v>
      </c>
      <c r="D950" s="33">
        <v>3.3</v>
      </c>
      <c r="E950" s="23">
        <v>1.7</v>
      </c>
      <c r="F950" s="23">
        <f t="shared" si="985"/>
        <v>3.3</v>
      </c>
      <c r="G950" s="23">
        <f t="shared" si="986"/>
        <v>1.7</v>
      </c>
      <c r="H950" s="4">
        <f t="shared" si="987"/>
        <v>9.7450000000000002E-3</v>
      </c>
      <c r="I950" s="2">
        <f t="shared" si="988"/>
        <v>0.27869165354330705</v>
      </c>
      <c r="J950" s="4">
        <f t="shared" si="989"/>
        <v>9.7367896456692971E-2</v>
      </c>
      <c r="K950" s="4">
        <f t="shared" si="990"/>
        <v>0.37605955000000002</v>
      </c>
      <c r="L950" s="13">
        <f t="shared" si="991"/>
        <v>2.8622540250447206</v>
      </c>
      <c r="M950" s="3">
        <f t="shared" ref="M950" si="1044">AVERAGE(I950:I951)</f>
        <v>0.27433709645669291</v>
      </c>
      <c r="N950" s="3">
        <f t="shared" ref="N950" si="1045">AVERAGE(J950:J951)</f>
        <v>0.10172245354330714</v>
      </c>
    </row>
    <row r="951" spans="1:14" x14ac:dyDescent="0.2">
      <c r="A951" s="4"/>
      <c r="B951" s="4">
        <v>100</v>
      </c>
      <c r="C951" s="4">
        <v>7</v>
      </c>
      <c r="D951" s="33">
        <v>3.25</v>
      </c>
      <c r="E951" s="23">
        <v>1.7</v>
      </c>
      <c r="F951" s="23">
        <f t="shared" si="985"/>
        <v>3.25</v>
      </c>
      <c r="G951" s="23">
        <f t="shared" si="986"/>
        <v>1.7</v>
      </c>
      <c r="H951" s="4">
        <f t="shared" si="987"/>
        <v>9.7450000000000002E-3</v>
      </c>
      <c r="I951" s="2">
        <f t="shared" si="988"/>
        <v>0.26998253937007877</v>
      </c>
      <c r="J951" s="4">
        <f t="shared" si="989"/>
        <v>0.1060770106299213</v>
      </c>
      <c r="K951" s="4">
        <f t="shared" si="990"/>
        <v>0.37605955000000008</v>
      </c>
      <c r="L951" s="13">
        <f t="shared" si="991"/>
        <v>2.5451559934318548</v>
      </c>
      <c r="M951" s="3"/>
      <c r="N951" s="3"/>
    </row>
    <row r="952" spans="1:14" x14ac:dyDescent="0.2">
      <c r="A952" s="31">
        <v>488260</v>
      </c>
      <c r="B952" s="4">
        <v>100</v>
      </c>
      <c r="C952" s="4">
        <v>7</v>
      </c>
      <c r="D952" s="33">
        <v>3.15</v>
      </c>
      <c r="E952" s="23">
        <v>1.55</v>
      </c>
      <c r="F952" s="23">
        <f t="shared" si="985"/>
        <v>3.15</v>
      </c>
      <c r="G952" s="23">
        <f t="shared" si="986"/>
        <v>1.55</v>
      </c>
      <c r="H952" s="4">
        <f t="shared" si="987"/>
        <v>9.7450000000000002E-3</v>
      </c>
      <c r="I952" s="2">
        <f t="shared" si="988"/>
        <v>0.27869165354330705</v>
      </c>
      <c r="J952" s="4">
        <f t="shared" si="989"/>
        <v>6.4186171456692975E-2</v>
      </c>
      <c r="K952" s="4">
        <f t="shared" si="990"/>
        <v>0.34287782500000002</v>
      </c>
      <c r="L952" s="13">
        <f t="shared" si="991"/>
        <v>4.3419267299864268</v>
      </c>
      <c r="M952" s="3">
        <f t="shared" ref="M952" si="1046">AVERAGE(I952:I953)</f>
        <v>0.27869165354330705</v>
      </c>
      <c r="N952" s="3">
        <f t="shared" ref="N952" si="1047">AVERAGE(J952:J953)</f>
        <v>6.4186171456692975E-2</v>
      </c>
    </row>
    <row r="953" spans="1:14" x14ac:dyDescent="0.2">
      <c r="A953" s="4"/>
      <c r="B953" s="4">
        <v>100</v>
      </c>
      <c r="C953" s="4">
        <v>7</v>
      </c>
      <c r="D953" s="33">
        <v>3.15</v>
      </c>
      <c r="E953" s="23">
        <v>1.55</v>
      </c>
      <c r="F953" s="23">
        <f t="shared" si="985"/>
        <v>3.15</v>
      </c>
      <c r="G953" s="23">
        <f t="shared" si="986"/>
        <v>1.55</v>
      </c>
      <c r="H953" s="4">
        <f t="shared" si="987"/>
        <v>9.7450000000000002E-3</v>
      </c>
      <c r="I953" s="2">
        <f t="shared" si="988"/>
        <v>0.27869165354330705</v>
      </c>
      <c r="J953" s="4">
        <f t="shared" si="989"/>
        <v>6.4186171456692975E-2</v>
      </c>
      <c r="K953" s="4">
        <f t="shared" si="990"/>
        <v>0.34287782500000002</v>
      </c>
      <c r="L953" s="13">
        <f t="shared" si="991"/>
        <v>4.3419267299864268</v>
      </c>
      <c r="M953" s="3"/>
      <c r="N953" s="3"/>
    </row>
    <row r="954" spans="1:14" x14ac:dyDescent="0.2">
      <c r="A954" s="4">
        <v>489003</v>
      </c>
      <c r="B954" s="4">
        <v>100</v>
      </c>
      <c r="C954" s="4">
        <v>8</v>
      </c>
      <c r="D954" s="33">
        <v>0.8</v>
      </c>
      <c r="E954" s="23">
        <v>0.55000000000000004</v>
      </c>
      <c r="F954" s="23">
        <f t="shared" si="985"/>
        <v>0.8</v>
      </c>
      <c r="G954" s="23">
        <f t="shared" si="986"/>
        <v>0.55000000000000004</v>
      </c>
      <c r="H954" s="4">
        <f t="shared" si="987"/>
        <v>3.8630000000000001E-3</v>
      </c>
      <c r="I954" s="2">
        <f t="shared" si="988"/>
        <v>1.726183070866142E-2</v>
      </c>
      <c r="J954" s="4">
        <f t="shared" si="989"/>
        <v>3.0967724291338587E-2</v>
      </c>
      <c r="K954" s="4">
        <f t="shared" si="990"/>
        <v>4.8229555000000007E-2</v>
      </c>
      <c r="L954" s="13">
        <f t="shared" si="991"/>
        <v>0.55741360089186176</v>
      </c>
      <c r="M954" s="3">
        <f t="shared" ref="M954" si="1048">AVERAGE(I954:I955)</f>
        <v>2.0714196850393704E-2</v>
      </c>
      <c r="N954" s="3">
        <f t="shared" ref="N954" si="1049">AVERAGE(J954:J955)</f>
        <v>3.4092115649606299E-2</v>
      </c>
    </row>
    <row r="955" spans="1:14" x14ac:dyDescent="0.2">
      <c r="A955" s="4"/>
      <c r="B955" s="4">
        <v>100</v>
      </c>
      <c r="C955" s="4">
        <v>8</v>
      </c>
      <c r="D955" s="33">
        <v>1.05</v>
      </c>
      <c r="E955" s="23">
        <v>0.7</v>
      </c>
      <c r="F955" s="23">
        <f t="shared" si="985"/>
        <v>1.05</v>
      </c>
      <c r="G955" s="23">
        <f t="shared" si="986"/>
        <v>0.7</v>
      </c>
      <c r="H955" s="4">
        <f t="shared" si="987"/>
        <v>3.8630000000000001E-3</v>
      </c>
      <c r="I955" s="2">
        <f t="shared" si="988"/>
        <v>2.4166562992125992E-2</v>
      </c>
      <c r="J955" s="4">
        <f t="shared" si="989"/>
        <v>3.721650700787401E-2</v>
      </c>
      <c r="K955" s="4">
        <f t="shared" si="990"/>
        <v>6.1383069999999998E-2</v>
      </c>
      <c r="L955" s="13">
        <f t="shared" si="991"/>
        <v>0.64935064935064968</v>
      </c>
      <c r="M955" s="3"/>
      <c r="N955" s="3"/>
    </row>
    <row r="956" spans="1:14" x14ac:dyDescent="0.2">
      <c r="A956" s="4">
        <v>489005</v>
      </c>
      <c r="B956" s="4">
        <v>100</v>
      </c>
      <c r="C956" s="4">
        <v>8</v>
      </c>
      <c r="D956" s="33">
        <v>5.45</v>
      </c>
      <c r="E956" s="23">
        <v>3.1</v>
      </c>
      <c r="F956" s="23">
        <f t="shared" si="985"/>
        <v>5.45</v>
      </c>
      <c r="G956" s="23">
        <f t="shared" si="986"/>
        <v>3.1</v>
      </c>
      <c r="H956" s="4">
        <f t="shared" si="987"/>
        <v>3.8630000000000001E-3</v>
      </c>
      <c r="I956" s="2">
        <f t="shared" si="988"/>
        <v>0.16226120866141736</v>
      </c>
      <c r="J956" s="4">
        <f t="shared" si="989"/>
        <v>0.1095781013385827</v>
      </c>
      <c r="K956" s="4">
        <f t="shared" si="990"/>
        <v>0.27183931000000006</v>
      </c>
      <c r="L956" s="13">
        <f t="shared" si="991"/>
        <v>1.4807813484562067</v>
      </c>
      <c r="M956" s="3">
        <f t="shared" ref="M956" si="1050">AVERAGE(I956:I957)</f>
        <v>0.16571357480314963</v>
      </c>
      <c r="N956" s="3">
        <f t="shared" ref="N956" si="1051">AVERAGE(J956:J957)</f>
        <v>0.12147150269685041</v>
      </c>
    </row>
    <row r="957" spans="1:14" x14ac:dyDescent="0.2">
      <c r="A957" s="4"/>
      <c r="B957" s="4">
        <v>100</v>
      </c>
      <c r="C957" s="4">
        <v>8</v>
      </c>
      <c r="D957" s="33">
        <v>5.9</v>
      </c>
      <c r="E957" s="23">
        <v>3.45</v>
      </c>
      <c r="F957" s="23">
        <f t="shared" si="985"/>
        <v>5.9</v>
      </c>
      <c r="G957" s="23">
        <f t="shared" si="986"/>
        <v>3.45</v>
      </c>
      <c r="H957" s="4">
        <f t="shared" si="987"/>
        <v>3.8630000000000001E-3</v>
      </c>
      <c r="I957" s="2">
        <f t="shared" si="988"/>
        <v>0.16916594094488194</v>
      </c>
      <c r="J957" s="4">
        <f t="shared" si="989"/>
        <v>0.13336490405511811</v>
      </c>
      <c r="K957" s="4">
        <f t="shared" si="990"/>
        <v>0.30253084500000005</v>
      </c>
      <c r="L957" s="13">
        <f t="shared" si="991"/>
        <v>1.268444214341186</v>
      </c>
      <c r="M957" s="3"/>
      <c r="N957" s="3"/>
    </row>
    <row r="958" spans="1:14" x14ac:dyDescent="0.2">
      <c r="A958" s="4">
        <v>489006</v>
      </c>
      <c r="B958" s="4">
        <v>100</v>
      </c>
      <c r="C958" s="4">
        <v>8</v>
      </c>
      <c r="D958" s="33">
        <v>5.45</v>
      </c>
      <c r="E958" s="23">
        <v>3.05</v>
      </c>
      <c r="F958" s="23">
        <f t="shared" si="985"/>
        <v>5.45</v>
      </c>
      <c r="G958" s="23">
        <f t="shared" si="986"/>
        <v>3.05</v>
      </c>
      <c r="H958" s="4">
        <f t="shared" si="987"/>
        <v>3.8630000000000001E-3</v>
      </c>
      <c r="I958" s="2">
        <f t="shared" si="988"/>
        <v>0.16571357480314963</v>
      </c>
      <c r="J958" s="4">
        <f t="shared" si="989"/>
        <v>0.10174123019685037</v>
      </c>
      <c r="K958" s="4">
        <f t="shared" si="990"/>
        <v>0.26745480500000002</v>
      </c>
      <c r="L958" s="13">
        <f t="shared" si="991"/>
        <v>1.6287750254496103</v>
      </c>
      <c r="M958" s="3">
        <f t="shared" ref="M958" si="1052">AVERAGE(I958:I959)</f>
        <v>0.16226120866141736</v>
      </c>
      <c r="N958" s="3">
        <f t="shared" ref="N958" si="1053">AVERAGE(J958:J959)</f>
        <v>0.10957810133858267</v>
      </c>
    </row>
    <row r="959" spans="1:14" x14ac:dyDescent="0.2">
      <c r="A959" s="4"/>
      <c r="B959" s="4">
        <v>100</v>
      </c>
      <c r="C959" s="4">
        <v>8</v>
      </c>
      <c r="D959" s="33">
        <v>5.45</v>
      </c>
      <c r="E959" s="23">
        <v>3.15</v>
      </c>
      <c r="F959" s="23">
        <f t="shared" si="985"/>
        <v>5.45</v>
      </c>
      <c r="G959" s="23">
        <f t="shared" si="986"/>
        <v>3.15</v>
      </c>
      <c r="H959" s="4">
        <f t="shared" si="987"/>
        <v>3.8630000000000001E-3</v>
      </c>
      <c r="I959" s="2">
        <f t="shared" si="988"/>
        <v>0.15880884251968508</v>
      </c>
      <c r="J959" s="4">
        <f t="shared" si="989"/>
        <v>0.11741497248031496</v>
      </c>
      <c r="K959" s="4">
        <f t="shared" si="990"/>
        <v>0.27622381500000004</v>
      </c>
      <c r="L959" s="13">
        <f t="shared" si="991"/>
        <v>1.3525433695971776</v>
      </c>
      <c r="M959" s="3"/>
      <c r="N959" s="3"/>
    </row>
    <row r="960" spans="1:14" x14ac:dyDescent="0.2">
      <c r="A960" s="4">
        <v>489007</v>
      </c>
      <c r="B960" s="4">
        <v>100</v>
      </c>
      <c r="C960" s="4">
        <v>7</v>
      </c>
      <c r="D960" s="33">
        <v>4.75</v>
      </c>
      <c r="E960" s="23">
        <v>2.7</v>
      </c>
      <c r="F960" s="23">
        <f t="shared" si="985"/>
        <v>4.75</v>
      </c>
      <c r="G960" s="23">
        <f t="shared" si="986"/>
        <v>2.7</v>
      </c>
      <c r="H960" s="4">
        <f t="shared" si="987"/>
        <v>9.7450000000000002E-3</v>
      </c>
      <c r="I960" s="2">
        <f t="shared" si="988"/>
        <v>0.35707368110236215</v>
      </c>
      <c r="J960" s="4">
        <f t="shared" si="989"/>
        <v>0.24019736889763788</v>
      </c>
      <c r="K960" s="4">
        <f t="shared" si="990"/>
        <v>0.59727105000000003</v>
      </c>
      <c r="L960" s="13">
        <f t="shared" si="991"/>
        <v>1.4865844815083387</v>
      </c>
      <c r="M960" s="3">
        <f t="shared" ref="M960" si="1054">AVERAGE(I960:I961)</f>
        <v>0.35707368110236215</v>
      </c>
      <c r="N960" s="3">
        <f t="shared" ref="N960" si="1055">AVERAGE(J960:J961)</f>
        <v>0.21254593139763789</v>
      </c>
    </row>
    <row r="961" spans="1:14" x14ac:dyDescent="0.2">
      <c r="A961" s="4"/>
      <c r="B961" s="4">
        <v>100</v>
      </c>
      <c r="C961" s="4">
        <v>7</v>
      </c>
      <c r="D961" s="33">
        <v>4.5</v>
      </c>
      <c r="E961" s="23">
        <v>2.4500000000000002</v>
      </c>
      <c r="F961" s="23">
        <f t="shared" si="985"/>
        <v>4.5</v>
      </c>
      <c r="G961" s="23">
        <f t="shared" si="986"/>
        <v>2.4500000000000002</v>
      </c>
      <c r="H961" s="4">
        <f t="shared" si="987"/>
        <v>9.7450000000000002E-3</v>
      </c>
      <c r="I961" s="2">
        <f t="shared" si="988"/>
        <v>0.35707368110236215</v>
      </c>
      <c r="J961" s="4">
        <f t="shared" si="989"/>
        <v>0.18489449389763787</v>
      </c>
      <c r="K961" s="4">
        <f t="shared" si="990"/>
        <v>0.54196817500000005</v>
      </c>
      <c r="L961" s="13">
        <f t="shared" si="991"/>
        <v>1.9312293923692876</v>
      </c>
      <c r="M961" s="3"/>
      <c r="N961" s="3"/>
    </row>
    <row r="962" spans="1:14" x14ac:dyDescent="0.2">
      <c r="A962" s="4">
        <v>489008</v>
      </c>
      <c r="B962" s="4">
        <v>100</v>
      </c>
      <c r="C962" s="4">
        <v>6</v>
      </c>
      <c r="D962" s="33">
        <v>2.4</v>
      </c>
      <c r="E962" s="23">
        <v>1.25</v>
      </c>
      <c r="F962" s="23">
        <f t="shared" ref="F962:F1073" si="1056">IF($C962=5,D962-$D$5,IF($C962=6,D962-$D$6,IF($C962=7,D962-$D$7,IF($C962=8,D962-$D$8,D962))))</f>
        <v>2.4</v>
      </c>
      <c r="G962" s="23">
        <f t="shared" ref="G962:G1073" si="1057">IF($C962=5,E962-$D$5,IF($C962=6,E962-$D$6,IF($C962=7,E962-$D$7,IF($C962=8,E962-$D$8,E962))))</f>
        <v>1.25</v>
      </c>
      <c r="H962" s="4">
        <f t="shared" ref="H962:H985" si="1058">IF(C962=1,32.7101,IF(C962=2,8.14893,IF(C962=3,1.42818,IF(C962=4,0.44041,IF(C962=5,0.123026,IF(C962=6,0.035767,IF(C962=7,0.009745,0.003863)))))))</f>
        <v>3.5767E-2</v>
      </c>
      <c r="I962" s="2">
        <f t="shared" ref="I962:I985" si="1059">H962*$A$3*(F962-G962)*1000/B962</f>
        <v>0.73519490944881893</v>
      </c>
      <c r="J962" s="4">
        <f t="shared" ref="J962:J985" si="1060">2.27*($A$3*G962-($A$3-1)*F962)*H962*1000/B962</f>
        <v>0.27969371555118133</v>
      </c>
      <c r="K962" s="4">
        <f t="shared" ref="K962:K985" si="1061">(I962+J962)</f>
        <v>1.0148886250000002</v>
      </c>
      <c r="L962" s="13">
        <f t="shared" ref="L962:L985" si="1062">(I962/J962)</f>
        <v>2.6285714285714263</v>
      </c>
      <c r="M962" s="3">
        <f t="shared" ref="M962" si="1063">AVERAGE(I962:I963)</f>
        <v>0.73519490944881893</v>
      </c>
      <c r="N962" s="3">
        <f t="shared" ref="N962" si="1064">AVERAGE(J962:J963)</f>
        <v>0.27969371555118133</v>
      </c>
    </row>
    <row r="963" spans="1:14" x14ac:dyDescent="0.2">
      <c r="A963" s="4"/>
      <c r="B963" s="4">
        <v>100</v>
      </c>
      <c r="C963" s="4">
        <v>6</v>
      </c>
      <c r="D963" s="33">
        <v>2.4</v>
      </c>
      <c r="E963" s="23">
        <v>1.25</v>
      </c>
      <c r="F963" s="23">
        <f t="shared" si="1056"/>
        <v>2.4</v>
      </c>
      <c r="G963" s="23">
        <f t="shared" si="1057"/>
        <v>1.25</v>
      </c>
      <c r="H963" s="4">
        <f t="shared" si="1058"/>
        <v>3.5767E-2</v>
      </c>
      <c r="I963" s="2">
        <f t="shared" si="1059"/>
        <v>0.73519490944881893</v>
      </c>
      <c r="J963" s="4">
        <f t="shared" si="1060"/>
        <v>0.27969371555118133</v>
      </c>
      <c r="K963" s="4">
        <f t="shared" si="1061"/>
        <v>1.0148886250000002</v>
      </c>
      <c r="L963" s="13">
        <f t="shared" si="1062"/>
        <v>2.6285714285714263</v>
      </c>
      <c r="M963" s="3"/>
      <c r="N963" s="3"/>
    </row>
    <row r="964" spans="1:14" x14ac:dyDescent="0.2">
      <c r="A964" s="4">
        <v>489010</v>
      </c>
      <c r="B964" s="4">
        <v>100</v>
      </c>
      <c r="C964" s="4">
        <v>7</v>
      </c>
      <c r="D964" s="33">
        <v>2.4500000000000002</v>
      </c>
      <c r="E964" s="23">
        <v>1.2</v>
      </c>
      <c r="F964" s="23">
        <f t="shared" si="1056"/>
        <v>2.4500000000000002</v>
      </c>
      <c r="G964" s="23">
        <f t="shared" si="1057"/>
        <v>1.2</v>
      </c>
      <c r="H964" s="4">
        <f t="shared" si="1058"/>
        <v>9.7450000000000002E-3</v>
      </c>
      <c r="I964" s="2">
        <f t="shared" si="1059"/>
        <v>0.21772785433070868</v>
      </c>
      <c r="J964" s="4">
        <f t="shared" si="1060"/>
        <v>4.7725945669291329E-2</v>
      </c>
      <c r="K964" s="4">
        <f t="shared" si="1061"/>
        <v>0.26545380000000002</v>
      </c>
      <c r="L964" s="13">
        <f t="shared" si="1062"/>
        <v>4.5620437956204389</v>
      </c>
      <c r="M964" s="3">
        <f t="shared" ref="M964" si="1065">AVERAGE(I964:I965)</f>
        <v>0.22208241141732282</v>
      </c>
      <c r="N964" s="3">
        <f t="shared" ref="N964" si="1066">AVERAGE(J964:J965)</f>
        <v>4.8901676082677217E-2</v>
      </c>
    </row>
    <row r="965" spans="1:14" x14ac:dyDescent="0.2">
      <c r="A965" s="4"/>
      <c r="B965" s="4">
        <v>100</v>
      </c>
      <c r="C965" s="4">
        <v>7</v>
      </c>
      <c r="D965" s="33">
        <v>2.5499999999999998</v>
      </c>
      <c r="E965" s="23">
        <v>1.25</v>
      </c>
      <c r="F965" s="23">
        <f t="shared" si="1056"/>
        <v>2.5499999999999998</v>
      </c>
      <c r="G965" s="23">
        <f t="shared" si="1057"/>
        <v>1.25</v>
      </c>
      <c r="H965" s="4">
        <f t="shared" si="1058"/>
        <v>9.7450000000000002E-3</v>
      </c>
      <c r="I965" s="2">
        <f t="shared" si="1059"/>
        <v>0.22643696850393699</v>
      </c>
      <c r="J965" s="4">
        <f t="shared" si="1060"/>
        <v>5.0077406496063112E-2</v>
      </c>
      <c r="K965" s="4">
        <f t="shared" si="1061"/>
        <v>0.27651437500000009</v>
      </c>
      <c r="L965" s="13">
        <f t="shared" si="1062"/>
        <v>4.5217391304347716</v>
      </c>
      <c r="M965" s="3"/>
      <c r="N965" s="3"/>
    </row>
    <row r="966" spans="1:14" x14ac:dyDescent="0.2">
      <c r="A966" s="4">
        <v>489011</v>
      </c>
      <c r="B966" s="4">
        <v>100</v>
      </c>
      <c r="C966" s="4">
        <v>7</v>
      </c>
      <c r="D966" s="33">
        <v>2.2999999999999998</v>
      </c>
      <c r="E966" s="23">
        <v>1.1000000000000001</v>
      </c>
      <c r="F966" s="23">
        <f t="shared" si="1056"/>
        <v>2.2999999999999998</v>
      </c>
      <c r="G966" s="23">
        <f t="shared" si="1057"/>
        <v>1.1000000000000001</v>
      </c>
      <c r="H966" s="4">
        <f t="shared" si="1058"/>
        <v>9.7450000000000002E-3</v>
      </c>
      <c r="I966" s="2">
        <f t="shared" si="1059"/>
        <v>0.20901874015748029</v>
      </c>
      <c r="J966" s="4">
        <f t="shared" si="1060"/>
        <v>3.4313909842519787E-2</v>
      </c>
      <c r="K966" s="4">
        <f t="shared" si="1061"/>
        <v>0.24333265000000007</v>
      </c>
      <c r="L966" s="13">
        <f t="shared" si="1062"/>
        <v>6.0913705583756155</v>
      </c>
      <c r="M966" s="3">
        <f t="shared" ref="M966" si="1067">AVERAGE(I966:I967)</f>
        <v>0.21337329724409448</v>
      </c>
      <c r="N966" s="3">
        <f t="shared" ref="N966" si="1068">AVERAGE(J966:J967)</f>
        <v>4.655021525590558E-2</v>
      </c>
    </row>
    <row r="967" spans="1:14" x14ac:dyDescent="0.2">
      <c r="A967" s="4"/>
      <c r="B967" s="4">
        <v>100</v>
      </c>
      <c r="C967" s="4">
        <v>7</v>
      </c>
      <c r="D967" s="33">
        <v>2.5</v>
      </c>
      <c r="E967" s="23">
        <v>1.25</v>
      </c>
      <c r="F967" s="23">
        <f t="shared" si="1056"/>
        <v>2.5</v>
      </c>
      <c r="G967" s="23">
        <f t="shared" si="1057"/>
        <v>1.25</v>
      </c>
      <c r="H967" s="4">
        <f t="shared" si="1058"/>
        <v>9.7450000000000002E-3</v>
      </c>
      <c r="I967" s="2">
        <f t="shared" si="1059"/>
        <v>0.21772785433070865</v>
      </c>
      <c r="J967" s="4">
        <f t="shared" si="1060"/>
        <v>5.8786520669291381E-2</v>
      </c>
      <c r="K967" s="4">
        <f t="shared" si="1061"/>
        <v>0.27651437500000003</v>
      </c>
      <c r="L967" s="13">
        <f t="shared" si="1062"/>
        <v>3.7037037037037011</v>
      </c>
      <c r="M967" s="3"/>
      <c r="N967" s="3"/>
    </row>
    <row r="968" spans="1:14" x14ac:dyDescent="0.2">
      <c r="A968" s="4">
        <v>489019</v>
      </c>
      <c r="B968" s="4">
        <v>100</v>
      </c>
      <c r="C968" s="4">
        <v>8</v>
      </c>
      <c r="D968" s="33">
        <v>0.95</v>
      </c>
      <c r="E968" s="23">
        <v>0.65</v>
      </c>
      <c r="F968" s="23">
        <f t="shared" si="1056"/>
        <v>0.95</v>
      </c>
      <c r="G968" s="23">
        <f t="shared" si="1057"/>
        <v>0.65</v>
      </c>
      <c r="H968" s="4">
        <f t="shared" si="1058"/>
        <v>3.8630000000000001E-3</v>
      </c>
      <c r="I968" s="2">
        <f t="shared" si="1059"/>
        <v>2.0714196850393694E-2</v>
      </c>
      <c r="J968" s="4">
        <f t="shared" si="1060"/>
        <v>3.6284368149606297E-2</v>
      </c>
      <c r="K968" s="4">
        <f t="shared" si="1061"/>
        <v>5.6998564999999987E-2</v>
      </c>
      <c r="L968" s="13">
        <f t="shared" si="1062"/>
        <v>0.57088487155090373</v>
      </c>
      <c r="M968" s="3">
        <f t="shared" ref="M968" si="1069">AVERAGE(I968:I969)</f>
        <v>1.7261830708661413E-2</v>
      </c>
      <c r="N968" s="3">
        <f t="shared" ref="N968" si="1070">AVERAGE(J968:J969)</f>
        <v>4.4121239291338578E-2</v>
      </c>
    </row>
    <row r="969" spans="1:14" x14ac:dyDescent="0.2">
      <c r="A969" s="4"/>
      <c r="B969" s="4">
        <v>100</v>
      </c>
      <c r="C969" s="4">
        <v>8</v>
      </c>
      <c r="D969" s="33">
        <v>0.95</v>
      </c>
      <c r="E969" s="23">
        <v>0.75</v>
      </c>
      <c r="F969" s="23">
        <f t="shared" si="1056"/>
        <v>0.95</v>
      </c>
      <c r="G969" s="23">
        <f t="shared" si="1057"/>
        <v>0.75</v>
      </c>
      <c r="H969" s="4">
        <f t="shared" si="1058"/>
        <v>3.8630000000000001E-3</v>
      </c>
      <c r="I969" s="2">
        <f t="shared" si="1059"/>
        <v>1.3809464566929133E-2</v>
      </c>
      <c r="J969" s="4">
        <f t="shared" si="1060"/>
        <v>5.1958110433070859E-2</v>
      </c>
      <c r="K969" s="4">
        <f t="shared" si="1061"/>
        <v>6.5767574999999995E-2</v>
      </c>
      <c r="L969" s="13">
        <f t="shared" si="1062"/>
        <v>0.26578073089700999</v>
      </c>
      <c r="M969" s="3"/>
      <c r="N969" s="3"/>
    </row>
    <row r="970" spans="1:14" x14ac:dyDescent="0.2">
      <c r="A970" s="4">
        <v>489020</v>
      </c>
      <c r="B970" s="4">
        <v>100</v>
      </c>
      <c r="C970" s="4">
        <v>8</v>
      </c>
      <c r="D970" s="33">
        <v>3.15</v>
      </c>
      <c r="E970" s="23">
        <v>1.9</v>
      </c>
      <c r="F970" s="23">
        <f t="shared" si="1056"/>
        <v>3.15</v>
      </c>
      <c r="G970" s="23">
        <f t="shared" si="1057"/>
        <v>1.9</v>
      </c>
      <c r="H970" s="4">
        <f t="shared" si="1058"/>
        <v>3.8630000000000001E-3</v>
      </c>
      <c r="I970" s="2">
        <f t="shared" si="1059"/>
        <v>8.6309153543307093E-2</v>
      </c>
      <c r="J970" s="4">
        <f t="shared" si="1060"/>
        <v>8.0302036456692941E-2</v>
      </c>
      <c r="K970" s="4">
        <f t="shared" si="1061"/>
        <v>0.16661119000000002</v>
      </c>
      <c r="L970" s="13">
        <f t="shared" si="1062"/>
        <v>1.0748065348237315</v>
      </c>
      <c r="M970" s="3">
        <f t="shared" ref="M970" si="1071">AVERAGE(I970:I971)</f>
        <v>7.5952055118110234E-2</v>
      </c>
      <c r="N970" s="3">
        <f t="shared" ref="N970" si="1072">AVERAGE(J970:J971)</f>
        <v>9.2851387381889763E-2</v>
      </c>
    </row>
    <row r="971" spans="1:14" x14ac:dyDescent="0.2">
      <c r="A971" s="4"/>
      <c r="B971" s="4">
        <v>100</v>
      </c>
      <c r="C971" s="4">
        <v>8</v>
      </c>
      <c r="D971" s="33">
        <v>2.9</v>
      </c>
      <c r="E971" s="23">
        <v>1.95</v>
      </c>
      <c r="F971" s="23">
        <f t="shared" si="1056"/>
        <v>2.9</v>
      </c>
      <c r="G971" s="23">
        <f t="shared" si="1057"/>
        <v>1.95</v>
      </c>
      <c r="H971" s="4">
        <f t="shared" si="1058"/>
        <v>3.8630000000000001E-3</v>
      </c>
      <c r="I971" s="2">
        <f t="shared" si="1059"/>
        <v>6.5594956692913389E-2</v>
      </c>
      <c r="J971" s="4">
        <f t="shared" si="1060"/>
        <v>0.10540073830708659</v>
      </c>
      <c r="K971" s="4">
        <f t="shared" si="1061"/>
        <v>0.17099569499999998</v>
      </c>
      <c r="L971" s="13">
        <f t="shared" si="1062"/>
        <v>0.62233868326236508</v>
      </c>
      <c r="M971" s="3"/>
      <c r="N971" s="3"/>
    </row>
    <row r="972" spans="1:14" x14ac:dyDescent="0.2">
      <c r="A972" s="4">
        <v>489021</v>
      </c>
      <c r="B972" s="4">
        <v>100</v>
      </c>
      <c r="C972" s="4">
        <v>7</v>
      </c>
      <c r="D972" s="33">
        <v>5.55</v>
      </c>
      <c r="E972" s="23">
        <v>3.05</v>
      </c>
      <c r="F972" s="23">
        <f t="shared" si="1056"/>
        <v>5.55</v>
      </c>
      <c r="G972" s="23">
        <f t="shared" si="1057"/>
        <v>3.05</v>
      </c>
      <c r="H972" s="4">
        <f t="shared" si="1058"/>
        <v>9.7450000000000002E-3</v>
      </c>
      <c r="I972" s="2">
        <f t="shared" si="1059"/>
        <v>0.43545570866141731</v>
      </c>
      <c r="J972" s="4">
        <f t="shared" si="1060"/>
        <v>0.23923936633858264</v>
      </c>
      <c r="K972" s="4">
        <f t="shared" si="1061"/>
        <v>0.67469507499999992</v>
      </c>
      <c r="L972" s="13">
        <f t="shared" si="1062"/>
        <v>1.8201674554058975</v>
      </c>
      <c r="M972" s="3">
        <f t="shared" ref="M972" si="1073">AVERAGE(I972:I973)</f>
        <v>0.43110115157480311</v>
      </c>
      <c r="N972" s="3">
        <f t="shared" ref="N972" si="1074">AVERAGE(J972:J973)</f>
        <v>0.27677564842519686</v>
      </c>
    </row>
    <row r="973" spans="1:14" x14ac:dyDescent="0.2">
      <c r="A973" s="4"/>
      <c r="B973" s="4">
        <v>100</v>
      </c>
      <c r="C973" s="4">
        <v>7</v>
      </c>
      <c r="D973" s="33">
        <v>5.8</v>
      </c>
      <c r="E973" s="23">
        <v>3.35</v>
      </c>
      <c r="F973" s="23">
        <f t="shared" si="1056"/>
        <v>5.8</v>
      </c>
      <c r="G973" s="23">
        <f t="shared" si="1057"/>
        <v>3.35</v>
      </c>
      <c r="H973" s="4">
        <f t="shared" si="1058"/>
        <v>9.7450000000000002E-3</v>
      </c>
      <c r="I973" s="2">
        <f t="shared" si="1059"/>
        <v>0.42674659448818891</v>
      </c>
      <c r="J973" s="4">
        <f t="shared" si="1060"/>
        <v>0.31431193051181111</v>
      </c>
      <c r="K973" s="4">
        <f t="shared" si="1061"/>
        <v>0.74105852500000002</v>
      </c>
      <c r="L973" s="13">
        <f t="shared" si="1062"/>
        <v>1.3577168190634519</v>
      </c>
      <c r="M973" s="3"/>
      <c r="N973" s="3"/>
    </row>
    <row r="974" spans="1:14" x14ac:dyDescent="0.2">
      <c r="A974" s="4">
        <v>489022</v>
      </c>
      <c r="B974" s="4">
        <v>100</v>
      </c>
      <c r="C974" s="4">
        <v>7</v>
      </c>
      <c r="D974" s="33">
        <v>3.9</v>
      </c>
      <c r="E974" s="23">
        <v>2.35</v>
      </c>
      <c r="F974" s="23">
        <f t="shared" si="1056"/>
        <v>3.9</v>
      </c>
      <c r="G974" s="23">
        <f t="shared" si="1057"/>
        <v>2.35</v>
      </c>
      <c r="H974" s="4">
        <f t="shared" si="1058"/>
        <v>9.7450000000000002E-3</v>
      </c>
      <c r="I974" s="2">
        <f t="shared" si="1059"/>
        <v>0.26998253937007877</v>
      </c>
      <c r="J974" s="4">
        <f t="shared" si="1060"/>
        <v>0.24986448562992128</v>
      </c>
      <c r="K974" s="4">
        <f t="shared" si="1061"/>
        <v>0.51984702500000002</v>
      </c>
      <c r="L974" s="13">
        <f t="shared" si="1062"/>
        <v>1.0805158591843849</v>
      </c>
      <c r="M974" s="3">
        <f t="shared" ref="M974" si="1075">AVERAGE(I974:I975)</f>
        <v>0.27869165354330705</v>
      </c>
      <c r="N974" s="3">
        <f t="shared" ref="N974" si="1076">AVERAGE(J974:J975)</f>
        <v>0.21903422145669291</v>
      </c>
    </row>
    <row r="975" spans="1:14" x14ac:dyDescent="0.2">
      <c r="A975" s="4"/>
      <c r="B975" s="4">
        <v>100</v>
      </c>
      <c r="C975" s="4">
        <v>7</v>
      </c>
      <c r="D975" s="33">
        <v>3.8</v>
      </c>
      <c r="E975" s="23">
        <v>2.15</v>
      </c>
      <c r="F975" s="23">
        <f t="shared" si="1056"/>
        <v>3.8</v>
      </c>
      <c r="G975" s="23">
        <f t="shared" si="1057"/>
        <v>2.15</v>
      </c>
      <c r="H975" s="4">
        <f t="shared" si="1058"/>
        <v>9.7450000000000002E-3</v>
      </c>
      <c r="I975" s="2">
        <f t="shared" si="1059"/>
        <v>0.28740076771653539</v>
      </c>
      <c r="J975" s="4">
        <f t="shared" si="1060"/>
        <v>0.18820395728346453</v>
      </c>
      <c r="K975" s="4">
        <f t="shared" si="1061"/>
        <v>0.47560472499999995</v>
      </c>
      <c r="L975" s="13">
        <f t="shared" si="1062"/>
        <v>1.5270708005552984</v>
      </c>
      <c r="M975" s="3"/>
      <c r="N975" s="3"/>
    </row>
    <row r="976" spans="1:14" x14ac:dyDescent="0.2">
      <c r="A976" s="4">
        <v>489023</v>
      </c>
      <c r="B976" s="4">
        <v>100</v>
      </c>
      <c r="C976" s="4">
        <v>7</v>
      </c>
      <c r="D976" s="33">
        <v>5.35</v>
      </c>
      <c r="E976" s="23">
        <v>2.95</v>
      </c>
      <c r="F976" s="23">
        <f t="shared" si="1056"/>
        <v>5.35</v>
      </c>
      <c r="G976" s="23">
        <f t="shared" si="1057"/>
        <v>2.95</v>
      </c>
      <c r="H976" s="4">
        <f t="shared" si="1058"/>
        <v>9.7450000000000002E-3</v>
      </c>
      <c r="I976" s="2">
        <f t="shared" si="1059"/>
        <v>0.41803748031496057</v>
      </c>
      <c r="J976" s="4">
        <f t="shared" si="1060"/>
        <v>0.23453644468503956</v>
      </c>
      <c r="K976" s="4">
        <f t="shared" si="1061"/>
        <v>0.65257392500000011</v>
      </c>
      <c r="L976" s="13">
        <f t="shared" si="1062"/>
        <v>1.7823988117341238</v>
      </c>
      <c r="M976" s="3">
        <f t="shared" ref="M976" si="1077">AVERAGE(I976:I977)</f>
        <v>0.42239203740157483</v>
      </c>
      <c r="N976" s="3">
        <f t="shared" ref="N976" si="1078">AVERAGE(J976:J977)</f>
        <v>0.25783332509842533</v>
      </c>
    </row>
    <row r="977" spans="1:14" x14ac:dyDescent="0.2">
      <c r="A977" s="4"/>
      <c r="B977" s="4">
        <v>100</v>
      </c>
      <c r="C977" s="4">
        <v>7</v>
      </c>
      <c r="D977" s="33">
        <v>5.65</v>
      </c>
      <c r="E977" s="23">
        <v>3.2</v>
      </c>
      <c r="F977" s="23">
        <f t="shared" si="1056"/>
        <v>5.65</v>
      </c>
      <c r="G977" s="23">
        <f t="shared" si="1057"/>
        <v>3.2</v>
      </c>
      <c r="H977" s="4">
        <f t="shared" si="1058"/>
        <v>9.7450000000000002E-3</v>
      </c>
      <c r="I977" s="2">
        <f t="shared" si="1059"/>
        <v>0.42674659448818902</v>
      </c>
      <c r="J977" s="4">
        <f t="shared" si="1060"/>
        <v>0.28113020551181106</v>
      </c>
      <c r="K977" s="4">
        <f t="shared" si="1061"/>
        <v>0.70787680000000008</v>
      </c>
      <c r="L977" s="13">
        <f t="shared" si="1062"/>
        <v>1.5179677819083024</v>
      </c>
      <c r="M977" s="3"/>
      <c r="N977" s="3"/>
    </row>
    <row r="978" spans="1:14" x14ac:dyDescent="0.2">
      <c r="A978" s="4">
        <v>489024</v>
      </c>
      <c r="B978" s="4">
        <v>100</v>
      </c>
      <c r="C978" s="4">
        <v>6</v>
      </c>
      <c r="D978" s="33">
        <v>3.4</v>
      </c>
      <c r="E978" s="23">
        <v>1.8</v>
      </c>
      <c r="F978" s="23">
        <f t="shared" si="1056"/>
        <v>3.4</v>
      </c>
      <c r="G978" s="23">
        <f t="shared" si="1057"/>
        <v>1.8</v>
      </c>
      <c r="H978" s="4">
        <f t="shared" si="1058"/>
        <v>3.5767E-2</v>
      </c>
      <c r="I978" s="2">
        <f t="shared" si="1059"/>
        <v>1.0228798740157479</v>
      </c>
      <c r="J978" s="4">
        <f t="shared" si="1060"/>
        <v>0.43855974598425218</v>
      </c>
      <c r="K978" s="4">
        <f t="shared" si="1061"/>
        <v>1.4614396200000002</v>
      </c>
      <c r="L978" s="13">
        <f t="shared" si="1062"/>
        <v>2.3323615160349838</v>
      </c>
      <c r="M978" s="3">
        <f t="shared" ref="M978" si="1079">AVERAGE(I978:I979)</f>
        <v>1.0548448700787401</v>
      </c>
      <c r="N978" s="3">
        <f t="shared" ref="N978" si="1080">AVERAGE(J978:J979)</f>
        <v>0.42689252242126019</v>
      </c>
    </row>
    <row r="979" spans="1:14" x14ac:dyDescent="0.2">
      <c r="A979" s="4"/>
      <c r="B979" s="4">
        <v>100</v>
      </c>
      <c r="C979" s="4">
        <v>6</v>
      </c>
      <c r="D979" s="33">
        <v>3.55</v>
      </c>
      <c r="E979" s="23">
        <v>1.85</v>
      </c>
      <c r="F979" s="23">
        <f t="shared" si="1056"/>
        <v>3.55</v>
      </c>
      <c r="G979" s="23">
        <f t="shared" si="1057"/>
        <v>1.85</v>
      </c>
      <c r="H979" s="4">
        <f t="shared" si="1058"/>
        <v>3.5767E-2</v>
      </c>
      <c r="I979" s="2">
        <f t="shared" si="1059"/>
        <v>1.0868098661417323</v>
      </c>
      <c r="J979" s="4">
        <f t="shared" si="1060"/>
        <v>0.41522529885826825</v>
      </c>
      <c r="K979" s="4">
        <f t="shared" si="1061"/>
        <v>1.5020351650000006</v>
      </c>
      <c r="L979" s="13">
        <f t="shared" si="1062"/>
        <v>2.6173979984603508</v>
      </c>
      <c r="M979" s="3"/>
      <c r="N979" s="3"/>
    </row>
    <row r="980" spans="1:14" x14ac:dyDescent="0.2">
      <c r="A980" s="4">
        <v>489025</v>
      </c>
      <c r="B980" s="4">
        <v>100</v>
      </c>
      <c r="C980" s="4">
        <v>7</v>
      </c>
      <c r="D980" s="33">
        <v>2.65</v>
      </c>
      <c r="E980" s="23">
        <v>1.3</v>
      </c>
      <c r="F980" s="23">
        <f t="shared" si="1056"/>
        <v>2.65</v>
      </c>
      <c r="G980" s="23">
        <f t="shared" si="1057"/>
        <v>1.3</v>
      </c>
      <c r="H980" s="4">
        <f t="shared" si="1058"/>
        <v>9.7450000000000002E-3</v>
      </c>
      <c r="I980" s="2">
        <f t="shared" si="1059"/>
        <v>0.23514608267716536</v>
      </c>
      <c r="J980" s="4">
        <f t="shared" si="1060"/>
        <v>5.2428867322834638E-2</v>
      </c>
      <c r="K980" s="4">
        <f t="shared" si="1061"/>
        <v>0.28757495</v>
      </c>
      <c r="L980" s="13">
        <f t="shared" si="1062"/>
        <v>4.4850498338870439</v>
      </c>
      <c r="M980" s="3">
        <f t="shared" ref="M980" si="1081">AVERAGE(I980:I981)</f>
        <v>0.23079152559055116</v>
      </c>
      <c r="N980" s="3">
        <f t="shared" ref="N980" si="1082">AVERAGE(J980:J981)</f>
        <v>5.1253136909448875E-2</v>
      </c>
    </row>
    <row r="981" spans="1:14" x14ac:dyDescent="0.2">
      <c r="A981" s="4"/>
      <c r="B981" s="4">
        <v>100</v>
      </c>
      <c r="C981" s="4">
        <v>7</v>
      </c>
      <c r="D981" s="33">
        <v>2.5499999999999998</v>
      </c>
      <c r="E981" s="23">
        <v>1.25</v>
      </c>
      <c r="F981" s="23">
        <f t="shared" si="1056"/>
        <v>2.5499999999999998</v>
      </c>
      <c r="G981" s="23">
        <f t="shared" si="1057"/>
        <v>1.25</v>
      </c>
      <c r="H981" s="4">
        <f t="shared" si="1058"/>
        <v>9.7450000000000002E-3</v>
      </c>
      <c r="I981" s="2">
        <f t="shared" si="1059"/>
        <v>0.22643696850393699</v>
      </c>
      <c r="J981" s="4">
        <f t="shared" si="1060"/>
        <v>5.0077406496063112E-2</v>
      </c>
      <c r="K981" s="4">
        <f t="shared" si="1061"/>
        <v>0.27651437500000009</v>
      </c>
      <c r="L981" s="13">
        <f t="shared" si="1062"/>
        <v>4.5217391304347716</v>
      </c>
      <c r="M981" s="3"/>
      <c r="N981" s="3"/>
    </row>
    <row r="982" spans="1:14" x14ac:dyDescent="0.2">
      <c r="A982" s="4">
        <v>489026</v>
      </c>
      <c r="B982" s="4">
        <v>100</v>
      </c>
      <c r="C982" s="4">
        <v>7</v>
      </c>
      <c r="D982" s="33">
        <v>6.8</v>
      </c>
      <c r="E982" s="23">
        <v>3.5</v>
      </c>
      <c r="F982" s="23">
        <f t="shared" si="1056"/>
        <v>6.8</v>
      </c>
      <c r="G982" s="23">
        <f t="shared" si="1057"/>
        <v>3.5</v>
      </c>
      <c r="H982" s="4">
        <f t="shared" si="1058"/>
        <v>9.7450000000000002E-3</v>
      </c>
      <c r="I982" s="2">
        <f t="shared" si="1059"/>
        <v>0.57480153543307078</v>
      </c>
      <c r="J982" s="4">
        <f t="shared" si="1060"/>
        <v>0.19943871456692913</v>
      </c>
      <c r="K982" s="4">
        <f t="shared" si="1061"/>
        <v>0.77424024999999985</v>
      </c>
      <c r="L982" s="13">
        <f t="shared" si="1062"/>
        <v>2.8820960698689952</v>
      </c>
      <c r="M982" s="3">
        <f t="shared" ref="M982" si="1083">AVERAGE(I982:I983)</f>
        <v>0.57915609251968503</v>
      </c>
      <c r="N982" s="3">
        <f t="shared" ref="N982" si="1084">AVERAGE(J982:J983)</f>
        <v>0.20614473248031495</v>
      </c>
    </row>
    <row r="983" spans="1:14" x14ac:dyDescent="0.2">
      <c r="A983" s="4"/>
      <c r="B983" s="4">
        <v>100</v>
      </c>
      <c r="C983" s="4">
        <v>7</v>
      </c>
      <c r="D983" s="33">
        <v>6.95</v>
      </c>
      <c r="E983" s="23">
        <v>3.6</v>
      </c>
      <c r="F983" s="23">
        <f t="shared" si="1056"/>
        <v>6.95</v>
      </c>
      <c r="G983" s="23">
        <f t="shared" si="1057"/>
        <v>3.6</v>
      </c>
      <c r="H983" s="4">
        <f t="shared" si="1058"/>
        <v>9.7450000000000002E-3</v>
      </c>
      <c r="I983" s="2">
        <f t="shared" si="1059"/>
        <v>0.58351064960629928</v>
      </c>
      <c r="J983" s="4">
        <f t="shared" si="1060"/>
        <v>0.21285075039370077</v>
      </c>
      <c r="K983" s="4">
        <f t="shared" si="1061"/>
        <v>0.79636140000000011</v>
      </c>
      <c r="L983" s="13">
        <f t="shared" si="1062"/>
        <v>2.7414075286415716</v>
      </c>
      <c r="M983" s="3"/>
      <c r="N983" s="3"/>
    </row>
    <row r="984" spans="1:14" x14ac:dyDescent="0.2">
      <c r="A984" s="4">
        <v>489027</v>
      </c>
      <c r="B984" s="4">
        <v>100</v>
      </c>
      <c r="C984" s="4">
        <v>7</v>
      </c>
      <c r="D984" s="33">
        <v>2.4500000000000002</v>
      </c>
      <c r="E984" s="23">
        <v>1.2</v>
      </c>
      <c r="F984" s="23">
        <f t="shared" si="1056"/>
        <v>2.4500000000000002</v>
      </c>
      <c r="G984" s="23">
        <f t="shared" si="1057"/>
        <v>1.2</v>
      </c>
      <c r="H984" s="4">
        <f t="shared" si="1058"/>
        <v>9.7450000000000002E-3</v>
      </c>
      <c r="I984" s="2">
        <f t="shared" si="1059"/>
        <v>0.21772785433070868</v>
      </c>
      <c r="J984" s="4">
        <f t="shared" si="1060"/>
        <v>4.7725945669291329E-2</v>
      </c>
      <c r="K984" s="4">
        <f t="shared" si="1061"/>
        <v>0.26545380000000002</v>
      </c>
      <c r="L984" s="13">
        <f t="shared" si="1062"/>
        <v>4.5620437956204389</v>
      </c>
      <c r="M984" s="3">
        <f t="shared" ref="M984" si="1085">AVERAGE(I984:I985)</f>
        <v>0.22208241141732288</v>
      </c>
      <c r="N984" s="3">
        <f t="shared" ref="N984" si="1086">AVERAGE(J984:J985)</f>
        <v>3.7841101082677131E-2</v>
      </c>
    </row>
    <row r="985" spans="1:14" x14ac:dyDescent="0.2">
      <c r="A985" s="4"/>
      <c r="B985" s="4">
        <v>100</v>
      </c>
      <c r="C985" s="4">
        <v>7</v>
      </c>
      <c r="D985" s="33">
        <v>2.4500000000000002</v>
      </c>
      <c r="E985" s="23">
        <v>1.1499999999999999</v>
      </c>
      <c r="F985" s="23">
        <f t="shared" si="1056"/>
        <v>2.4500000000000002</v>
      </c>
      <c r="G985" s="23">
        <f t="shared" si="1057"/>
        <v>1.1499999999999999</v>
      </c>
      <c r="H985" s="4">
        <f t="shared" si="1058"/>
        <v>9.7450000000000002E-3</v>
      </c>
      <c r="I985" s="2">
        <f t="shared" si="1059"/>
        <v>0.2264369685039371</v>
      </c>
      <c r="J985" s="4">
        <f t="shared" si="1060"/>
        <v>2.7956256496062929E-2</v>
      </c>
      <c r="K985" s="4">
        <f t="shared" si="1061"/>
        <v>0.25439322500000006</v>
      </c>
      <c r="L985" s="13">
        <f t="shared" si="1062"/>
        <v>8.0996884735202705</v>
      </c>
      <c r="M985" s="3"/>
      <c r="N985" s="3"/>
    </row>
    <row r="986" spans="1:14" x14ac:dyDescent="0.2">
      <c r="A986" s="4">
        <v>489032</v>
      </c>
      <c r="B986" s="4">
        <v>100</v>
      </c>
      <c r="C986" s="4">
        <v>8</v>
      </c>
      <c r="D986" s="33">
        <v>1.1499999999999999</v>
      </c>
      <c r="E986" s="23">
        <v>0.85</v>
      </c>
      <c r="F986" s="23">
        <f t="shared" si="1056"/>
        <v>1.1499999999999999</v>
      </c>
      <c r="G986" s="23">
        <f t="shared" si="1057"/>
        <v>0.85</v>
      </c>
      <c r="H986" s="4">
        <f t="shared" ref="H986:H1049" si="1087">IF(C986=1,32.7101,IF(C986=2,8.14893,IF(C986=3,1.42818,IF(C986=4,0.44041,IF(C986=5,0.123026,IF(C986=6,0.035767,IF(C986=7,0.009745,0.003863)))))))</f>
        <v>3.8630000000000001E-3</v>
      </c>
      <c r="I986" s="2">
        <f t="shared" ref="I986:I1049" si="1088">H986*$A$3*(F986-G986)*1000/B986</f>
        <v>2.0714196850393694E-2</v>
      </c>
      <c r="J986" s="4">
        <f t="shared" ref="J986:J1049" si="1089">2.27*($A$3*G986-($A$3-1)*F986)*H986*1000/B986</f>
        <v>5.3822388149606312E-2</v>
      </c>
      <c r="K986" s="4">
        <f t="shared" ref="K986:K1049" si="1090">(I986+J986)</f>
        <v>7.4536585000000002E-2</v>
      </c>
      <c r="L986" s="13">
        <f t="shared" ref="L986:L1049" si="1091">(I986/J986)</f>
        <v>0.38486209108402802</v>
      </c>
      <c r="M986" s="3">
        <f t="shared" ref="M986" si="1092">AVERAGE(I986:I987)</f>
        <v>2.2440379921259843E-2</v>
      </c>
      <c r="N986" s="3">
        <f t="shared" ref="N986" si="1093">AVERAGE(J986:J987)</f>
        <v>4.5519447578740158E-2</v>
      </c>
    </row>
    <row r="987" spans="1:14" x14ac:dyDescent="0.2">
      <c r="A987" s="4"/>
      <c r="B987" s="4">
        <v>100</v>
      </c>
      <c r="C987" s="4">
        <v>8</v>
      </c>
      <c r="D987" s="33">
        <v>1.05</v>
      </c>
      <c r="E987" s="23">
        <v>0.7</v>
      </c>
      <c r="F987" s="23">
        <f t="shared" si="1056"/>
        <v>1.05</v>
      </c>
      <c r="G987" s="23">
        <f t="shared" si="1057"/>
        <v>0.7</v>
      </c>
      <c r="H987" s="4">
        <f t="shared" si="1087"/>
        <v>3.8630000000000001E-3</v>
      </c>
      <c r="I987" s="2">
        <f t="shared" si="1088"/>
        <v>2.4166562992125992E-2</v>
      </c>
      <c r="J987" s="4">
        <f t="shared" si="1089"/>
        <v>3.721650700787401E-2</v>
      </c>
      <c r="K987" s="4">
        <f t="shared" si="1090"/>
        <v>6.1383069999999998E-2</v>
      </c>
      <c r="L987" s="13">
        <f t="shared" si="1091"/>
        <v>0.64935064935064968</v>
      </c>
      <c r="M987" s="3"/>
      <c r="N987" s="3"/>
    </row>
    <row r="988" spans="1:14" x14ac:dyDescent="0.2">
      <c r="A988" s="4">
        <v>489033</v>
      </c>
      <c r="B988" s="4">
        <v>100</v>
      </c>
      <c r="C988" s="4">
        <v>8</v>
      </c>
      <c r="D988" s="33">
        <v>1.1499999999999999</v>
      </c>
      <c r="E988" s="23">
        <v>0.85</v>
      </c>
      <c r="F988" s="23">
        <f t="shared" si="1056"/>
        <v>1.1499999999999999</v>
      </c>
      <c r="G988" s="23">
        <f t="shared" si="1057"/>
        <v>0.85</v>
      </c>
      <c r="H988" s="4">
        <f t="shared" si="1087"/>
        <v>3.8630000000000001E-3</v>
      </c>
      <c r="I988" s="2">
        <f t="shared" si="1088"/>
        <v>2.0714196850393694E-2</v>
      </c>
      <c r="J988" s="4">
        <f t="shared" si="1089"/>
        <v>5.3822388149606312E-2</v>
      </c>
      <c r="K988" s="4">
        <f t="shared" si="1090"/>
        <v>7.4536585000000002E-2</v>
      </c>
      <c r="L988" s="13">
        <f t="shared" si="1091"/>
        <v>0.38486209108402802</v>
      </c>
      <c r="M988" s="3">
        <f t="shared" ref="M988" si="1094">AVERAGE(I988:I989)</f>
        <v>2.0714196850393694E-2</v>
      </c>
      <c r="N988" s="3">
        <f t="shared" ref="N988" si="1095">AVERAGE(J988:J989)</f>
        <v>5.3822388149606312E-2</v>
      </c>
    </row>
    <row r="989" spans="1:14" x14ac:dyDescent="0.2">
      <c r="A989" s="4"/>
      <c r="B989" s="4">
        <v>100</v>
      </c>
      <c r="C989" s="4">
        <v>8</v>
      </c>
      <c r="D989" s="33">
        <v>1.1499999999999999</v>
      </c>
      <c r="E989" s="23">
        <v>0.85</v>
      </c>
      <c r="F989" s="23">
        <f t="shared" si="1056"/>
        <v>1.1499999999999999</v>
      </c>
      <c r="G989" s="23">
        <f t="shared" si="1057"/>
        <v>0.85</v>
      </c>
      <c r="H989" s="4">
        <f t="shared" si="1087"/>
        <v>3.8630000000000001E-3</v>
      </c>
      <c r="I989" s="2">
        <f t="shared" si="1088"/>
        <v>2.0714196850393694E-2</v>
      </c>
      <c r="J989" s="4">
        <f t="shared" si="1089"/>
        <v>5.3822388149606312E-2</v>
      </c>
      <c r="K989" s="4">
        <f t="shared" si="1090"/>
        <v>7.4536585000000002E-2</v>
      </c>
      <c r="L989" s="13">
        <f t="shared" si="1091"/>
        <v>0.38486209108402802</v>
      </c>
      <c r="M989" s="3"/>
      <c r="N989" s="3"/>
    </row>
    <row r="990" spans="1:14" x14ac:dyDescent="0.2">
      <c r="A990" s="4">
        <v>489034</v>
      </c>
      <c r="B990" s="4">
        <v>100</v>
      </c>
      <c r="C990" s="4">
        <v>8</v>
      </c>
      <c r="D990" s="33">
        <v>2.4500000000000002</v>
      </c>
      <c r="E990" s="23">
        <v>1.55</v>
      </c>
      <c r="F990" s="23">
        <f t="shared" si="1056"/>
        <v>2.4500000000000002</v>
      </c>
      <c r="G990" s="23">
        <f t="shared" si="1057"/>
        <v>1.55</v>
      </c>
      <c r="H990" s="4">
        <f t="shared" si="1087"/>
        <v>3.8630000000000001E-3</v>
      </c>
      <c r="I990" s="2">
        <f t="shared" si="1088"/>
        <v>6.2142590551181112E-2</v>
      </c>
      <c r="J990" s="4">
        <f t="shared" si="1089"/>
        <v>7.3777064448818888E-2</v>
      </c>
      <c r="K990" s="4">
        <f t="shared" si="1090"/>
        <v>0.135919655</v>
      </c>
      <c r="L990" s="13">
        <f t="shared" si="1091"/>
        <v>0.84230229293401992</v>
      </c>
      <c r="M990" s="3">
        <f t="shared" ref="M990" si="1096">AVERAGE(I990:I991)</f>
        <v>5.3511675196850399E-2</v>
      </c>
      <c r="N990" s="3">
        <f t="shared" ref="N990" si="1097">AVERAGE(J990:J991)</f>
        <v>6.9254464803149618E-2</v>
      </c>
    </row>
    <row r="991" spans="1:14" x14ac:dyDescent="0.2">
      <c r="A991" s="4"/>
      <c r="B991" s="4">
        <v>100</v>
      </c>
      <c r="C991" s="4">
        <v>8</v>
      </c>
      <c r="D991" s="33">
        <v>1.9</v>
      </c>
      <c r="E991" s="23">
        <v>1.25</v>
      </c>
      <c r="F991" s="23">
        <f t="shared" si="1056"/>
        <v>1.9</v>
      </c>
      <c r="G991" s="23">
        <f t="shared" si="1057"/>
        <v>1.25</v>
      </c>
      <c r="H991" s="4">
        <f t="shared" si="1087"/>
        <v>3.8630000000000001E-3</v>
      </c>
      <c r="I991" s="2">
        <f t="shared" si="1088"/>
        <v>4.4880759842519685E-2</v>
      </c>
      <c r="J991" s="4">
        <f t="shared" si="1089"/>
        <v>6.4731865157480334E-2</v>
      </c>
      <c r="K991" s="4">
        <f t="shared" si="1090"/>
        <v>0.10961262500000002</v>
      </c>
      <c r="L991" s="13">
        <f t="shared" si="1091"/>
        <v>0.69333333333333313</v>
      </c>
      <c r="M991" s="3"/>
      <c r="N991" s="3"/>
    </row>
    <row r="992" spans="1:14" x14ac:dyDescent="0.2">
      <c r="A992" s="4">
        <v>489035</v>
      </c>
      <c r="B992" s="4">
        <v>100</v>
      </c>
      <c r="C992" s="4">
        <v>8</v>
      </c>
      <c r="D992" s="33">
        <v>5</v>
      </c>
      <c r="E992" s="23">
        <v>2.9</v>
      </c>
      <c r="F992" s="23">
        <f t="shared" si="1056"/>
        <v>5</v>
      </c>
      <c r="G992" s="23">
        <f t="shared" si="1057"/>
        <v>2.9</v>
      </c>
      <c r="H992" s="4">
        <f t="shared" si="1087"/>
        <v>3.8630000000000001E-3</v>
      </c>
      <c r="I992" s="2">
        <f t="shared" si="1088"/>
        <v>0.14499937795275591</v>
      </c>
      <c r="J992" s="4">
        <f t="shared" si="1089"/>
        <v>0.10930191204724413</v>
      </c>
      <c r="K992" s="4">
        <f t="shared" si="1090"/>
        <v>0.25430129000000001</v>
      </c>
      <c r="L992" s="13">
        <f t="shared" si="1091"/>
        <v>1.3265950726468727</v>
      </c>
      <c r="M992" s="3">
        <f t="shared" ref="M992" si="1098">AVERAGE(I992:I993)</f>
        <v>0.14672556102362205</v>
      </c>
      <c r="N992" s="3">
        <f t="shared" ref="N992" si="1099">AVERAGE(J992:J993)</f>
        <v>0.10757572897637797</v>
      </c>
    </row>
    <row r="993" spans="1:14" x14ac:dyDescent="0.2">
      <c r="A993" s="4"/>
      <c r="B993" s="4">
        <v>100</v>
      </c>
      <c r="C993" s="4">
        <v>8</v>
      </c>
      <c r="D993" s="33">
        <v>5.05</v>
      </c>
      <c r="E993" s="23">
        <v>2.9</v>
      </c>
      <c r="F993" s="23">
        <f t="shared" si="1056"/>
        <v>5.05</v>
      </c>
      <c r="G993" s="23">
        <f t="shared" si="1057"/>
        <v>2.9</v>
      </c>
      <c r="H993" s="4">
        <f t="shared" si="1087"/>
        <v>3.8630000000000001E-3</v>
      </c>
      <c r="I993" s="2">
        <f t="shared" si="1088"/>
        <v>0.14845174409448819</v>
      </c>
      <c r="J993" s="4">
        <f t="shared" si="1089"/>
        <v>0.10584954590551182</v>
      </c>
      <c r="K993" s="4">
        <f t="shared" si="1090"/>
        <v>0.25430129000000001</v>
      </c>
      <c r="L993" s="13">
        <f t="shared" si="1091"/>
        <v>1.4024787997390735</v>
      </c>
      <c r="M993" s="3"/>
      <c r="N993" s="3"/>
    </row>
    <row r="994" spans="1:14" x14ac:dyDescent="0.2">
      <c r="A994" s="4">
        <v>489036</v>
      </c>
      <c r="B994" s="4">
        <v>100</v>
      </c>
      <c r="C994" s="4">
        <v>7</v>
      </c>
      <c r="D994" s="33">
        <v>5.3</v>
      </c>
      <c r="E994" s="23">
        <v>2.85</v>
      </c>
      <c r="F994" s="23">
        <f t="shared" si="1056"/>
        <v>5.3</v>
      </c>
      <c r="G994" s="23">
        <f t="shared" si="1057"/>
        <v>2.85</v>
      </c>
      <c r="H994" s="4">
        <f t="shared" si="1087"/>
        <v>9.7450000000000002E-3</v>
      </c>
      <c r="I994" s="2">
        <f t="shared" si="1088"/>
        <v>0.42674659448818891</v>
      </c>
      <c r="J994" s="4">
        <f t="shared" si="1089"/>
        <v>0.20370618051181111</v>
      </c>
      <c r="K994" s="4">
        <f t="shared" si="1090"/>
        <v>0.63045277499999997</v>
      </c>
      <c r="L994" s="13">
        <f t="shared" si="1091"/>
        <v>2.094912355707566</v>
      </c>
      <c r="M994" s="3">
        <f t="shared" ref="M994" si="1100">AVERAGE(I994:I995)</f>
        <v>0.42239203740157472</v>
      </c>
      <c r="N994" s="3">
        <f t="shared" ref="N994" si="1101">AVERAGE(J994:J995)</f>
        <v>0.19146987509842534</v>
      </c>
    </row>
    <row r="995" spans="1:14" x14ac:dyDescent="0.2">
      <c r="A995" s="4"/>
      <c r="B995" s="4">
        <v>100</v>
      </c>
      <c r="C995" s="4">
        <v>7</v>
      </c>
      <c r="D995" s="33">
        <v>5.0999999999999996</v>
      </c>
      <c r="E995" s="23">
        <v>2.7</v>
      </c>
      <c r="F995" s="23">
        <f t="shared" si="1056"/>
        <v>5.0999999999999996</v>
      </c>
      <c r="G995" s="23">
        <f t="shared" si="1057"/>
        <v>2.7</v>
      </c>
      <c r="H995" s="4">
        <f t="shared" si="1087"/>
        <v>9.7450000000000002E-3</v>
      </c>
      <c r="I995" s="2">
        <f t="shared" si="1088"/>
        <v>0.41803748031496057</v>
      </c>
      <c r="J995" s="4">
        <f t="shared" si="1089"/>
        <v>0.17923356968503956</v>
      </c>
      <c r="K995" s="4">
        <f t="shared" si="1090"/>
        <v>0.59727105000000014</v>
      </c>
      <c r="L995" s="13">
        <f t="shared" si="1091"/>
        <v>2.3323615160349824</v>
      </c>
      <c r="M995" s="3"/>
      <c r="N995" s="3"/>
    </row>
    <row r="996" spans="1:14" x14ac:dyDescent="0.2">
      <c r="A996" s="4">
        <v>489037</v>
      </c>
      <c r="B996" s="4">
        <v>100</v>
      </c>
      <c r="C996" s="4">
        <v>6</v>
      </c>
      <c r="D996" s="33">
        <v>4.05</v>
      </c>
      <c r="E996" s="23">
        <v>2.0499999999999998</v>
      </c>
      <c r="F996" s="23">
        <f t="shared" si="1056"/>
        <v>4.05</v>
      </c>
      <c r="G996" s="23">
        <f t="shared" si="1057"/>
        <v>2.0499999999999998</v>
      </c>
      <c r="H996" s="4">
        <f t="shared" si="1087"/>
        <v>3.5767E-2</v>
      </c>
      <c r="I996" s="2">
        <f t="shared" si="1088"/>
        <v>1.2785998425196852</v>
      </c>
      <c r="J996" s="4">
        <f t="shared" si="1089"/>
        <v>0.38581750248031488</v>
      </c>
      <c r="K996" s="4">
        <f t="shared" si="1090"/>
        <v>1.6644173449999999</v>
      </c>
      <c r="L996" s="13">
        <f t="shared" si="1091"/>
        <v>3.3140016570008295</v>
      </c>
      <c r="M996" s="3">
        <f t="shared" ref="M996" si="1102">AVERAGE(I996:I997)</f>
        <v>1.2945823405511812</v>
      </c>
      <c r="N996" s="3">
        <f t="shared" ref="N996" si="1103">AVERAGE(J996:J997)</f>
        <v>0.36983500444881889</v>
      </c>
    </row>
    <row r="997" spans="1:14" x14ac:dyDescent="0.2">
      <c r="A997" s="4"/>
      <c r="B997" s="4">
        <v>100</v>
      </c>
      <c r="C997" s="4">
        <v>6</v>
      </c>
      <c r="D997" s="33">
        <v>4.0999999999999996</v>
      </c>
      <c r="E997" s="23">
        <v>2.0499999999999998</v>
      </c>
      <c r="F997" s="23">
        <f t="shared" si="1056"/>
        <v>4.0999999999999996</v>
      </c>
      <c r="G997" s="23">
        <f t="shared" si="1057"/>
        <v>2.0499999999999998</v>
      </c>
      <c r="H997" s="4">
        <f t="shared" si="1087"/>
        <v>3.5767E-2</v>
      </c>
      <c r="I997" s="2">
        <f t="shared" si="1088"/>
        <v>1.3105648385826771</v>
      </c>
      <c r="J997" s="4">
        <f t="shared" si="1089"/>
        <v>0.35385250641732285</v>
      </c>
      <c r="K997" s="4">
        <f t="shared" si="1090"/>
        <v>1.6644173449999999</v>
      </c>
      <c r="L997" s="13">
        <f t="shared" si="1091"/>
        <v>3.7037037037037033</v>
      </c>
      <c r="M997" s="3"/>
      <c r="N997" s="3"/>
    </row>
    <row r="998" spans="1:14" x14ac:dyDescent="0.2">
      <c r="A998" s="4">
        <v>489038</v>
      </c>
      <c r="B998" s="4">
        <v>100</v>
      </c>
      <c r="C998" s="4">
        <v>6</v>
      </c>
      <c r="D998" s="33">
        <v>3.55</v>
      </c>
      <c r="E998" s="23">
        <v>1.8</v>
      </c>
      <c r="F998" s="23">
        <f t="shared" si="1056"/>
        <v>3.55</v>
      </c>
      <c r="G998" s="23">
        <f t="shared" si="1057"/>
        <v>1.8</v>
      </c>
      <c r="H998" s="4">
        <f t="shared" si="1087"/>
        <v>3.5767E-2</v>
      </c>
      <c r="I998" s="2">
        <f t="shared" si="1088"/>
        <v>1.1187748622047244</v>
      </c>
      <c r="J998" s="4">
        <f t="shared" si="1089"/>
        <v>0.34266475779527605</v>
      </c>
      <c r="K998" s="4">
        <f t="shared" si="1090"/>
        <v>1.4614396200000006</v>
      </c>
      <c r="L998" s="13">
        <f t="shared" si="1091"/>
        <v>3.2649253731343242</v>
      </c>
      <c r="M998" s="3">
        <f t="shared" ref="M998" si="1104">AVERAGE(I998:I999)</f>
        <v>1.1027923641732285</v>
      </c>
      <c r="N998" s="3">
        <f t="shared" ref="N998" si="1105">AVERAGE(J998:J999)</f>
        <v>0.37894502832677213</v>
      </c>
    </row>
    <row r="999" spans="1:14" x14ac:dyDescent="0.2">
      <c r="A999" s="4"/>
      <c r="B999" s="4">
        <v>100</v>
      </c>
      <c r="C999" s="4">
        <v>6</v>
      </c>
      <c r="D999" s="33">
        <v>3.55</v>
      </c>
      <c r="E999" s="23">
        <v>1.85</v>
      </c>
      <c r="F999" s="23">
        <f t="shared" si="1056"/>
        <v>3.55</v>
      </c>
      <c r="G999" s="23">
        <f t="shared" si="1057"/>
        <v>1.85</v>
      </c>
      <c r="H999" s="4">
        <f t="shared" si="1087"/>
        <v>3.5767E-2</v>
      </c>
      <c r="I999" s="2">
        <f t="shared" si="1088"/>
        <v>1.0868098661417323</v>
      </c>
      <c r="J999" s="4">
        <f t="shared" si="1089"/>
        <v>0.41522529885826825</v>
      </c>
      <c r="K999" s="4">
        <f t="shared" si="1090"/>
        <v>1.5020351650000006</v>
      </c>
      <c r="L999" s="13">
        <f t="shared" si="1091"/>
        <v>2.6173979984603508</v>
      </c>
      <c r="M999" s="3"/>
      <c r="N999" s="3"/>
    </row>
    <row r="1000" spans="1:14" x14ac:dyDescent="0.2">
      <c r="A1000" s="4">
        <v>489039</v>
      </c>
      <c r="B1000" s="4">
        <v>100</v>
      </c>
      <c r="C1000" s="4">
        <v>7</v>
      </c>
      <c r="D1000" s="33">
        <v>4</v>
      </c>
      <c r="E1000" s="23">
        <v>2.0499999999999998</v>
      </c>
      <c r="F1000" s="23">
        <f t="shared" si="1056"/>
        <v>4</v>
      </c>
      <c r="G1000" s="23">
        <f t="shared" si="1057"/>
        <v>2.0499999999999998</v>
      </c>
      <c r="H1000" s="4">
        <f t="shared" si="1087"/>
        <v>9.7450000000000002E-3</v>
      </c>
      <c r="I1000" s="2">
        <f t="shared" si="1088"/>
        <v>0.33965545275590558</v>
      </c>
      <c r="J1000" s="4">
        <f t="shared" si="1089"/>
        <v>0.11382812224409448</v>
      </c>
      <c r="K1000" s="4">
        <f t="shared" si="1090"/>
        <v>0.45348357500000008</v>
      </c>
      <c r="L1000" s="13">
        <f t="shared" si="1091"/>
        <v>2.9839326702371851</v>
      </c>
      <c r="M1000" s="3">
        <f t="shared" ref="M1000" si="1106">AVERAGE(I1000:I1001)</f>
        <v>0.33965545275590558</v>
      </c>
      <c r="N1000" s="3">
        <f t="shared" ref="N1000" si="1107">AVERAGE(J1000:J1001)</f>
        <v>0.10829783474409449</v>
      </c>
    </row>
    <row r="1001" spans="1:14" x14ac:dyDescent="0.2">
      <c r="A1001" s="4"/>
      <c r="B1001" s="4">
        <v>100</v>
      </c>
      <c r="C1001" s="4">
        <v>7</v>
      </c>
      <c r="D1001" s="33">
        <v>3.95</v>
      </c>
      <c r="E1001" s="23">
        <v>2</v>
      </c>
      <c r="F1001" s="23">
        <f t="shared" si="1056"/>
        <v>3.95</v>
      </c>
      <c r="G1001" s="23">
        <f t="shared" si="1057"/>
        <v>2</v>
      </c>
      <c r="H1001" s="4">
        <f t="shared" si="1087"/>
        <v>9.7450000000000002E-3</v>
      </c>
      <c r="I1001" s="2">
        <f t="shared" si="1088"/>
        <v>0.33965545275590558</v>
      </c>
      <c r="J1001" s="4">
        <f t="shared" si="1089"/>
        <v>0.1027675472440945</v>
      </c>
      <c r="K1001" s="4">
        <f t="shared" si="1090"/>
        <v>0.44242300000000007</v>
      </c>
      <c r="L1001" s="13">
        <f t="shared" si="1091"/>
        <v>3.3050847457627124</v>
      </c>
      <c r="M1001" s="3"/>
      <c r="N1001" s="3"/>
    </row>
    <row r="1002" spans="1:14" x14ac:dyDescent="0.2">
      <c r="A1002" s="4">
        <v>489040</v>
      </c>
      <c r="B1002" s="4">
        <v>100</v>
      </c>
      <c r="C1002" s="4">
        <v>7</v>
      </c>
      <c r="D1002" s="33">
        <v>3.2</v>
      </c>
      <c r="E1002" s="23">
        <v>1.55</v>
      </c>
      <c r="F1002" s="23">
        <f t="shared" si="1056"/>
        <v>3.2</v>
      </c>
      <c r="G1002" s="23">
        <f t="shared" si="1057"/>
        <v>1.55</v>
      </c>
      <c r="H1002" s="4">
        <f t="shared" si="1087"/>
        <v>9.7450000000000002E-3</v>
      </c>
      <c r="I1002" s="2">
        <f t="shared" si="1088"/>
        <v>0.28740076771653544</v>
      </c>
      <c r="J1002" s="4">
        <f t="shared" si="1089"/>
        <v>5.5477057283464547E-2</v>
      </c>
      <c r="K1002" s="4">
        <f t="shared" si="1090"/>
        <v>0.34287782499999997</v>
      </c>
      <c r="L1002" s="13">
        <f t="shared" si="1091"/>
        <v>5.1805337519623258</v>
      </c>
      <c r="M1002" s="3">
        <f t="shared" ref="M1002" si="1108">AVERAGE(I1002:I1003)</f>
        <v>0.27869165354330716</v>
      </c>
      <c r="N1002" s="3">
        <f t="shared" ref="N1002" si="1109">AVERAGE(J1002:J1003)</f>
        <v>7.5246746456692895E-2</v>
      </c>
    </row>
    <row r="1003" spans="1:14" x14ac:dyDescent="0.2">
      <c r="A1003" s="4"/>
      <c r="B1003" s="4">
        <v>100</v>
      </c>
      <c r="C1003" s="4">
        <v>7</v>
      </c>
      <c r="D1003" s="33">
        <v>3.2</v>
      </c>
      <c r="E1003" s="23">
        <v>1.65</v>
      </c>
      <c r="F1003" s="23">
        <f t="shared" si="1056"/>
        <v>3.2</v>
      </c>
      <c r="G1003" s="23">
        <f t="shared" si="1057"/>
        <v>1.65</v>
      </c>
      <c r="H1003" s="4">
        <f t="shared" si="1087"/>
        <v>9.7450000000000002E-3</v>
      </c>
      <c r="I1003" s="2">
        <f t="shared" si="1088"/>
        <v>0.26998253937007882</v>
      </c>
      <c r="J1003" s="4">
        <f t="shared" si="1089"/>
        <v>9.5016435629921236E-2</v>
      </c>
      <c r="K1003" s="4">
        <f t="shared" si="1090"/>
        <v>0.36499897500000006</v>
      </c>
      <c r="L1003" s="13">
        <f t="shared" si="1091"/>
        <v>2.8414298808432648</v>
      </c>
      <c r="M1003" s="3"/>
      <c r="N1003" s="3"/>
    </row>
    <row r="1004" spans="1:14" x14ac:dyDescent="0.2">
      <c r="A1004" s="4">
        <v>489041</v>
      </c>
      <c r="B1004" s="4">
        <v>100</v>
      </c>
      <c r="C1004" s="4">
        <v>7</v>
      </c>
      <c r="D1004" s="33">
        <v>3.95</v>
      </c>
      <c r="E1004" s="23">
        <v>2.6</v>
      </c>
      <c r="F1004" s="23">
        <f t="shared" si="1056"/>
        <v>3.95</v>
      </c>
      <c r="G1004" s="23">
        <f t="shared" si="1057"/>
        <v>2.6</v>
      </c>
      <c r="H1004" s="4">
        <f t="shared" si="1087"/>
        <v>9.7450000000000002E-3</v>
      </c>
      <c r="I1004" s="2">
        <f t="shared" si="1088"/>
        <v>0.23514608267716539</v>
      </c>
      <c r="J1004" s="4">
        <f t="shared" si="1089"/>
        <v>0.34000381732283458</v>
      </c>
      <c r="K1004" s="4">
        <f t="shared" si="1090"/>
        <v>0.57514989999999999</v>
      </c>
      <c r="L1004" s="13">
        <f t="shared" si="1091"/>
        <v>0.69159836065573799</v>
      </c>
      <c r="M1004" s="3">
        <f t="shared" ref="M1004" si="1110">AVERAGE(I1004:I1005)</f>
        <v>0.22208241141732288</v>
      </c>
      <c r="N1004" s="3">
        <f t="shared" ref="N1004" si="1111">AVERAGE(J1004:J1005)</f>
        <v>0.37518863858267715</v>
      </c>
    </row>
    <row r="1005" spans="1:14" x14ac:dyDescent="0.2">
      <c r="A1005" s="4"/>
      <c r="B1005" s="4">
        <v>100</v>
      </c>
      <c r="C1005" s="4">
        <v>7</v>
      </c>
      <c r="D1005" s="33">
        <v>4</v>
      </c>
      <c r="E1005" s="23">
        <v>2.8</v>
      </c>
      <c r="F1005" s="23">
        <f t="shared" si="1056"/>
        <v>4</v>
      </c>
      <c r="G1005" s="23">
        <f t="shared" si="1057"/>
        <v>2.8</v>
      </c>
      <c r="H1005" s="4">
        <f t="shared" si="1087"/>
        <v>9.7450000000000002E-3</v>
      </c>
      <c r="I1005" s="2">
        <f t="shared" si="1088"/>
        <v>0.20901874015748034</v>
      </c>
      <c r="J1005" s="4">
        <f t="shared" si="1089"/>
        <v>0.41037345984251972</v>
      </c>
      <c r="K1005" s="4">
        <f t="shared" si="1090"/>
        <v>0.61939220000000006</v>
      </c>
      <c r="L1005" s="13">
        <f t="shared" si="1091"/>
        <v>0.50933786078098475</v>
      </c>
      <c r="M1005" s="3"/>
      <c r="N1005" s="3"/>
    </row>
    <row r="1006" spans="1:14" x14ac:dyDescent="0.2">
      <c r="A1006" s="4">
        <v>489042</v>
      </c>
      <c r="B1006" s="4">
        <v>100</v>
      </c>
      <c r="C1006" s="4">
        <v>7</v>
      </c>
      <c r="D1006" s="33">
        <v>3.65</v>
      </c>
      <c r="E1006" s="23">
        <v>2.5</v>
      </c>
      <c r="F1006" s="23">
        <f t="shared" si="1056"/>
        <v>3.65</v>
      </c>
      <c r="G1006" s="23">
        <f t="shared" si="1057"/>
        <v>2.5</v>
      </c>
      <c r="H1006" s="4">
        <f t="shared" si="1087"/>
        <v>9.7450000000000002E-3</v>
      </c>
      <c r="I1006" s="2">
        <f t="shared" si="1088"/>
        <v>0.20030962598425198</v>
      </c>
      <c r="J1006" s="4">
        <f t="shared" si="1089"/>
        <v>0.35271912401574812</v>
      </c>
      <c r="K1006" s="4">
        <f t="shared" si="1090"/>
        <v>0.55302875000000007</v>
      </c>
      <c r="L1006" s="13">
        <f t="shared" si="1091"/>
        <v>0.56790123456790109</v>
      </c>
      <c r="M1006" s="3">
        <f t="shared" ref="M1006" si="1112">AVERAGE(I1006:I1007)</f>
        <v>0.20030962598425198</v>
      </c>
      <c r="N1006" s="3">
        <f t="shared" ref="N1006" si="1113">AVERAGE(J1006:J1007)</f>
        <v>0.37484027401574804</v>
      </c>
    </row>
    <row r="1007" spans="1:14" x14ac:dyDescent="0.2">
      <c r="A1007" s="4"/>
      <c r="B1007" s="4">
        <v>100</v>
      </c>
      <c r="C1007" s="4">
        <v>7</v>
      </c>
      <c r="D1007" s="33">
        <v>3.85</v>
      </c>
      <c r="E1007" s="23">
        <v>2.7</v>
      </c>
      <c r="F1007" s="23">
        <f t="shared" si="1056"/>
        <v>3.85</v>
      </c>
      <c r="G1007" s="23">
        <f t="shared" si="1057"/>
        <v>2.7</v>
      </c>
      <c r="H1007" s="4">
        <f t="shared" si="1087"/>
        <v>9.7450000000000002E-3</v>
      </c>
      <c r="I1007" s="2">
        <f t="shared" si="1088"/>
        <v>0.20030962598425198</v>
      </c>
      <c r="J1007" s="4">
        <f t="shared" si="1089"/>
        <v>0.39696142401574802</v>
      </c>
      <c r="K1007" s="4">
        <f t="shared" si="1090"/>
        <v>0.59727105000000003</v>
      </c>
      <c r="L1007" s="13">
        <f t="shared" si="1091"/>
        <v>0.50460728389644582</v>
      </c>
      <c r="M1007" s="3"/>
      <c r="N1007" s="3"/>
    </row>
    <row r="1008" spans="1:14" x14ac:dyDescent="0.2">
      <c r="A1008" s="4">
        <v>489043</v>
      </c>
      <c r="B1008" s="4">
        <v>100</v>
      </c>
      <c r="C1008" s="4">
        <v>7</v>
      </c>
      <c r="D1008" s="33">
        <v>4.95</v>
      </c>
      <c r="E1008" s="23">
        <v>3.2</v>
      </c>
      <c r="F1008" s="23">
        <f t="shared" si="1056"/>
        <v>4.95</v>
      </c>
      <c r="G1008" s="23">
        <f t="shared" si="1057"/>
        <v>3.2</v>
      </c>
      <c r="H1008" s="4">
        <f t="shared" si="1087"/>
        <v>9.7450000000000002E-3</v>
      </c>
      <c r="I1008" s="2">
        <f t="shared" si="1088"/>
        <v>0.30481899606299218</v>
      </c>
      <c r="J1008" s="4">
        <f t="shared" si="1089"/>
        <v>0.40305780393700791</v>
      </c>
      <c r="K1008" s="4">
        <f t="shared" si="1090"/>
        <v>0.70787680000000008</v>
      </c>
      <c r="L1008" s="13">
        <f t="shared" si="1091"/>
        <v>0.75626620570440806</v>
      </c>
      <c r="M1008" s="3">
        <f t="shared" ref="M1008" si="1114">AVERAGE(I1008:I1009)</f>
        <v>0.30917355314960637</v>
      </c>
      <c r="N1008" s="3">
        <f t="shared" ref="N1008" si="1115">AVERAGE(J1008:J1009)</f>
        <v>0.35999123435039371</v>
      </c>
    </row>
    <row r="1009" spans="1:14" x14ac:dyDescent="0.2">
      <c r="A1009" s="4"/>
      <c r="B1009" s="4">
        <v>100</v>
      </c>
      <c r="C1009" s="4">
        <v>7</v>
      </c>
      <c r="D1009" s="33">
        <v>4.6500000000000004</v>
      </c>
      <c r="E1009" s="23">
        <v>2.85</v>
      </c>
      <c r="F1009" s="23">
        <f t="shared" si="1056"/>
        <v>4.6500000000000004</v>
      </c>
      <c r="G1009" s="23">
        <f t="shared" si="1057"/>
        <v>2.85</v>
      </c>
      <c r="H1009" s="4">
        <f t="shared" si="1087"/>
        <v>9.7450000000000002E-3</v>
      </c>
      <c r="I1009" s="2">
        <f t="shared" si="1088"/>
        <v>0.31352811023622057</v>
      </c>
      <c r="J1009" s="4">
        <f t="shared" si="1089"/>
        <v>0.31692466476377951</v>
      </c>
      <c r="K1009" s="4">
        <f t="shared" si="1090"/>
        <v>0.63045277500000008</v>
      </c>
      <c r="L1009" s="13">
        <f t="shared" si="1091"/>
        <v>0.98928276999175635</v>
      </c>
      <c r="M1009" s="3"/>
      <c r="N1009" s="3"/>
    </row>
    <row r="1010" spans="1:14" x14ac:dyDescent="0.2">
      <c r="A1010" s="4">
        <v>489044</v>
      </c>
      <c r="B1010" s="4">
        <v>100</v>
      </c>
      <c r="C1010" s="4">
        <v>6</v>
      </c>
      <c r="D1010" s="33">
        <v>4.3</v>
      </c>
      <c r="E1010" s="23">
        <v>2.2999999999999998</v>
      </c>
      <c r="F1010" s="23">
        <f t="shared" si="1056"/>
        <v>4.3</v>
      </c>
      <c r="G1010" s="23">
        <f t="shared" si="1057"/>
        <v>2.2999999999999998</v>
      </c>
      <c r="H1010" s="4">
        <f t="shared" si="1087"/>
        <v>3.5767E-2</v>
      </c>
      <c r="I1010" s="2">
        <f t="shared" si="1088"/>
        <v>1.2785998425196852</v>
      </c>
      <c r="J1010" s="4">
        <f t="shared" si="1089"/>
        <v>0.58879522748031465</v>
      </c>
      <c r="K1010" s="4">
        <f t="shared" si="1090"/>
        <v>1.8673950699999997</v>
      </c>
      <c r="L1010" s="13">
        <f t="shared" si="1091"/>
        <v>2.1715526601520101</v>
      </c>
      <c r="M1010" s="3">
        <f t="shared" ref="M1010" si="1116">AVERAGE(I1010:I1011)</f>
        <v>1.2626173444881892</v>
      </c>
      <c r="N1010" s="3">
        <f t="shared" ref="N1010" si="1117">AVERAGE(J1010:J1011)</f>
        <v>0.60477772551181064</v>
      </c>
    </row>
    <row r="1011" spans="1:14" x14ac:dyDescent="0.2">
      <c r="A1011" s="4"/>
      <c r="B1011" s="4">
        <v>100</v>
      </c>
      <c r="C1011" s="4">
        <v>6</v>
      </c>
      <c r="D1011" s="33">
        <v>4.25</v>
      </c>
      <c r="E1011" s="23">
        <v>2.2999999999999998</v>
      </c>
      <c r="F1011" s="23">
        <f t="shared" si="1056"/>
        <v>4.25</v>
      </c>
      <c r="G1011" s="23">
        <f t="shared" si="1057"/>
        <v>2.2999999999999998</v>
      </c>
      <c r="H1011" s="4">
        <f t="shared" si="1087"/>
        <v>3.5767E-2</v>
      </c>
      <c r="I1011" s="2">
        <f t="shared" si="1088"/>
        <v>1.2466348464566932</v>
      </c>
      <c r="J1011" s="4">
        <f t="shared" si="1089"/>
        <v>0.62076022354330662</v>
      </c>
      <c r="K1011" s="4">
        <f t="shared" si="1090"/>
        <v>1.8673950699999997</v>
      </c>
      <c r="L1011" s="13">
        <f t="shared" si="1091"/>
        <v>2.0082389289392397</v>
      </c>
      <c r="M1011" s="3"/>
      <c r="N1011" s="3"/>
    </row>
    <row r="1012" spans="1:14" x14ac:dyDescent="0.2">
      <c r="A1012" s="4">
        <v>489045</v>
      </c>
      <c r="B1012" s="4">
        <v>100</v>
      </c>
      <c r="C1012" s="4">
        <v>7</v>
      </c>
      <c r="D1012" s="33">
        <v>2.8</v>
      </c>
      <c r="E1012" s="23">
        <v>1.45</v>
      </c>
      <c r="F1012" s="23">
        <f t="shared" si="1056"/>
        <v>2.8</v>
      </c>
      <c r="G1012" s="23">
        <f t="shared" si="1057"/>
        <v>1.45</v>
      </c>
      <c r="H1012" s="4">
        <f t="shared" si="1087"/>
        <v>9.7450000000000002E-3</v>
      </c>
      <c r="I1012" s="2">
        <f t="shared" si="1088"/>
        <v>0.23514608267716536</v>
      </c>
      <c r="J1012" s="4">
        <f t="shared" si="1089"/>
        <v>8.5610592322834703E-2</v>
      </c>
      <c r="K1012" s="4">
        <f t="shared" si="1090"/>
        <v>0.32075667500000005</v>
      </c>
      <c r="L1012" s="13">
        <f t="shared" si="1091"/>
        <v>2.7466937945066108</v>
      </c>
      <c r="M1012" s="3">
        <f t="shared" ref="M1012" si="1118">AVERAGE(I1012:I1013)</f>
        <v>0.23514608267716536</v>
      </c>
      <c r="N1012" s="3">
        <f t="shared" ref="N1012" si="1119">AVERAGE(J1012:J1013)</f>
        <v>7.45500173228347E-2</v>
      </c>
    </row>
    <row r="1013" spans="1:14" x14ac:dyDescent="0.2">
      <c r="A1013" s="4"/>
      <c r="B1013" s="4">
        <v>100</v>
      </c>
      <c r="C1013" s="4">
        <v>7</v>
      </c>
      <c r="D1013" s="33">
        <v>2.7</v>
      </c>
      <c r="E1013" s="23">
        <v>1.35</v>
      </c>
      <c r="F1013" s="23">
        <f t="shared" si="1056"/>
        <v>2.7</v>
      </c>
      <c r="G1013" s="23">
        <f t="shared" si="1057"/>
        <v>1.35</v>
      </c>
      <c r="H1013" s="4">
        <f t="shared" si="1087"/>
        <v>9.7450000000000002E-3</v>
      </c>
      <c r="I1013" s="2">
        <f t="shared" si="1088"/>
        <v>0.23514608267716539</v>
      </c>
      <c r="J1013" s="4">
        <f t="shared" si="1089"/>
        <v>6.3489442322834697E-2</v>
      </c>
      <c r="K1013" s="4">
        <f t="shared" si="1090"/>
        <v>0.29863552500000007</v>
      </c>
      <c r="L1013" s="13">
        <f t="shared" si="1091"/>
        <v>3.7037037037037011</v>
      </c>
      <c r="M1013" s="3"/>
      <c r="N1013" s="3"/>
    </row>
    <row r="1014" spans="1:14" x14ac:dyDescent="0.2">
      <c r="A1014" s="4">
        <v>489046</v>
      </c>
      <c r="B1014" s="4">
        <v>100</v>
      </c>
      <c r="C1014" s="4">
        <v>7</v>
      </c>
      <c r="D1014" s="33">
        <v>4.05</v>
      </c>
      <c r="E1014" s="23">
        <v>2.15</v>
      </c>
      <c r="F1014" s="23">
        <f t="shared" si="1056"/>
        <v>4.05</v>
      </c>
      <c r="G1014" s="23">
        <f t="shared" si="1057"/>
        <v>2.15</v>
      </c>
      <c r="H1014" s="4">
        <f t="shared" si="1087"/>
        <v>9.7450000000000002E-3</v>
      </c>
      <c r="I1014" s="2">
        <f t="shared" si="1088"/>
        <v>0.33094633858267719</v>
      </c>
      <c r="J1014" s="4">
        <f t="shared" si="1089"/>
        <v>0.14465838641732279</v>
      </c>
      <c r="K1014" s="4">
        <f t="shared" si="1090"/>
        <v>0.47560472499999995</v>
      </c>
      <c r="L1014" s="13">
        <f t="shared" si="1091"/>
        <v>2.2877784467188449</v>
      </c>
      <c r="M1014" s="3">
        <f t="shared" ref="M1014" si="1120">AVERAGE(I1014:I1015)</f>
        <v>0.33530089566929139</v>
      </c>
      <c r="N1014" s="3">
        <f t="shared" ref="N1014" si="1121">AVERAGE(J1014:J1015)</f>
        <v>0.12371296683070865</v>
      </c>
    </row>
    <row r="1015" spans="1:14" x14ac:dyDescent="0.2">
      <c r="A1015" s="4"/>
      <c r="B1015" s="4">
        <v>100</v>
      </c>
      <c r="C1015" s="4">
        <v>7</v>
      </c>
      <c r="D1015" s="33">
        <v>3.95</v>
      </c>
      <c r="E1015" s="23">
        <v>2</v>
      </c>
      <c r="F1015" s="23">
        <f t="shared" si="1056"/>
        <v>3.95</v>
      </c>
      <c r="G1015" s="23">
        <f t="shared" si="1057"/>
        <v>2</v>
      </c>
      <c r="H1015" s="4">
        <f t="shared" si="1087"/>
        <v>9.7450000000000002E-3</v>
      </c>
      <c r="I1015" s="2">
        <f t="shared" si="1088"/>
        <v>0.33965545275590558</v>
      </c>
      <c r="J1015" s="4">
        <f t="shared" si="1089"/>
        <v>0.1027675472440945</v>
      </c>
      <c r="K1015" s="4">
        <f t="shared" si="1090"/>
        <v>0.44242300000000007</v>
      </c>
      <c r="L1015" s="13">
        <f t="shared" si="1091"/>
        <v>3.3050847457627124</v>
      </c>
      <c r="M1015" s="3"/>
      <c r="N1015" s="3"/>
    </row>
    <row r="1016" spans="1:14" x14ac:dyDescent="0.2">
      <c r="A1016" s="4">
        <v>489047</v>
      </c>
      <c r="B1016" s="4">
        <v>100</v>
      </c>
      <c r="C1016" s="4">
        <v>7</v>
      </c>
      <c r="D1016" s="33">
        <v>3.65</v>
      </c>
      <c r="E1016" s="23">
        <v>1.9</v>
      </c>
      <c r="F1016" s="23">
        <f t="shared" si="1056"/>
        <v>3.65</v>
      </c>
      <c r="G1016" s="23">
        <f t="shared" si="1057"/>
        <v>1.9</v>
      </c>
      <c r="H1016" s="4">
        <f t="shared" si="1087"/>
        <v>9.7450000000000002E-3</v>
      </c>
      <c r="I1016" s="2">
        <f t="shared" si="1088"/>
        <v>0.30481899606299218</v>
      </c>
      <c r="J1016" s="4">
        <f t="shared" si="1089"/>
        <v>0.11548285393700791</v>
      </c>
      <c r="K1016" s="4">
        <f t="shared" si="1090"/>
        <v>0.42030185000000009</v>
      </c>
      <c r="L1016" s="13">
        <f t="shared" si="1091"/>
        <v>2.6395173453996978</v>
      </c>
      <c r="M1016" s="3">
        <f t="shared" ref="M1016" si="1122">AVERAGE(I1016:I1017)</f>
        <v>0.30481899606299218</v>
      </c>
      <c r="N1016" s="3">
        <f t="shared" ref="N1016" si="1123">AVERAGE(J1016:J1017)</f>
        <v>0.11548285393700791</v>
      </c>
    </row>
    <row r="1017" spans="1:14" x14ac:dyDescent="0.2">
      <c r="A1017" s="4"/>
      <c r="B1017" s="4">
        <v>100</v>
      </c>
      <c r="C1017" s="4">
        <v>7</v>
      </c>
      <c r="D1017" s="33">
        <v>3.65</v>
      </c>
      <c r="E1017" s="23">
        <v>1.9</v>
      </c>
      <c r="F1017" s="23">
        <f t="shared" si="1056"/>
        <v>3.65</v>
      </c>
      <c r="G1017" s="23">
        <f t="shared" si="1057"/>
        <v>1.9</v>
      </c>
      <c r="H1017" s="4">
        <f t="shared" si="1087"/>
        <v>9.7450000000000002E-3</v>
      </c>
      <c r="I1017" s="2">
        <f t="shared" si="1088"/>
        <v>0.30481899606299218</v>
      </c>
      <c r="J1017" s="4">
        <f t="shared" si="1089"/>
        <v>0.11548285393700791</v>
      </c>
      <c r="K1017" s="4">
        <f t="shared" si="1090"/>
        <v>0.42030185000000009</v>
      </c>
      <c r="L1017" s="13">
        <f t="shared" si="1091"/>
        <v>2.6395173453996978</v>
      </c>
      <c r="M1017" s="3"/>
      <c r="N1017" s="3"/>
    </row>
    <row r="1018" spans="1:14" x14ac:dyDescent="0.2">
      <c r="A1018" s="31">
        <v>488261</v>
      </c>
      <c r="B1018" s="4">
        <v>100</v>
      </c>
      <c r="C1018" s="4">
        <v>7</v>
      </c>
      <c r="D1018" s="33">
        <v>3.7</v>
      </c>
      <c r="E1018" s="23">
        <v>1.9</v>
      </c>
      <c r="F1018" s="23">
        <f t="shared" si="1056"/>
        <v>3.7</v>
      </c>
      <c r="G1018" s="23">
        <f t="shared" si="1057"/>
        <v>1.9</v>
      </c>
      <c r="H1018" s="4">
        <f t="shared" si="1087"/>
        <v>9.7450000000000002E-3</v>
      </c>
      <c r="I1018" s="2">
        <f t="shared" si="1088"/>
        <v>0.31352811023622057</v>
      </c>
      <c r="J1018" s="4">
        <f t="shared" si="1089"/>
        <v>0.10677373976377956</v>
      </c>
      <c r="K1018" s="4">
        <f t="shared" si="1090"/>
        <v>0.42030185000000014</v>
      </c>
      <c r="L1018" s="13">
        <f t="shared" si="1091"/>
        <v>2.9363784665579118</v>
      </c>
      <c r="M1018" s="3">
        <f t="shared" ref="M1018" si="1124">AVERAGE(I1018:I1019)</f>
        <v>0.33094633858267719</v>
      </c>
      <c r="N1018" s="3">
        <f t="shared" ref="N1018" si="1125">AVERAGE(J1018:J1019)</f>
        <v>0.11147666141732288</v>
      </c>
    </row>
    <row r="1019" spans="1:14" x14ac:dyDescent="0.2">
      <c r="A1019" s="4"/>
      <c r="B1019" s="4">
        <v>100</v>
      </c>
      <c r="C1019" s="4">
        <v>7</v>
      </c>
      <c r="D1019" s="33">
        <v>4.0999999999999996</v>
      </c>
      <c r="E1019" s="23">
        <v>2.1</v>
      </c>
      <c r="F1019" s="23">
        <f t="shared" si="1056"/>
        <v>4.0999999999999996</v>
      </c>
      <c r="G1019" s="23">
        <f t="shared" si="1057"/>
        <v>2.1</v>
      </c>
      <c r="H1019" s="4">
        <f t="shared" si="1087"/>
        <v>9.7450000000000002E-3</v>
      </c>
      <c r="I1019" s="2">
        <f t="shared" si="1088"/>
        <v>0.34836456692913381</v>
      </c>
      <c r="J1019" s="4">
        <f t="shared" si="1089"/>
        <v>0.11617958307086619</v>
      </c>
      <c r="K1019" s="4">
        <f t="shared" si="1090"/>
        <v>0.46454414999999999</v>
      </c>
      <c r="L1019" s="13">
        <f t="shared" si="1091"/>
        <v>2.9985007496251859</v>
      </c>
      <c r="M1019" s="3"/>
      <c r="N1019" s="3"/>
    </row>
    <row r="1020" spans="1:14" x14ac:dyDescent="0.2">
      <c r="A1020" s="4">
        <v>489049</v>
      </c>
      <c r="B1020" s="4">
        <v>100</v>
      </c>
      <c r="C1020" s="4">
        <v>8</v>
      </c>
      <c r="D1020" s="33">
        <v>1.1000000000000001</v>
      </c>
      <c r="E1020" s="23">
        <v>0.95</v>
      </c>
      <c r="F1020" s="23">
        <f t="shared" si="1056"/>
        <v>1.1000000000000001</v>
      </c>
      <c r="G1020" s="23">
        <f t="shared" si="1057"/>
        <v>0.95</v>
      </c>
      <c r="H1020" s="4">
        <f t="shared" si="1087"/>
        <v>3.8630000000000001E-3</v>
      </c>
      <c r="I1020" s="2">
        <f t="shared" si="1088"/>
        <v>1.0357098425196861E-2</v>
      </c>
      <c r="J1020" s="4">
        <f t="shared" si="1089"/>
        <v>7.2948496574803151E-2</v>
      </c>
      <c r="K1020" s="4">
        <f t="shared" si="1090"/>
        <v>8.330559500000001E-2</v>
      </c>
      <c r="L1020" s="13">
        <f t="shared" si="1091"/>
        <v>0.14197823000473275</v>
      </c>
      <c r="M1020" s="3">
        <f t="shared" ref="M1020" si="1126">AVERAGE(I1020:I1021)</f>
        <v>1.380946456692914E-2</v>
      </c>
      <c r="N1020" s="3">
        <f t="shared" ref="N1020" si="1127">AVERAGE(J1020:J1021)</f>
        <v>6.2919372933070872E-2</v>
      </c>
    </row>
    <row r="1021" spans="1:14" x14ac:dyDescent="0.2">
      <c r="A1021" s="4"/>
      <c r="B1021" s="4">
        <v>100</v>
      </c>
      <c r="C1021" s="4">
        <v>8</v>
      </c>
      <c r="D1021" s="33">
        <v>1.05</v>
      </c>
      <c r="E1021" s="23">
        <v>0.8</v>
      </c>
      <c r="F1021" s="23">
        <f t="shared" si="1056"/>
        <v>1.05</v>
      </c>
      <c r="G1021" s="23">
        <f t="shared" si="1057"/>
        <v>0.8</v>
      </c>
      <c r="H1021" s="4">
        <f t="shared" si="1087"/>
        <v>3.8630000000000001E-3</v>
      </c>
      <c r="I1021" s="2">
        <f t="shared" si="1088"/>
        <v>1.726183070866142E-2</v>
      </c>
      <c r="J1021" s="4">
        <f t="shared" si="1089"/>
        <v>5.2890249291338592E-2</v>
      </c>
      <c r="K1021" s="4">
        <f t="shared" si="1090"/>
        <v>7.0152080000000006E-2</v>
      </c>
      <c r="L1021" s="13">
        <f t="shared" si="1091"/>
        <v>0.32637075718015662</v>
      </c>
      <c r="M1021" s="3"/>
      <c r="N1021" s="3"/>
    </row>
    <row r="1022" spans="1:14" x14ac:dyDescent="0.2">
      <c r="A1022" s="4">
        <v>489050</v>
      </c>
      <c r="B1022" s="4">
        <v>100</v>
      </c>
      <c r="C1022" s="4">
        <v>8</v>
      </c>
      <c r="D1022" s="33">
        <v>1.45</v>
      </c>
      <c r="E1022" s="23">
        <v>0.95</v>
      </c>
      <c r="F1022" s="23">
        <f t="shared" si="1056"/>
        <v>1.45</v>
      </c>
      <c r="G1022" s="23">
        <f t="shared" si="1057"/>
        <v>0.95</v>
      </c>
      <c r="H1022" s="4">
        <f t="shared" si="1087"/>
        <v>3.8630000000000001E-3</v>
      </c>
      <c r="I1022" s="2">
        <f t="shared" si="1088"/>
        <v>3.452366141732284E-2</v>
      </c>
      <c r="J1022" s="4">
        <f t="shared" si="1089"/>
        <v>4.8781933582677163E-2</v>
      </c>
      <c r="K1022" s="4">
        <f t="shared" si="1090"/>
        <v>8.330559500000001E-2</v>
      </c>
      <c r="L1022" s="13">
        <f t="shared" si="1091"/>
        <v>0.70771408351026199</v>
      </c>
      <c r="M1022" s="3">
        <f t="shared" ref="M1022" si="1128">AVERAGE(I1022:I1023)</f>
        <v>3.1071295275590556E-2</v>
      </c>
      <c r="N1022" s="3">
        <f t="shared" ref="N1022" si="1129">AVERAGE(J1022:J1023)</f>
        <v>6.3195562224409432E-2</v>
      </c>
    </row>
    <row r="1023" spans="1:14" x14ac:dyDescent="0.2">
      <c r="A1023" s="4"/>
      <c r="B1023" s="4">
        <v>100</v>
      </c>
      <c r="C1023" s="4">
        <v>8</v>
      </c>
      <c r="D1023" s="33">
        <v>1.6</v>
      </c>
      <c r="E1023" s="23">
        <v>1.2</v>
      </c>
      <c r="F1023" s="23">
        <f t="shared" si="1056"/>
        <v>1.6</v>
      </c>
      <c r="G1023" s="23">
        <f t="shared" si="1057"/>
        <v>1.2</v>
      </c>
      <c r="H1023" s="4">
        <f t="shared" si="1087"/>
        <v>3.8630000000000001E-3</v>
      </c>
      <c r="I1023" s="2">
        <f t="shared" si="1088"/>
        <v>2.7618929133858276E-2</v>
      </c>
      <c r="J1023" s="4">
        <f t="shared" si="1089"/>
        <v>7.7609190866141708E-2</v>
      </c>
      <c r="K1023" s="4">
        <f t="shared" si="1090"/>
        <v>0.10522811999999998</v>
      </c>
      <c r="L1023" s="13">
        <f t="shared" si="1091"/>
        <v>0.35587188612099663</v>
      </c>
      <c r="M1023" s="3"/>
      <c r="N1023" s="3"/>
    </row>
    <row r="1024" spans="1:14" x14ac:dyDescent="0.2">
      <c r="A1024" s="4">
        <v>489051</v>
      </c>
      <c r="B1024" s="4">
        <v>100</v>
      </c>
      <c r="C1024" s="4">
        <v>8</v>
      </c>
      <c r="D1024" s="33">
        <v>2.85</v>
      </c>
      <c r="E1024" s="23">
        <v>1.85</v>
      </c>
      <c r="F1024" s="23">
        <f t="shared" si="1056"/>
        <v>2.85</v>
      </c>
      <c r="G1024" s="23">
        <f t="shared" si="1057"/>
        <v>1.85</v>
      </c>
      <c r="H1024" s="4">
        <f t="shared" si="1087"/>
        <v>3.8630000000000001E-3</v>
      </c>
      <c r="I1024" s="2">
        <f t="shared" si="1088"/>
        <v>6.904732283464568E-2</v>
      </c>
      <c r="J1024" s="4">
        <f t="shared" si="1089"/>
        <v>9.3179362165354357E-2</v>
      </c>
      <c r="K1024" s="4">
        <f t="shared" si="1090"/>
        <v>0.16222668500000004</v>
      </c>
      <c r="L1024" s="13">
        <f t="shared" si="1091"/>
        <v>0.74101519081141154</v>
      </c>
      <c r="M1024" s="3">
        <f t="shared" ref="M1024" si="1130">AVERAGE(I1024:I1025)</f>
        <v>7.0773505905511819E-2</v>
      </c>
      <c r="N1024" s="3">
        <f t="shared" ref="N1024" si="1131">AVERAGE(J1024:J1025)</f>
        <v>9.364543159448821E-2</v>
      </c>
    </row>
    <row r="1025" spans="1:14" x14ac:dyDescent="0.2">
      <c r="A1025" s="4"/>
      <c r="B1025" s="4">
        <v>100</v>
      </c>
      <c r="C1025" s="4">
        <v>8</v>
      </c>
      <c r="D1025" s="33">
        <v>2.95</v>
      </c>
      <c r="E1025" s="23">
        <v>1.9</v>
      </c>
      <c r="F1025" s="23">
        <f t="shared" si="1056"/>
        <v>2.95</v>
      </c>
      <c r="G1025" s="23">
        <f t="shared" si="1057"/>
        <v>1.9</v>
      </c>
      <c r="H1025" s="4">
        <f t="shared" si="1087"/>
        <v>3.8630000000000001E-3</v>
      </c>
      <c r="I1025" s="2">
        <f t="shared" si="1088"/>
        <v>7.2499688976377971E-2</v>
      </c>
      <c r="J1025" s="4">
        <f t="shared" si="1089"/>
        <v>9.4111501023622049E-2</v>
      </c>
      <c r="K1025" s="4">
        <f t="shared" si="1090"/>
        <v>0.16661119000000002</v>
      </c>
      <c r="L1025" s="13">
        <f t="shared" si="1091"/>
        <v>0.77035950110051377</v>
      </c>
      <c r="M1025" s="3"/>
      <c r="N1025" s="3"/>
    </row>
    <row r="1026" spans="1:14" x14ac:dyDescent="0.2">
      <c r="A1026" s="4">
        <v>489052</v>
      </c>
      <c r="B1026" s="4">
        <v>100</v>
      </c>
      <c r="C1026" s="4">
        <v>8</v>
      </c>
      <c r="D1026" s="33">
        <v>6.55</v>
      </c>
      <c r="E1026" s="23">
        <v>3.85</v>
      </c>
      <c r="F1026" s="23">
        <f t="shared" si="1056"/>
        <v>6.55</v>
      </c>
      <c r="G1026" s="23">
        <f t="shared" si="1057"/>
        <v>3.85</v>
      </c>
      <c r="H1026" s="4">
        <f t="shared" si="1087"/>
        <v>3.8630000000000001E-3</v>
      </c>
      <c r="I1026" s="2">
        <f t="shared" si="1088"/>
        <v>0.18642777165354332</v>
      </c>
      <c r="J1026" s="4">
        <f t="shared" si="1089"/>
        <v>0.1511791133464567</v>
      </c>
      <c r="K1026" s="4">
        <f t="shared" si="1090"/>
        <v>0.33760688500000002</v>
      </c>
      <c r="L1026" s="13">
        <f t="shared" si="1091"/>
        <v>1.2331582553094314</v>
      </c>
      <c r="M1026" s="3">
        <f t="shared" ref="M1026" si="1132">AVERAGE(I1026:I1027)</f>
        <v>0.18124922244094491</v>
      </c>
      <c r="N1026" s="3">
        <f t="shared" ref="N1026" si="1133">AVERAGE(J1026:J1027)</f>
        <v>0.14539640005905513</v>
      </c>
    </row>
    <row r="1027" spans="1:14" x14ac:dyDescent="0.2">
      <c r="A1027" s="4"/>
      <c r="B1027" s="4">
        <v>100</v>
      </c>
      <c r="C1027" s="4">
        <v>8</v>
      </c>
      <c r="D1027" s="33">
        <v>6.15</v>
      </c>
      <c r="E1027" s="23">
        <v>3.6</v>
      </c>
      <c r="F1027" s="23">
        <f t="shared" si="1056"/>
        <v>6.15</v>
      </c>
      <c r="G1027" s="23">
        <f t="shared" si="1057"/>
        <v>3.6</v>
      </c>
      <c r="H1027" s="4">
        <f t="shared" si="1087"/>
        <v>3.8630000000000001E-3</v>
      </c>
      <c r="I1027" s="2">
        <f t="shared" si="1088"/>
        <v>0.17607067322834649</v>
      </c>
      <c r="J1027" s="4">
        <f t="shared" si="1089"/>
        <v>0.13961368677165353</v>
      </c>
      <c r="K1027" s="4">
        <f t="shared" si="1090"/>
        <v>0.31568436</v>
      </c>
      <c r="L1027" s="13">
        <f t="shared" si="1091"/>
        <v>1.2611275964391695</v>
      </c>
      <c r="M1027" s="3"/>
      <c r="N1027" s="3"/>
    </row>
    <row r="1028" spans="1:14" x14ac:dyDescent="0.2">
      <c r="A1028" s="4">
        <v>489053</v>
      </c>
      <c r="B1028" s="4">
        <v>100</v>
      </c>
      <c r="C1028" s="4">
        <v>7</v>
      </c>
      <c r="D1028" s="33">
        <v>4.55</v>
      </c>
      <c r="E1028" s="23">
        <v>2.5499999999999998</v>
      </c>
      <c r="F1028" s="23">
        <f t="shared" si="1056"/>
        <v>4.55</v>
      </c>
      <c r="G1028" s="23">
        <f t="shared" si="1057"/>
        <v>2.5499999999999998</v>
      </c>
      <c r="H1028" s="4">
        <f t="shared" si="1087"/>
        <v>9.7450000000000002E-3</v>
      </c>
      <c r="I1028" s="2">
        <f t="shared" si="1088"/>
        <v>0.34836456692913387</v>
      </c>
      <c r="J1028" s="4">
        <f t="shared" si="1089"/>
        <v>0.21572475807086622</v>
      </c>
      <c r="K1028" s="4">
        <f t="shared" si="1090"/>
        <v>0.56408932500000009</v>
      </c>
      <c r="L1028" s="13">
        <f t="shared" si="1091"/>
        <v>1.6148566814695191</v>
      </c>
      <c r="M1028" s="3">
        <f t="shared" ref="M1028" si="1134">AVERAGE(I1028:I1029)</f>
        <v>0.34836456692913387</v>
      </c>
      <c r="N1028" s="3">
        <f t="shared" ref="N1028" si="1135">AVERAGE(J1028:J1029)</f>
        <v>0.21019447057086621</v>
      </c>
    </row>
    <row r="1029" spans="1:14" x14ac:dyDescent="0.2">
      <c r="A1029" s="4"/>
      <c r="B1029" s="4">
        <v>100</v>
      </c>
      <c r="C1029" s="4">
        <v>7</v>
      </c>
      <c r="D1029" s="33">
        <v>4.5</v>
      </c>
      <c r="E1029" s="23">
        <v>2.5</v>
      </c>
      <c r="F1029" s="23">
        <f t="shared" si="1056"/>
        <v>4.5</v>
      </c>
      <c r="G1029" s="23">
        <f t="shared" si="1057"/>
        <v>2.5</v>
      </c>
      <c r="H1029" s="4">
        <f t="shared" si="1087"/>
        <v>9.7450000000000002E-3</v>
      </c>
      <c r="I1029" s="2">
        <f t="shared" si="1088"/>
        <v>0.34836456692913387</v>
      </c>
      <c r="J1029" s="4">
        <f t="shared" si="1089"/>
        <v>0.2046641830708662</v>
      </c>
      <c r="K1029" s="4">
        <f t="shared" si="1090"/>
        <v>0.55302875000000007</v>
      </c>
      <c r="L1029" s="13">
        <f t="shared" si="1091"/>
        <v>1.7021276595744677</v>
      </c>
      <c r="M1029" s="3"/>
      <c r="N1029" s="3"/>
    </row>
    <row r="1030" spans="1:14" x14ac:dyDescent="0.2">
      <c r="A1030" s="4">
        <v>489054</v>
      </c>
      <c r="B1030" s="4">
        <v>100</v>
      </c>
      <c r="C1030" s="4">
        <v>7</v>
      </c>
      <c r="D1030" s="33">
        <v>7.45</v>
      </c>
      <c r="E1030" s="23">
        <v>4.0999999999999996</v>
      </c>
      <c r="F1030" s="23">
        <f t="shared" si="1056"/>
        <v>7.45</v>
      </c>
      <c r="G1030" s="23">
        <f t="shared" si="1057"/>
        <v>4.0999999999999996</v>
      </c>
      <c r="H1030" s="4">
        <f t="shared" si="1087"/>
        <v>9.7450000000000002E-3</v>
      </c>
      <c r="I1030" s="2">
        <f t="shared" si="1088"/>
        <v>0.58351064960629939</v>
      </c>
      <c r="J1030" s="4">
        <f t="shared" si="1089"/>
        <v>0.32345650039370072</v>
      </c>
      <c r="K1030" s="4">
        <f t="shared" si="1090"/>
        <v>0.90696715000000006</v>
      </c>
      <c r="L1030" s="13">
        <f t="shared" si="1091"/>
        <v>1.8039849219170714</v>
      </c>
      <c r="M1030" s="3">
        <f t="shared" ref="M1030" si="1136">AVERAGE(I1030:I1031)</f>
        <v>0.58786520669291353</v>
      </c>
      <c r="N1030" s="3">
        <f t="shared" ref="N1030" si="1137">AVERAGE(J1030:J1031)</f>
        <v>0.31357165580708657</v>
      </c>
    </row>
    <row r="1031" spans="1:14" x14ac:dyDescent="0.2">
      <c r="A1031" s="4"/>
      <c r="B1031" s="4">
        <v>100</v>
      </c>
      <c r="C1031" s="4">
        <v>7</v>
      </c>
      <c r="D1031" s="33">
        <v>7.45</v>
      </c>
      <c r="E1031" s="23">
        <v>4.05</v>
      </c>
      <c r="F1031" s="23">
        <f t="shared" si="1056"/>
        <v>7.45</v>
      </c>
      <c r="G1031" s="23">
        <f t="shared" si="1057"/>
        <v>4.05</v>
      </c>
      <c r="H1031" s="4">
        <f t="shared" si="1087"/>
        <v>9.7450000000000002E-3</v>
      </c>
      <c r="I1031" s="2">
        <f t="shared" si="1088"/>
        <v>0.59221976377952767</v>
      </c>
      <c r="J1031" s="4">
        <f t="shared" si="1089"/>
        <v>0.30368681122047247</v>
      </c>
      <c r="K1031" s="4">
        <f t="shared" si="1090"/>
        <v>0.89590657500000015</v>
      </c>
      <c r="L1031" s="13">
        <f t="shared" si="1091"/>
        <v>1.9501003728133068</v>
      </c>
      <c r="M1031" s="3"/>
      <c r="N1031" s="3"/>
    </row>
    <row r="1032" spans="1:14" x14ac:dyDescent="0.2">
      <c r="A1032" s="4">
        <v>489055</v>
      </c>
      <c r="B1032" s="4">
        <v>100</v>
      </c>
      <c r="C1032" s="4">
        <v>6</v>
      </c>
      <c r="D1032" s="33">
        <v>2.25</v>
      </c>
      <c r="E1032" s="23">
        <v>1.1000000000000001</v>
      </c>
      <c r="F1032" s="23">
        <f t="shared" si="1056"/>
        <v>2.25</v>
      </c>
      <c r="G1032" s="23">
        <f t="shared" si="1057"/>
        <v>1.1000000000000001</v>
      </c>
      <c r="H1032" s="4">
        <f t="shared" si="1087"/>
        <v>3.5767E-2</v>
      </c>
      <c r="I1032" s="2">
        <f t="shared" si="1088"/>
        <v>0.73519490944881893</v>
      </c>
      <c r="J1032" s="4">
        <f t="shared" si="1089"/>
        <v>0.15790708055118122</v>
      </c>
      <c r="K1032" s="4">
        <f t="shared" si="1090"/>
        <v>0.89310199000000012</v>
      </c>
      <c r="L1032" s="13">
        <f t="shared" si="1091"/>
        <v>4.6558704453441262</v>
      </c>
      <c r="M1032" s="3">
        <f t="shared" ref="M1032" si="1138">AVERAGE(I1032:I1033)</f>
        <v>0.73519490944881893</v>
      </c>
      <c r="N1032" s="3">
        <f t="shared" ref="N1032" si="1139">AVERAGE(J1032:J1033)</f>
        <v>0.17820485305118114</v>
      </c>
    </row>
    <row r="1033" spans="1:14" x14ac:dyDescent="0.2">
      <c r="A1033" s="4"/>
      <c r="B1033" s="4">
        <v>100</v>
      </c>
      <c r="C1033" s="4">
        <v>6</v>
      </c>
      <c r="D1033" s="33">
        <v>2.2999999999999998</v>
      </c>
      <c r="E1033" s="23">
        <v>1.1499999999999999</v>
      </c>
      <c r="F1033" s="23">
        <f t="shared" si="1056"/>
        <v>2.2999999999999998</v>
      </c>
      <c r="G1033" s="23">
        <f t="shared" si="1057"/>
        <v>1.1499999999999999</v>
      </c>
      <c r="H1033" s="4">
        <f t="shared" si="1087"/>
        <v>3.5767E-2</v>
      </c>
      <c r="I1033" s="2">
        <f t="shared" si="1088"/>
        <v>0.73519490944881893</v>
      </c>
      <c r="J1033" s="4">
        <f t="shared" si="1089"/>
        <v>0.19850262555118106</v>
      </c>
      <c r="K1033" s="4">
        <f t="shared" si="1090"/>
        <v>0.93369753499999997</v>
      </c>
      <c r="L1033" s="13">
        <f t="shared" si="1091"/>
        <v>3.7037037037037046</v>
      </c>
      <c r="M1033" s="3"/>
      <c r="N1033" s="3"/>
    </row>
    <row r="1034" spans="1:14" x14ac:dyDescent="0.2">
      <c r="A1034" s="4">
        <v>489056</v>
      </c>
      <c r="B1034" s="4">
        <v>100</v>
      </c>
      <c r="C1034" s="4">
        <v>7</v>
      </c>
      <c r="D1034" s="33">
        <v>6.7</v>
      </c>
      <c r="E1034" s="23">
        <v>3.35</v>
      </c>
      <c r="F1034" s="23">
        <f t="shared" si="1056"/>
        <v>6.7</v>
      </c>
      <c r="G1034" s="23">
        <f t="shared" si="1057"/>
        <v>3.35</v>
      </c>
      <c r="H1034" s="4">
        <f t="shared" si="1087"/>
        <v>9.7450000000000002E-3</v>
      </c>
      <c r="I1034" s="2">
        <f t="shared" si="1088"/>
        <v>0.58351064960629928</v>
      </c>
      <c r="J1034" s="4">
        <f t="shared" si="1089"/>
        <v>0.15754787539370096</v>
      </c>
      <c r="K1034" s="4">
        <f t="shared" si="1090"/>
        <v>0.74105852500000025</v>
      </c>
      <c r="L1034" s="13">
        <f t="shared" si="1091"/>
        <v>3.7037037037037002</v>
      </c>
      <c r="M1034" s="3">
        <f t="shared" ref="M1034" si="1140">AVERAGE(I1034:I1035)</f>
        <v>0.60963799212598424</v>
      </c>
      <c r="N1034" s="3">
        <f t="shared" ref="N1034" si="1141">AVERAGE(J1034:J1035)</f>
        <v>0.13142053287401598</v>
      </c>
    </row>
    <row r="1035" spans="1:14" x14ac:dyDescent="0.2">
      <c r="A1035" s="4"/>
      <c r="B1035" s="4">
        <v>100</v>
      </c>
      <c r="C1035" s="4">
        <v>7</v>
      </c>
      <c r="D1035" s="33">
        <v>7</v>
      </c>
      <c r="E1035" s="23">
        <v>3.35</v>
      </c>
      <c r="F1035" s="23">
        <f t="shared" si="1056"/>
        <v>7</v>
      </c>
      <c r="G1035" s="23">
        <f t="shared" si="1057"/>
        <v>3.35</v>
      </c>
      <c r="H1035" s="4">
        <f t="shared" si="1087"/>
        <v>9.7450000000000002E-3</v>
      </c>
      <c r="I1035" s="2">
        <f t="shared" si="1088"/>
        <v>0.63576533464566931</v>
      </c>
      <c r="J1035" s="4">
        <f t="shared" si="1089"/>
        <v>0.10529319035433098</v>
      </c>
      <c r="K1035" s="4">
        <f t="shared" si="1090"/>
        <v>0.74105852500000025</v>
      </c>
      <c r="L1035" s="13">
        <f t="shared" si="1091"/>
        <v>6.0380479735318291</v>
      </c>
      <c r="M1035" s="3"/>
      <c r="N1035" s="3"/>
    </row>
    <row r="1036" spans="1:14" x14ac:dyDescent="0.2">
      <c r="A1036" s="4">
        <v>489057</v>
      </c>
      <c r="B1036" s="4">
        <v>100</v>
      </c>
      <c r="C1036" s="4">
        <v>7</v>
      </c>
      <c r="D1036" s="33">
        <v>6.55</v>
      </c>
      <c r="E1036" s="23">
        <v>3.3</v>
      </c>
      <c r="F1036" s="23">
        <f t="shared" si="1056"/>
        <v>6.55</v>
      </c>
      <c r="G1036" s="23">
        <f t="shared" si="1057"/>
        <v>3.3</v>
      </c>
      <c r="H1036" s="4">
        <f t="shared" si="1087"/>
        <v>9.7450000000000002E-3</v>
      </c>
      <c r="I1036" s="2">
        <f t="shared" si="1088"/>
        <v>0.56609242125984249</v>
      </c>
      <c r="J1036" s="4">
        <f t="shared" si="1089"/>
        <v>0.16390552874015743</v>
      </c>
      <c r="K1036" s="4">
        <f t="shared" si="1090"/>
        <v>0.7299979499999999</v>
      </c>
      <c r="L1036" s="13">
        <f t="shared" si="1091"/>
        <v>3.4537725823591932</v>
      </c>
      <c r="M1036" s="3">
        <f t="shared" ref="M1036" si="1142">AVERAGE(I1036:I1037)</f>
        <v>0.57044697834645675</v>
      </c>
      <c r="N1036" s="3">
        <f t="shared" ref="N1036" si="1143">AVERAGE(J1036:J1037)</f>
        <v>0.14296010915354324</v>
      </c>
    </row>
    <row r="1037" spans="1:14" x14ac:dyDescent="0.2">
      <c r="A1037" s="4"/>
      <c r="B1037" s="4">
        <v>100</v>
      </c>
      <c r="C1037" s="4">
        <v>7</v>
      </c>
      <c r="D1037" s="33">
        <v>6.45</v>
      </c>
      <c r="E1037" s="23">
        <v>3.15</v>
      </c>
      <c r="F1037" s="23">
        <f t="shared" si="1056"/>
        <v>6.45</v>
      </c>
      <c r="G1037" s="23">
        <f t="shared" si="1057"/>
        <v>3.15</v>
      </c>
      <c r="H1037" s="4">
        <f t="shared" si="1087"/>
        <v>9.7450000000000002E-3</v>
      </c>
      <c r="I1037" s="2">
        <f t="shared" si="1088"/>
        <v>0.57480153543307089</v>
      </c>
      <c r="J1037" s="4">
        <f t="shared" si="1089"/>
        <v>0.12201468956692904</v>
      </c>
      <c r="K1037" s="4">
        <f t="shared" si="1090"/>
        <v>0.69681622499999996</v>
      </c>
      <c r="L1037" s="13">
        <f t="shared" si="1091"/>
        <v>4.7109207708779479</v>
      </c>
      <c r="M1037" s="3"/>
      <c r="N1037" s="3"/>
    </row>
    <row r="1038" spans="1:14" x14ac:dyDescent="0.2">
      <c r="A1038" s="4">
        <v>489058</v>
      </c>
      <c r="B1038" s="4">
        <v>100</v>
      </c>
      <c r="C1038" s="4">
        <v>8</v>
      </c>
      <c r="D1038" s="33">
        <v>2</v>
      </c>
      <c r="E1038" s="23">
        <v>1.45</v>
      </c>
      <c r="F1038" s="23">
        <f t="shared" si="1056"/>
        <v>2</v>
      </c>
      <c r="G1038" s="23">
        <f t="shared" si="1057"/>
        <v>1.45</v>
      </c>
      <c r="H1038" s="4">
        <f t="shared" si="1087"/>
        <v>3.8630000000000001E-3</v>
      </c>
      <c r="I1038" s="2">
        <f t="shared" si="1088"/>
        <v>3.7976027559055124E-2</v>
      </c>
      <c r="J1038" s="4">
        <f t="shared" si="1089"/>
        <v>8.9174617440944889E-2</v>
      </c>
      <c r="K1038" s="4">
        <f t="shared" si="1090"/>
        <v>0.12715064500000001</v>
      </c>
      <c r="L1038" s="13">
        <f t="shared" si="1091"/>
        <v>0.42586140147115759</v>
      </c>
      <c r="M1038" s="3">
        <f t="shared" ref="M1038" si="1144">AVERAGE(I1038:I1039)</f>
        <v>3.6249844488188979E-2</v>
      </c>
      <c r="N1038" s="3">
        <f t="shared" ref="N1038" si="1145">AVERAGE(J1038:J1039)</f>
        <v>9.0900800511811028E-2</v>
      </c>
    </row>
    <row r="1039" spans="1:14" x14ac:dyDescent="0.2">
      <c r="A1039" s="4"/>
      <c r="B1039" s="4">
        <v>100</v>
      </c>
      <c r="C1039" s="4">
        <v>8</v>
      </c>
      <c r="D1039" s="33">
        <v>1.95</v>
      </c>
      <c r="E1039" s="23">
        <v>1.45</v>
      </c>
      <c r="F1039" s="23">
        <f t="shared" si="1056"/>
        <v>1.95</v>
      </c>
      <c r="G1039" s="23">
        <f t="shared" si="1057"/>
        <v>1.45</v>
      </c>
      <c r="H1039" s="4">
        <f t="shared" si="1087"/>
        <v>3.8630000000000001E-3</v>
      </c>
      <c r="I1039" s="2">
        <f t="shared" si="1088"/>
        <v>3.452366141732284E-2</v>
      </c>
      <c r="J1039" s="4">
        <f t="shared" si="1089"/>
        <v>9.2626983582677166E-2</v>
      </c>
      <c r="K1039" s="4">
        <f t="shared" si="1090"/>
        <v>0.12715064500000001</v>
      </c>
      <c r="L1039" s="13">
        <f t="shared" si="1091"/>
        <v>0.37271710771524419</v>
      </c>
      <c r="M1039" s="3"/>
      <c r="N1039" s="3"/>
    </row>
    <row r="1040" spans="1:14" x14ac:dyDescent="0.2">
      <c r="A1040" s="4">
        <v>489059</v>
      </c>
      <c r="B1040" s="4">
        <v>100</v>
      </c>
      <c r="C1040" s="4">
        <v>8</v>
      </c>
      <c r="D1040" s="33">
        <v>1.5</v>
      </c>
      <c r="E1040" s="23">
        <v>1</v>
      </c>
      <c r="F1040" s="23">
        <f t="shared" si="1056"/>
        <v>1.5</v>
      </c>
      <c r="G1040" s="23">
        <f t="shared" si="1057"/>
        <v>1</v>
      </c>
      <c r="H1040" s="4">
        <f t="shared" si="1087"/>
        <v>3.8630000000000001E-3</v>
      </c>
      <c r="I1040" s="2">
        <f t="shared" si="1088"/>
        <v>3.452366141732284E-2</v>
      </c>
      <c r="J1040" s="4">
        <f t="shared" si="1089"/>
        <v>5.3166438582677167E-2</v>
      </c>
      <c r="K1040" s="4">
        <f t="shared" si="1090"/>
        <v>8.7690100000000007E-2</v>
      </c>
      <c r="L1040" s="13">
        <f t="shared" si="1091"/>
        <v>0.64935064935064946</v>
      </c>
      <c r="M1040" s="3">
        <f t="shared" ref="M1040" si="1146">AVERAGE(I1040:I1041)</f>
        <v>3.7976027559055124E-2</v>
      </c>
      <c r="N1040" s="3">
        <f t="shared" ref="N1040" si="1147">AVERAGE(J1040:J1041)</f>
        <v>5.6290829940944878E-2</v>
      </c>
    </row>
    <row r="1041" spans="1:14" x14ac:dyDescent="0.2">
      <c r="A1041" s="4"/>
      <c r="B1041" s="4">
        <v>100</v>
      </c>
      <c r="C1041" s="4">
        <v>8</v>
      </c>
      <c r="D1041" s="33">
        <v>1.75</v>
      </c>
      <c r="E1041" s="23">
        <v>1.1499999999999999</v>
      </c>
      <c r="F1041" s="23">
        <f t="shared" si="1056"/>
        <v>1.75</v>
      </c>
      <c r="G1041" s="23">
        <f t="shared" si="1057"/>
        <v>1.1499999999999999</v>
      </c>
      <c r="H1041" s="4">
        <f t="shared" si="1087"/>
        <v>3.8630000000000001E-3</v>
      </c>
      <c r="I1041" s="2">
        <f t="shared" si="1088"/>
        <v>4.1428393700787408E-2</v>
      </c>
      <c r="J1041" s="4">
        <f t="shared" si="1089"/>
        <v>5.9415221299212589E-2</v>
      </c>
      <c r="K1041" s="4">
        <f t="shared" si="1090"/>
        <v>0.100843615</v>
      </c>
      <c r="L1041" s="13">
        <f t="shared" si="1091"/>
        <v>0.697269029633934</v>
      </c>
      <c r="M1041" s="3"/>
      <c r="N1041" s="3"/>
    </row>
    <row r="1042" spans="1:14" x14ac:dyDescent="0.2">
      <c r="A1042" s="4">
        <v>489060</v>
      </c>
      <c r="B1042" s="4">
        <v>100</v>
      </c>
      <c r="C1042" s="4">
        <v>8</v>
      </c>
      <c r="D1042" s="33">
        <v>1.85</v>
      </c>
      <c r="E1042" s="23">
        <v>1.35</v>
      </c>
      <c r="F1042" s="23">
        <f t="shared" si="1056"/>
        <v>1.85</v>
      </c>
      <c r="G1042" s="23">
        <f t="shared" si="1057"/>
        <v>1.35</v>
      </c>
      <c r="H1042" s="4">
        <f t="shared" si="1087"/>
        <v>3.8630000000000001E-3</v>
      </c>
      <c r="I1042" s="2">
        <f t="shared" si="1088"/>
        <v>3.452366141732284E-2</v>
      </c>
      <c r="J1042" s="4">
        <f t="shared" si="1089"/>
        <v>8.3857973582677173E-2</v>
      </c>
      <c r="K1042" s="4">
        <f t="shared" si="1090"/>
        <v>0.11838163500000001</v>
      </c>
      <c r="L1042" s="13">
        <f t="shared" si="1091"/>
        <v>0.41169205434335121</v>
      </c>
      <c r="M1042" s="3">
        <f t="shared" ref="M1042" si="1148">AVERAGE(I1042:I1043)</f>
        <v>3.6249844488188979E-2</v>
      </c>
      <c r="N1042" s="3">
        <f t="shared" ref="N1042" si="1149">AVERAGE(J1042:J1043)</f>
        <v>7.5555033011811046E-2</v>
      </c>
    </row>
    <row r="1043" spans="1:14" x14ac:dyDescent="0.2">
      <c r="A1043" s="4"/>
      <c r="B1043" s="4">
        <v>100</v>
      </c>
      <c r="C1043" s="4">
        <v>8</v>
      </c>
      <c r="D1043" s="33">
        <v>1.75</v>
      </c>
      <c r="E1043" s="23">
        <v>1.2</v>
      </c>
      <c r="F1043" s="23">
        <f t="shared" si="1056"/>
        <v>1.75</v>
      </c>
      <c r="G1043" s="23">
        <f t="shared" si="1057"/>
        <v>1.2</v>
      </c>
      <c r="H1043" s="4">
        <f t="shared" si="1087"/>
        <v>3.8630000000000001E-3</v>
      </c>
      <c r="I1043" s="2">
        <f t="shared" si="1088"/>
        <v>3.7976027559055124E-2</v>
      </c>
      <c r="J1043" s="4">
        <f t="shared" si="1089"/>
        <v>6.7252092440944905E-2</v>
      </c>
      <c r="K1043" s="4">
        <f t="shared" si="1090"/>
        <v>0.10522812000000004</v>
      </c>
      <c r="L1043" s="13">
        <f t="shared" si="1091"/>
        <v>0.56468172484599577</v>
      </c>
      <c r="M1043" s="3"/>
      <c r="N1043" s="3"/>
    </row>
    <row r="1044" spans="1:14" x14ac:dyDescent="0.2">
      <c r="A1044" s="4">
        <v>489061</v>
      </c>
      <c r="B1044" s="4">
        <v>100</v>
      </c>
      <c r="C1044" s="4">
        <v>8</v>
      </c>
      <c r="D1044" s="33">
        <v>3.55</v>
      </c>
      <c r="E1044" s="23">
        <v>2.35</v>
      </c>
      <c r="F1044" s="23">
        <f t="shared" si="1056"/>
        <v>3.55</v>
      </c>
      <c r="G1044" s="23">
        <f t="shared" si="1057"/>
        <v>2.35</v>
      </c>
      <c r="H1044" s="4">
        <f t="shared" si="1087"/>
        <v>3.8630000000000001E-3</v>
      </c>
      <c r="I1044" s="2">
        <f t="shared" si="1088"/>
        <v>8.2856787401574775E-2</v>
      </c>
      <c r="J1044" s="4">
        <f t="shared" si="1089"/>
        <v>0.12321494759842523</v>
      </c>
      <c r="K1044" s="4">
        <f t="shared" si="1090"/>
        <v>0.20607173500000001</v>
      </c>
      <c r="L1044" s="13">
        <f t="shared" si="1091"/>
        <v>0.67245727094424168</v>
      </c>
      <c r="M1044" s="3">
        <f t="shared" ref="M1044" si="1150">AVERAGE(I1044:I1045)</f>
        <v>7.9404421259842511E-2</v>
      </c>
      <c r="N1044" s="3">
        <f t="shared" ref="N1044" si="1151">AVERAGE(J1044:J1045)</f>
        <v>0.1069370412401575</v>
      </c>
    </row>
    <row r="1045" spans="1:14" x14ac:dyDescent="0.2">
      <c r="A1045" s="4"/>
      <c r="B1045" s="4">
        <v>100</v>
      </c>
      <c r="C1045" s="4">
        <v>8</v>
      </c>
      <c r="D1045" s="33">
        <v>3</v>
      </c>
      <c r="E1045" s="23">
        <v>1.9</v>
      </c>
      <c r="F1045" s="23">
        <f t="shared" si="1056"/>
        <v>3</v>
      </c>
      <c r="G1045" s="23">
        <f t="shared" si="1057"/>
        <v>1.9</v>
      </c>
      <c r="H1045" s="4">
        <f t="shared" si="1087"/>
        <v>3.8630000000000001E-3</v>
      </c>
      <c r="I1045" s="2">
        <f t="shared" si="1088"/>
        <v>7.5952055118110248E-2</v>
      </c>
      <c r="J1045" s="4">
        <f t="shared" si="1089"/>
        <v>9.0659134881889772E-2</v>
      </c>
      <c r="K1045" s="4">
        <f t="shared" si="1090"/>
        <v>0.16661119000000002</v>
      </c>
      <c r="L1045" s="13">
        <f t="shared" si="1091"/>
        <v>0.8377760853008378</v>
      </c>
      <c r="M1045" s="3"/>
      <c r="N1045" s="3"/>
    </row>
    <row r="1046" spans="1:14" x14ac:dyDescent="0.2">
      <c r="A1046" s="4">
        <v>489062</v>
      </c>
      <c r="B1046" s="4">
        <v>100</v>
      </c>
      <c r="C1046" s="4">
        <v>7</v>
      </c>
      <c r="D1046" s="33">
        <v>6.45</v>
      </c>
      <c r="E1046" s="23">
        <v>3.6</v>
      </c>
      <c r="F1046" s="23">
        <f t="shared" si="1056"/>
        <v>6.45</v>
      </c>
      <c r="G1046" s="23">
        <f t="shared" si="1057"/>
        <v>3.6</v>
      </c>
      <c r="H1046" s="4">
        <f t="shared" si="1087"/>
        <v>9.7450000000000002E-3</v>
      </c>
      <c r="I1046" s="2">
        <f t="shared" si="1088"/>
        <v>0.49641950787401579</v>
      </c>
      <c r="J1046" s="4">
        <f t="shared" si="1089"/>
        <v>0.29994189212598427</v>
      </c>
      <c r="K1046" s="4">
        <f t="shared" si="1090"/>
        <v>0.79636140000000011</v>
      </c>
      <c r="L1046" s="13">
        <f t="shared" si="1091"/>
        <v>1.6550522648083623</v>
      </c>
      <c r="M1046" s="3">
        <f t="shared" ref="M1046" si="1152">AVERAGE(I1046:I1047)</f>
        <v>0.46593760826771657</v>
      </c>
      <c r="N1046" s="3">
        <f t="shared" ref="N1046" si="1153">AVERAGE(J1046:J1047)</f>
        <v>0.24193919173228345</v>
      </c>
    </row>
    <row r="1047" spans="1:14" x14ac:dyDescent="0.2">
      <c r="A1047" s="4"/>
      <c r="B1047" s="4">
        <v>100</v>
      </c>
      <c r="C1047" s="4">
        <v>7</v>
      </c>
      <c r="D1047" s="33">
        <v>5.3</v>
      </c>
      <c r="E1047" s="23">
        <v>2.8</v>
      </c>
      <c r="F1047" s="23">
        <f t="shared" si="1056"/>
        <v>5.3</v>
      </c>
      <c r="G1047" s="23">
        <f t="shared" si="1057"/>
        <v>2.8</v>
      </c>
      <c r="H1047" s="4">
        <f t="shared" si="1087"/>
        <v>9.7450000000000002E-3</v>
      </c>
      <c r="I1047" s="2">
        <f t="shared" si="1088"/>
        <v>0.43545570866141731</v>
      </c>
      <c r="J1047" s="4">
        <f t="shared" si="1089"/>
        <v>0.18393649133858261</v>
      </c>
      <c r="K1047" s="4">
        <f t="shared" si="1090"/>
        <v>0.61939219999999995</v>
      </c>
      <c r="L1047" s="13">
        <f t="shared" si="1091"/>
        <v>2.3674242424242431</v>
      </c>
      <c r="M1047" s="3"/>
      <c r="N1047" s="3"/>
    </row>
    <row r="1048" spans="1:14" x14ac:dyDescent="0.2">
      <c r="A1048" s="4">
        <v>489063</v>
      </c>
      <c r="B1048" s="4">
        <v>100</v>
      </c>
      <c r="C1048" s="4">
        <v>6</v>
      </c>
      <c r="D1048" s="33">
        <v>3</v>
      </c>
      <c r="E1048" s="23">
        <v>1.6</v>
      </c>
      <c r="F1048" s="23">
        <f t="shared" si="1056"/>
        <v>3</v>
      </c>
      <c r="G1048" s="23">
        <f t="shared" si="1057"/>
        <v>1.6</v>
      </c>
      <c r="H1048" s="4">
        <f t="shared" si="1087"/>
        <v>3.5767E-2</v>
      </c>
      <c r="I1048" s="2">
        <f t="shared" si="1088"/>
        <v>0.89501988976377955</v>
      </c>
      <c r="J1048" s="4">
        <f t="shared" si="1089"/>
        <v>0.40403755023622068</v>
      </c>
      <c r="K1048" s="4">
        <f t="shared" si="1090"/>
        <v>1.2990574400000003</v>
      </c>
      <c r="L1048" s="13">
        <f t="shared" si="1091"/>
        <v>2.2151898734177204</v>
      </c>
      <c r="M1048" s="3">
        <f t="shared" ref="M1048" si="1154">AVERAGE(I1048:I1049)</f>
        <v>0.91100238779527554</v>
      </c>
      <c r="N1048" s="3">
        <f t="shared" ref="N1048" si="1155">AVERAGE(J1048:J1049)</f>
        <v>0.38805505220472464</v>
      </c>
    </row>
    <row r="1049" spans="1:14" x14ac:dyDescent="0.2">
      <c r="A1049" s="4"/>
      <c r="B1049" s="4">
        <v>100</v>
      </c>
      <c r="C1049" s="4">
        <v>6</v>
      </c>
      <c r="D1049" s="33">
        <v>3.05</v>
      </c>
      <c r="E1049" s="23">
        <v>1.6</v>
      </c>
      <c r="F1049" s="23">
        <f t="shared" si="1056"/>
        <v>3.05</v>
      </c>
      <c r="G1049" s="23">
        <f t="shared" si="1057"/>
        <v>1.6</v>
      </c>
      <c r="H1049" s="4">
        <f t="shared" si="1087"/>
        <v>3.5767E-2</v>
      </c>
      <c r="I1049" s="2">
        <f t="shared" si="1088"/>
        <v>0.92698488582677152</v>
      </c>
      <c r="J1049" s="4">
        <f t="shared" si="1089"/>
        <v>0.3720725541732286</v>
      </c>
      <c r="K1049" s="4">
        <f t="shared" si="1090"/>
        <v>1.2990574400000001</v>
      </c>
      <c r="L1049" s="13">
        <f t="shared" si="1091"/>
        <v>2.4914089347079016</v>
      </c>
      <c r="M1049" s="3"/>
      <c r="N1049" s="3"/>
    </row>
    <row r="1050" spans="1:14" x14ac:dyDescent="0.2">
      <c r="A1050" s="4">
        <v>489064</v>
      </c>
      <c r="B1050" s="4">
        <v>100</v>
      </c>
      <c r="C1050" s="4">
        <v>7</v>
      </c>
      <c r="D1050" s="33">
        <v>5.7</v>
      </c>
      <c r="E1050" s="23">
        <v>2.95</v>
      </c>
      <c r="F1050" s="23">
        <f t="shared" si="1056"/>
        <v>5.7</v>
      </c>
      <c r="G1050" s="23">
        <f t="shared" si="1057"/>
        <v>2.95</v>
      </c>
      <c r="H1050" s="4">
        <f t="shared" ref="H1050:H1073" si="1156">IF(C1050=1,32.7101,IF(C1050=2,8.14893,IF(C1050=3,1.42818,IF(C1050=4,0.44041,IF(C1050=5,0.123026,IF(C1050=6,0.035767,IF(C1050=7,0.009745,0.003863)))))))</f>
        <v>9.7450000000000002E-3</v>
      </c>
      <c r="I1050" s="2">
        <f t="shared" ref="I1050:I1073" si="1157">H1050*$A$3*(F1050-G1050)*1000/B1050</f>
        <v>0.47900127952755911</v>
      </c>
      <c r="J1050" s="4">
        <f t="shared" ref="J1050:J1073" si="1158">2.27*($A$3*G1050-($A$3-1)*F1050)*H1050*1000/B1050</f>
        <v>0.17357264547244103</v>
      </c>
      <c r="K1050" s="4">
        <f t="shared" ref="K1050:K1073" si="1159">(I1050+J1050)</f>
        <v>0.65257392500000011</v>
      </c>
      <c r="L1050" s="13">
        <f t="shared" ref="L1050:L1073" si="1160">(I1050/J1050)</f>
        <v>2.7596588058203704</v>
      </c>
      <c r="M1050" s="3">
        <f t="shared" ref="M1050" si="1161">AVERAGE(I1050:I1051)</f>
        <v>0.48335583661417325</v>
      </c>
      <c r="N1050" s="3">
        <f t="shared" ref="N1050" si="1162">AVERAGE(J1050:J1051)</f>
        <v>0.1636878008858268</v>
      </c>
    </row>
    <row r="1051" spans="1:14" x14ac:dyDescent="0.2">
      <c r="A1051" s="4"/>
      <c r="B1051" s="4">
        <v>100</v>
      </c>
      <c r="C1051" s="4">
        <v>7</v>
      </c>
      <c r="D1051" s="33">
        <v>5.7</v>
      </c>
      <c r="E1051" s="23">
        <v>2.9</v>
      </c>
      <c r="F1051" s="23">
        <f t="shared" si="1056"/>
        <v>5.7</v>
      </c>
      <c r="G1051" s="23">
        <f t="shared" si="1057"/>
        <v>2.9</v>
      </c>
      <c r="H1051" s="4">
        <f t="shared" si="1156"/>
        <v>9.7450000000000002E-3</v>
      </c>
      <c r="I1051" s="2">
        <f t="shared" si="1157"/>
        <v>0.48771039370078745</v>
      </c>
      <c r="J1051" s="4">
        <f t="shared" si="1158"/>
        <v>0.15380295629921256</v>
      </c>
      <c r="K1051" s="4">
        <f t="shared" si="1159"/>
        <v>0.64151334999999998</v>
      </c>
      <c r="L1051" s="13">
        <f t="shared" si="1160"/>
        <v>3.17100792751982</v>
      </c>
      <c r="M1051" s="3"/>
      <c r="N1051" s="3"/>
    </row>
    <row r="1052" spans="1:14" x14ac:dyDescent="0.2">
      <c r="A1052" s="4">
        <v>489065</v>
      </c>
      <c r="B1052" s="4">
        <v>100</v>
      </c>
      <c r="C1052" s="4">
        <v>7</v>
      </c>
      <c r="D1052" s="33">
        <v>4.5</v>
      </c>
      <c r="E1052" s="23">
        <v>2.25</v>
      </c>
      <c r="F1052" s="23">
        <f t="shared" si="1056"/>
        <v>4.5</v>
      </c>
      <c r="G1052" s="23">
        <f t="shared" si="1057"/>
        <v>2.25</v>
      </c>
      <c r="H1052" s="4">
        <f t="shared" si="1156"/>
        <v>9.7450000000000002E-3</v>
      </c>
      <c r="I1052" s="2">
        <f t="shared" si="1157"/>
        <v>0.39191013779527567</v>
      </c>
      <c r="J1052" s="4">
        <f t="shared" si="1158"/>
        <v>0.10581573720472433</v>
      </c>
      <c r="K1052" s="4">
        <f t="shared" si="1159"/>
        <v>0.49772587499999998</v>
      </c>
      <c r="L1052" s="13">
        <f t="shared" si="1160"/>
        <v>3.7037037037037073</v>
      </c>
      <c r="M1052" s="3">
        <f t="shared" ref="M1052" si="1163">AVERAGE(I1052:I1053)</f>
        <v>0.39191013779527567</v>
      </c>
      <c r="N1052" s="3">
        <f t="shared" ref="N1052" si="1164">AVERAGE(J1052:J1053)</f>
        <v>0.11134602470472435</v>
      </c>
    </row>
    <row r="1053" spans="1:14" x14ac:dyDescent="0.2">
      <c r="A1053" s="4"/>
      <c r="B1053" s="4">
        <v>100</v>
      </c>
      <c r="C1053" s="4">
        <v>7</v>
      </c>
      <c r="D1053" s="33">
        <v>4.55</v>
      </c>
      <c r="E1053" s="23">
        <v>2.2999999999999998</v>
      </c>
      <c r="F1053" s="23">
        <f t="shared" si="1056"/>
        <v>4.55</v>
      </c>
      <c r="G1053" s="23">
        <f t="shared" si="1057"/>
        <v>2.2999999999999998</v>
      </c>
      <c r="H1053" s="4">
        <f t="shared" si="1156"/>
        <v>9.7450000000000002E-3</v>
      </c>
      <c r="I1053" s="2">
        <f t="shared" si="1157"/>
        <v>0.39191013779527567</v>
      </c>
      <c r="J1053" s="4">
        <f t="shared" si="1158"/>
        <v>0.11687631220472439</v>
      </c>
      <c r="K1053" s="4">
        <f t="shared" si="1159"/>
        <v>0.50878645000000011</v>
      </c>
      <c r="L1053" s="13">
        <f t="shared" si="1160"/>
        <v>3.3532041728763056</v>
      </c>
      <c r="M1053" s="3"/>
      <c r="N1053" s="3"/>
    </row>
    <row r="1054" spans="1:14" x14ac:dyDescent="0.2">
      <c r="A1054" s="4">
        <v>489066</v>
      </c>
      <c r="B1054" s="4">
        <v>100</v>
      </c>
      <c r="C1054" s="4">
        <v>7</v>
      </c>
      <c r="D1054" s="33">
        <v>4.5</v>
      </c>
      <c r="E1054" s="23">
        <v>2.25</v>
      </c>
      <c r="F1054" s="23">
        <f t="shared" si="1056"/>
        <v>4.5</v>
      </c>
      <c r="G1054" s="23">
        <f t="shared" si="1057"/>
        <v>2.25</v>
      </c>
      <c r="H1054" s="4">
        <f t="shared" si="1156"/>
        <v>9.7450000000000002E-3</v>
      </c>
      <c r="I1054" s="2">
        <f t="shared" si="1157"/>
        <v>0.39191013779527567</v>
      </c>
      <c r="J1054" s="4">
        <f t="shared" si="1158"/>
        <v>0.10581573720472433</v>
      </c>
      <c r="K1054" s="4">
        <f t="shared" si="1159"/>
        <v>0.49772587499999998</v>
      </c>
      <c r="L1054" s="13">
        <f t="shared" si="1160"/>
        <v>3.7037037037037073</v>
      </c>
      <c r="M1054" s="3">
        <f t="shared" ref="M1054" si="1165">AVERAGE(I1054:I1055)</f>
        <v>0.39191013779527567</v>
      </c>
      <c r="N1054" s="3">
        <f t="shared" ref="N1054" si="1166">AVERAGE(J1054:J1055)</f>
        <v>0.10581573720472433</v>
      </c>
    </row>
    <row r="1055" spans="1:14" x14ac:dyDescent="0.2">
      <c r="A1055" s="4"/>
      <c r="B1055" s="4">
        <v>100</v>
      </c>
      <c r="C1055" s="4">
        <v>7</v>
      </c>
      <c r="D1055" s="33">
        <v>4.5</v>
      </c>
      <c r="E1055" s="23">
        <v>2.25</v>
      </c>
      <c r="F1055" s="23">
        <f t="shared" si="1056"/>
        <v>4.5</v>
      </c>
      <c r="G1055" s="23">
        <f t="shared" si="1057"/>
        <v>2.25</v>
      </c>
      <c r="H1055" s="4">
        <f t="shared" si="1156"/>
        <v>9.7450000000000002E-3</v>
      </c>
      <c r="I1055" s="2">
        <f t="shared" si="1157"/>
        <v>0.39191013779527567</v>
      </c>
      <c r="J1055" s="4">
        <f t="shared" si="1158"/>
        <v>0.10581573720472433</v>
      </c>
      <c r="K1055" s="4">
        <f t="shared" si="1159"/>
        <v>0.49772587499999998</v>
      </c>
      <c r="L1055" s="13">
        <f t="shared" si="1160"/>
        <v>3.7037037037037073</v>
      </c>
      <c r="M1055" s="3"/>
      <c r="N1055" s="3"/>
    </row>
    <row r="1056" spans="1:14" x14ac:dyDescent="0.2">
      <c r="A1056" s="4">
        <v>489068</v>
      </c>
      <c r="B1056" s="4">
        <v>100</v>
      </c>
      <c r="C1056" s="4">
        <v>8</v>
      </c>
      <c r="D1056" s="33">
        <v>1.1000000000000001</v>
      </c>
      <c r="E1056" s="23">
        <v>0.75</v>
      </c>
      <c r="F1056" s="23">
        <f t="shared" si="1056"/>
        <v>1.1000000000000001</v>
      </c>
      <c r="G1056" s="23">
        <f t="shared" si="1057"/>
        <v>0.75</v>
      </c>
      <c r="H1056" s="4">
        <f t="shared" si="1156"/>
        <v>3.8630000000000001E-3</v>
      </c>
      <c r="I1056" s="2">
        <f t="shared" si="1157"/>
        <v>2.4166562992125992E-2</v>
      </c>
      <c r="J1056" s="4">
        <f t="shared" si="1158"/>
        <v>4.1601012007874E-2</v>
      </c>
      <c r="K1056" s="4">
        <f t="shared" si="1159"/>
        <v>6.5767574999999995E-2</v>
      </c>
      <c r="L1056" s="13">
        <f t="shared" si="1160"/>
        <v>0.5809128630705398</v>
      </c>
      <c r="M1056" s="3">
        <f t="shared" ref="M1056" si="1167">AVERAGE(I1056:I1057)</f>
        <v>2.4166562992125981E-2</v>
      </c>
      <c r="N1056" s="3">
        <f t="shared" ref="N1056" si="1168">AVERAGE(J1056:J1057)</f>
        <v>4.3793264507874019E-2</v>
      </c>
    </row>
    <row r="1057" spans="1:14" x14ac:dyDescent="0.2">
      <c r="A1057" s="4"/>
      <c r="B1057" s="4">
        <v>100</v>
      </c>
      <c r="C1057" s="4">
        <v>8</v>
      </c>
      <c r="D1057" s="33">
        <v>1.1499999999999999</v>
      </c>
      <c r="E1057" s="23">
        <v>0.8</v>
      </c>
      <c r="F1057" s="23">
        <f t="shared" si="1056"/>
        <v>1.1499999999999999</v>
      </c>
      <c r="G1057" s="23">
        <f t="shared" si="1057"/>
        <v>0.8</v>
      </c>
      <c r="H1057" s="4">
        <f t="shared" si="1156"/>
        <v>3.8630000000000001E-3</v>
      </c>
      <c r="I1057" s="2">
        <f t="shared" si="1157"/>
        <v>2.4166562992125974E-2</v>
      </c>
      <c r="J1057" s="4">
        <f t="shared" si="1158"/>
        <v>4.5985517007874031E-2</v>
      </c>
      <c r="K1057" s="4">
        <f t="shared" si="1159"/>
        <v>7.0152080000000006E-2</v>
      </c>
      <c r="L1057" s="13">
        <f t="shared" si="1160"/>
        <v>0.52552552552552512</v>
      </c>
      <c r="M1057" s="3"/>
      <c r="N1057" s="3"/>
    </row>
    <row r="1058" spans="1:14" x14ac:dyDescent="0.2">
      <c r="A1058" s="4">
        <v>489069</v>
      </c>
      <c r="B1058" s="4">
        <v>100</v>
      </c>
      <c r="C1058" s="4">
        <v>8</v>
      </c>
      <c r="D1058" s="33">
        <v>2.95</v>
      </c>
      <c r="E1058" s="23">
        <v>2</v>
      </c>
      <c r="F1058" s="23">
        <f t="shared" si="1056"/>
        <v>2.95</v>
      </c>
      <c r="G1058" s="23">
        <f t="shared" si="1057"/>
        <v>2</v>
      </c>
      <c r="H1058" s="4">
        <f t="shared" si="1156"/>
        <v>3.8630000000000001E-3</v>
      </c>
      <c r="I1058" s="2">
        <f t="shared" si="1157"/>
        <v>6.5594956692913403E-2</v>
      </c>
      <c r="J1058" s="4">
        <f t="shared" si="1158"/>
        <v>0.10978524330708662</v>
      </c>
      <c r="K1058" s="4">
        <f t="shared" si="1159"/>
        <v>0.17538020000000004</v>
      </c>
      <c r="L1058" s="13">
        <f t="shared" si="1160"/>
        <v>0.59748427672955984</v>
      </c>
      <c r="M1058" s="3">
        <f t="shared" ref="M1058" si="1169">AVERAGE(I1058:I1059)</f>
        <v>6.904732283464568E-2</v>
      </c>
      <c r="N1058" s="3">
        <f t="shared" ref="N1058" si="1170">AVERAGE(J1058:J1059)</f>
        <v>0.10633287716535435</v>
      </c>
    </row>
    <row r="1059" spans="1:14" x14ac:dyDescent="0.2">
      <c r="A1059" s="4"/>
      <c r="B1059" s="4">
        <v>100</v>
      </c>
      <c r="C1059" s="4">
        <v>8</v>
      </c>
      <c r="D1059" s="33">
        <v>3.05</v>
      </c>
      <c r="E1059" s="23">
        <v>2</v>
      </c>
      <c r="F1059" s="23">
        <f t="shared" si="1056"/>
        <v>3.05</v>
      </c>
      <c r="G1059" s="23">
        <f t="shared" si="1057"/>
        <v>2</v>
      </c>
      <c r="H1059" s="4">
        <f t="shared" si="1156"/>
        <v>3.8630000000000001E-3</v>
      </c>
      <c r="I1059" s="2">
        <f t="shared" si="1157"/>
        <v>7.2499688976377943E-2</v>
      </c>
      <c r="J1059" s="4">
        <f t="shared" si="1158"/>
        <v>0.10288051102362207</v>
      </c>
      <c r="K1059" s="4">
        <f t="shared" si="1159"/>
        <v>0.17538020000000001</v>
      </c>
      <c r="L1059" s="13">
        <f t="shared" si="1160"/>
        <v>0.70469798657718097</v>
      </c>
      <c r="M1059" s="3"/>
      <c r="N1059" s="3"/>
    </row>
    <row r="1060" spans="1:14" x14ac:dyDescent="0.2">
      <c r="A1060" s="4">
        <v>489070</v>
      </c>
      <c r="B1060" s="4">
        <v>100</v>
      </c>
      <c r="C1060" s="4">
        <v>8</v>
      </c>
      <c r="D1060" s="33">
        <v>4.0999999999999996</v>
      </c>
      <c r="E1060" s="23">
        <v>2.7</v>
      </c>
      <c r="F1060" s="23">
        <f t="shared" si="1056"/>
        <v>4.0999999999999996</v>
      </c>
      <c r="G1060" s="23">
        <f t="shared" si="1057"/>
        <v>2.7</v>
      </c>
      <c r="H1060" s="4">
        <f t="shared" si="1156"/>
        <v>3.8630000000000001E-3</v>
      </c>
      <c r="I1060" s="2">
        <f t="shared" si="1157"/>
        <v>9.6666251968503897E-2</v>
      </c>
      <c r="J1060" s="4">
        <f t="shared" si="1158"/>
        <v>0.1400970180314961</v>
      </c>
      <c r="K1060" s="4">
        <f t="shared" si="1159"/>
        <v>0.23676327</v>
      </c>
      <c r="L1060" s="13">
        <f t="shared" si="1160"/>
        <v>0.68999507146377481</v>
      </c>
      <c r="M1060" s="3">
        <f t="shared" ref="M1060" si="1171">AVERAGE(I1060:I1061)</f>
        <v>9.3213885826771634E-2</v>
      </c>
      <c r="N1060" s="3">
        <f t="shared" ref="N1060" si="1172">AVERAGE(J1060:J1061)</f>
        <v>0.13258812167322842</v>
      </c>
    </row>
    <row r="1061" spans="1:14" x14ac:dyDescent="0.2">
      <c r="A1061" s="4"/>
      <c r="B1061" s="4">
        <v>100</v>
      </c>
      <c r="C1061" s="4">
        <v>8</v>
      </c>
      <c r="D1061" s="33">
        <v>3.75</v>
      </c>
      <c r="E1061" s="23">
        <v>2.4500000000000002</v>
      </c>
      <c r="F1061" s="23">
        <f t="shared" si="1056"/>
        <v>3.75</v>
      </c>
      <c r="G1061" s="23">
        <f t="shared" si="1057"/>
        <v>2.4500000000000002</v>
      </c>
      <c r="H1061" s="4">
        <f t="shared" si="1156"/>
        <v>3.8630000000000001E-3</v>
      </c>
      <c r="I1061" s="2">
        <f t="shared" si="1157"/>
        <v>8.976151968503937E-2</v>
      </c>
      <c r="J1061" s="4">
        <f t="shared" si="1158"/>
        <v>0.12507922531496071</v>
      </c>
      <c r="K1061" s="4">
        <f t="shared" si="1159"/>
        <v>0.21484074500000008</v>
      </c>
      <c r="L1061" s="13">
        <f t="shared" si="1160"/>
        <v>0.71763731714049084</v>
      </c>
      <c r="M1061" s="3"/>
      <c r="N1061" s="3"/>
    </row>
    <row r="1062" spans="1:14" x14ac:dyDescent="0.2">
      <c r="A1062" s="4">
        <v>489071</v>
      </c>
      <c r="B1062" s="4">
        <v>100</v>
      </c>
      <c r="C1062" s="4">
        <v>8</v>
      </c>
      <c r="D1062" s="33">
        <v>5.7</v>
      </c>
      <c r="E1062" s="23">
        <v>3.8</v>
      </c>
      <c r="F1062" s="23">
        <f t="shared" si="1056"/>
        <v>5.7</v>
      </c>
      <c r="G1062" s="23">
        <f t="shared" si="1057"/>
        <v>3.8</v>
      </c>
      <c r="H1062" s="4">
        <f t="shared" si="1156"/>
        <v>3.8630000000000001E-3</v>
      </c>
      <c r="I1062" s="2">
        <f t="shared" si="1157"/>
        <v>0.13118991338582681</v>
      </c>
      <c r="J1062" s="4">
        <f t="shared" si="1158"/>
        <v>0.20203246661417323</v>
      </c>
      <c r="K1062" s="4">
        <f t="shared" si="1159"/>
        <v>0.33322238000000004</v>
      </c>
      <c r="L1062" s="13">
        <f t="shared" si="1160"/>
        <v>0.64935064935064946</v>
      </c>
      <c r="M1062" s="3">
        <f t="shared" ref="M1062" si="1173">AVERAGE(I1062:I1063)</f>
        <v>0.13636846259842522</v>
      </c>
      <c r="N1062" s="3">
        <f t="shared" ref="N1062" si="1174">AVERAGE(J1062:J1063)</f>
        <v>0.21219968490157487</v>
      </c>
    </row>
    <row r="1063" spans="1:14" x14ac:dyDescent="0.2">
      <c r="A1063" s="4"/>
      <c r="B1063" s="4">
        <v>100</v>
      </c>
      <c r="C1063" s="4">
        <v>8</v>
      </c>
      <c r="D1063" s="33">
        <v>6.2</v>
      </c>
      <c r="E1063" s="23">
        <v>4.1500000000000004</v>
      </c>
      <c r="F1063" s="23">
        <f t="shared" si="1056"/>
        <v>6.2</v>
      </c>
      <c r="G1063" s="23">
        <f t="shared" si="1057"/>
        <v>4.1500000000000004</v>
      </c>
      <c r="H1063" s="4">
        <f t="shared" si="1156"/>
        <v>3.8630000000000001E-3</v>
      </c>
      <c r="I1063" s="2">
        <f t="shared" si="1157"/>
        <v>0.14154701181102361</v>
      </c>
      <c r="J1063" s="4">
        <f t="shared" si="1158"/>
        <v>0.22236690318897651</v>
      </c>
      <c r="K1063" s="4">
        <f t="shared" si="1159"/>
        <v>0.36391391500000014</v>
      </c>
      <c r="L1063" s="13">
        <f t="shared" si="1160"/>
        <v>0.63654712001241998</v>
      </c>
      <c r="M1063" s="3"/>
      <c r="N1063" s="3"/>
    </row>
    <row r="1064" spans="1:14" x14ac:dyDescent="0.2">
      <c r="A1064" s="4">
        <v>489072</v>
      </c>
      <c r="B1064" s="4">
        <v>100</v>
      </c>
      <c r="C1064" s="4">
        <v>7</v>
      </c>
      <c r="D1064" s="33">
        <v>4.25</v>
      </c>
      <c r="E1064" s="23">
        <v>2.6</v>
      </c>
      <c r="F1064" s="23">
        <f t="shared" si="1056"/>
        <v>4.25</v>
      </c>
      <c r="G1064" s="23">
        <f t="shared" si="1057"/>
        <v>2.6</v>
      </c>
      <c r="H1064" s="4">
        <f t="shared" si="1156"/>
        <v>9.7450000000000002E-3</v>
      </c>
      <c r="I1064" s="2">
        <f t="shared" si="1157"/>
        <v>0.28740076771653539</v>
      </c>
      <c r="J1064" s="4">
        <f t="shared" si="1158"/>
        <v>0.28774913228346455</v>
      </c>
      <c r="K1064" s="4">
        <f t="shared" si="1159"/>
        <v>0.57514989999999999</v>
      </c>
      <c r="L1064" s="13">
        <f t="shared" si="1160"/>
        <v>0.99878934624697324</v>
      </c>
      <c r="M1064" s="3">
        <f t="shared" ref="M1064" si="1175">AVERAGE(I1064:I1065)</f>
        <v>0.29175532480314958</v>
      </c>
      <c r="N1064" s="3">
        <f t="shared" ref="N1064" si="1176">AVERAGE(J1064:J1065)</f>
        <v>0.27786428769685034</v>
      </c>
    </row>
    <row r="1065" spans="1:14" x14ac:dyDescent="0.2">
      <c r="A1065" s="4"/>
      <c r="B1065" s="4">
        <v>100</v>
      </c>
      <c r="C1065" s="4">
        <v>7</v>
      </c>
      <c r="D1065" s="33">
        <v>4.25</v>
      </c>
      <c r="E1065" s="23">
        <v>2.5499999999999998</v>
      </c>
      <c r="F1065" s="23">
        <f t="shared" si="1056"/>
        <v>4.25</v>
      </c>
      <c r="G1065" s="23">
        <f t="shared" si="1057"/>
        <v>2.5499999999999998</v>
      </c>
      <c r="H1065" s="4">
        <f t="shared" si="1156"/>
        <v>9.7450000000000002E-3</v>
      </c>
      <c r="I1065" s="2">
        <f t="shared" si="1157"/>
        <v>0.29610988188976384</v>
      </c>
      <c r="J1065" s="4">
        <f t="shared" si="1158"/>
        <v>0.26797944311023619</v>
      </c>
      <c r="K1065" s="4">
        <f t="shared" si="1159"/>
        <v>0.56408932500000009</v>
      </c>
      <c r="L1065" s="13">
        <f t="shared" si="1160"/>
        <v>1.104972375690608</v>
      </c>
      <c r="M1065" s="3"/>
      <c r="N1065" s="3"/>
    </row>
    <row r="1066" spans="1:14" x14ac:dyDescent="0.2">
      <c r="A1066" s="4">
        <v>489073</v>
      </c>
      <c r="B1066" s="4">
        <v>100</v>
      </c>
      <c r="C1066" s="4">
        <v>6</v>
      </c>
      <c r="D1066" s="33">
        <v>2.4</v>
      </c>
      <c r="E1066" s="23">
        <v>1.3</v>
      </c>
      <c r="F1066" s="23">
        <f t="shared" si="1056"/>
        <v>2.4</v>
      </c>
      <c r="G1066" s="23">
        <f t="shared" si="1057"/>
        <v>1.3</v>
      </c>
      <c r="H1066" s="4">
        <f t="shared" si="1156"/>
        <v>3.5767E-2</v>
      </c>
      <c r="I1066" s="2">
        <f t="shared" si="1157"/>
        <v>0.70322991338582685</v>
      </c>
      <c r="J1066" s="4">
        <f t="shared" si="1158"/>
        <v>0.35225425661417326</v>
      </c>
      <c r="K1066" s="4">
        <f t="shared" si="1159"/>
        <v>1.0554841700000002</v>
      </c>
      <c r="L1066" s="13">
        <f t="shared" si="1160"/>
        <v>1.9963702359346642</v>
      </c>
      <c r="M1066" s="3">
        <f t="shared" ref="M1066" si="1177">AVERAGE(I1066:I1067)</f>
        <v>0.68724741535433065</v>
      </c>
      <c r="N1066" s="3">
        <f t="shared" ref="N1066" si="1178">AVERAGE(J1066:J1067)</f>
        <v>0.34793898214566943</v>
      </c>
    </row>
    <row r="1067" spans="1:14" x14ac:dyDescent="0.2">
      <c r="A1067" s="4"/>
      <c r="B1067" s="4">
        <v>100</v>
      </c>
      <c r="C1067" s="4">
        <v>6</v>
      </c>
      <c r="D1067" s="33">
        <v>2.2999999999999998</v>
      </c>
      <c r="E1067" s="23">
        <v>1.25</v>
      </c>
      <c r="F1067" s="23">
        <f t="shared" si="1056"/>
        <v>2.2999999999999998</v>
      </c>
      <c r="G1067" s="23">
        <f t="shared" si="1057"/>
        <v>1.25</v>
      </c>
      <c r="H1067" s="4">
        <f t="shared" si="1156"/>
        <v>3.5767E-2</v>
      </c>
      <c r="I1067" s="2">
        <f t="shared" si="1157"/>
        <v>0.67126491732283455</v>
      </c>
      <c r="J1067" s="4">
        <f t="shared" si="1158"/>
        <v>0.3436237076771656</v>
      </c>
      <c r="K1067" s="4">
        <f t="shared" si="1159"/>
        <v>1.0148886250000002</v>
      </c>
      <c r="L1067" s="13">
        <f t="shared" si="1160"/>
        <v>1.9534883720930216</v>
      </c>
      <c r="M1067" s="3"/>
      <c r="N1067" s="3"/>
    </row>
    <row r="1068" spans="1:14" x14ac:dyDescent="0.2">
      <c r="A1068" s="4">
        <v>489074</v>
      </c>
      <c r="B1068" s="4">
        <v>100</v>
      </c>
      <c r="C1068" s="4">
        <v>7</v>
      </c>
      <c r="D1068" s="33">
        <v>6.55</v>
      </c>
      <c r="E1068" s="23">
        <v>3.45</v>
      </c>
      <c r="F1068" s="23">
        <f t="shared" si="1056"/>
        <v>6.55</v>
      </c>
      <c r="G1068" s="23">
        <f t="shared" si="1057"/>
        <v>3.45</v>
      </c>
      <c r="H1068" s="4">
        <f t="shared" si="1156"/>
        <v>9.7450000000000002E-3</v>
      </c>
      <c r="I1068" s="2">
        <f t="shared" si="1157"/>
        <v>0.53996507874015753</v>
      </c>
      <c r="J1068" s="4">
        <f t="shared" si="1158"/>
        <v>0.22321459625984258</v>
      </c>
      <c r="K1068" s="4">
        <f t="shared" si="1159"/>
        <v>0.76317967500000017</v>
      </c>
      <c r="L1068" s="13">
        <f t="shared" si="1160"/>
        <v>2.4190401872805301</v>
      </c>
      <c r="M1068" s="3">
        <f t="shared" ref="M1068" si="1179">AVERAGE(I1068:I1069)</f>
        <v>0.56173786417322835</v>
      </c>
      <c r="N1068" s="3">
        <f t="shared" ref="N1068" si="1180">AVERAGE(J1068:J1069)</f>
        <v>0.20697209832677171</v>
      </c>
    </row>
    <row r="1069" spans="1:14" x14ac:dyDescent="0.2">
      <c r="A1069" s="4"/>
      <c r="B1069" s="4">
        <v>100</v>
      </c>
      <c r="C1069" s="4">
        <v>7</v>
      </c>
      <c r="D1069" s="33">
        <v>6.85</v>
      </c>
      <c r="E1069" s="23">
        <v>3.5</v>
      </c>
      <c r="F1069" s="23">
        <f t="shared" si="1056"/>
        <v>6.85</v>
      </c>
      <c r="G1069" s="23">
        <f t="shared" si="1057"/>
        <v>3.5</v>
      </c>
      <c r="H1069" s="4">
        <f t="shared" si="1156"/>
        <v>9.7450000000000002E-3</v>
      </c>
      <c r="I1069" s="2">
        <f t="shared" si="1157"/>
        <v>0.58351064960629917</v>
      </c>
      <c r="J1069" s="4">
        <f t="shared" si="1158"/>
        <v>0.19072960039370088</v>
      </c>
      <c r="K1069" s="4">
        <f t="shared" si="1159"/>
        <v>0.77424025000000007</v>
      </c>
      <c r="L1069" s="13">
        <f t="shared" si="1160"/>
        <v>3.0593607305936055</v>
      </c>
      <c r="M1069" s="3"/>
      <c r="N1069" s="3"/>
    </row>
    <row r="1070" spans="1:14" x14ac:dyDescent="0.2">
      <c r="A1070" s="4">
        <v>489075</v>
      </c>
      <c r="B1070" s="4">
        <v>100</v>
      </c>
      <c r="C1070" s="4">
        <v>7</v>
      </c>
      <c r="D1070" s="33">
        <v>6.35</v>
      </c>
      <c r="E1070" s="23">
        <v>3.2</v>
      </c>
      <c r="F1070" s="23">
        <f t="shared" si="1056"/>
        <v>6.35</v>
      </c>
      <c r="G1070" s="23">
        <f t="shared" si="1057"/>
        <v>3.2</v>
      </c>
      <c r="H1070" s="4">
        <f t="shared" si="1156"/>
        <v>9.7450000000000002E-3</v>
      </c>
      <c r="I1070" s="2">
        <f t="shared" si="1157"/>
        <v>0.54867419291338582</v>
      </c>
      <c r="J1070" s="4">
        <f t="shared" si="1158"/>
        <v>0.15920260708661441</v>
      </c>
      <c r="K1070" s="4">
        <f t="shared" si="1159"/>
        <v>0.70787680000000019</v>
      </c>
      <c r="L1070" s="13">
        <f t="shared" si="1160"/>
        <v>3.4463894967177193</v>
      </c>
      <c r="M1070" s="3">
        <f t="shared" ref="M1070" si="1181">AVERAGE(I1070:I1071)</f>
        <v>0.54867419291338582</v>
      </c>
      <c r="N1070" s="3">
        <f t="shared" ref="N1070" si="1182">AVERAGE(J1070:J1071)</f>
        <v>0.15920260708661441</v>
      </c>
    </row>
    <row r="1071" spans="1:14" x14ac:dyDescent="0.2">
      <c r="A1071" s="4"/>
      <c r="B1071" s="4">
        <v>100</v>
      </c>
      <c r="C1071" s="4">
        <v>7</v>
      </c>
      <c r="D1071" s="33">
        <v>6.35</v>
      </c>
      <c r="E1071" s="23">
        <v>3.2</v>
      </c>
      <c r="F1071" s="23">
        <f t="shared" si="1056"/>
        <v>6.35</v>
      </c>
      <c r="G1071" s="23">
        <f t="shared" si="1057"/>
        <v>3.2</v>
      </c>
      <c r="H1071" s="4">
        <f t="shared" si="1156"/>
        <v>9.7450000000000002E-3</v>
      </c>
      <c r="I1071" s="2">
        <f t="shared" si="1157"/>
        <v>0.54867419291338582</v>
      </c>
      <c r="J1071" s="4">
        <f t="shared" si="1158"/>
        <v>0.15920260708661441</v>
      </c>
      <c r="K1071" s="4">
        <f t="shared" si="1159"/>
        <v>0.70787680000000019</v>
      </c>
      <c r="L1071" s="13">
        <f t="shared" si="1160"/>
        <v>3.4463894967177193</v>
      </c>
      <c r="M1071" s="3"/>
      <c r="N1071" s="3"/>
    </row>
    <row r="1072" spans="1:14" x14ac:dyDescent="0.2">
      <c r="A1072" s="4">
        <v>489076</v>
      </c>
      <c r="B1072" s="4">
        <v>100</v>
      </c>
      <c r="C1072" s="4">
        <v>7</v>
      </c>
      <c r="D1072" s="33">
        <v>6.45</v>
      </c>
      <c r="E1072" s="23">
        <v>3.3</v>
      </c>
      <c r="F1072" s="23">
        <f t="shared" si="1056"/>
        <v>6.45</v>
      </c>
      <c r="G1072" s="23">
        <f t="shared" si="1057"/>
        <v>3.3</v>
      </c>
      <c r="H1072" s="4">
        <f t="shared" si="1156"/>
        <v>9.7450000000000002E-3</v>
      </c>
      <c r="I1072" s="2">
        <f t="shared" si="1157"/>
        <v>0.54867419291338593</v>
      </c>
      <c r="J1072" s="4">
        <f t="shared" si="1158"/>
        <v>0.18132375708661413</v>
      </c>
      <c r="K1072" s="4">
        <f t="shared" si="1159"/>
        <v>0.72999795000000001</v>
      </c>
      <c r="L1072" s="13">
        <f t="shared" si="1160"/>
        <v>3.0259365994236322</v>
      </c>
      <c r="M1072" s="3">
        <f t="shared" ref="M1072" si="1183">AVERAGE(I1072:I1073)</f>
        <v>0.55738330708661421</v>
      </c>
      <c r="N1072" s="3">
        <f t="shared" ref="N1072" si="1184">AVERAGE(J1072:J1073)</f>
        <v>0.16155406791338583</v>
      </c>
    </row>
    <row r="1073" spans="1:14" x14ac:dyDescent="0.2">
      <c r="A1073" s="4"/>
      <c r="B1073" s="4">
        <v>100</v>
      </c>
      <c r="C1073" s="4">
        <v>7</v>
      </c>
      <c r="D1073" s="33">
        <v>6.45</v>
      </c>
      <c r="E1073" s="23">
        <v>3.2</v>
      </c>
      <c r="F1073" s="23">
        <f t="shared" si="1056"/>
        <v>6.45</v>
      </c>
      <c r="G1073" s="23">
        <f t="shared" si="1057"/>
        <v>3.2</v>
      </c>
      <c r="H1073" s="4">
        <f t="shared" si="1156"/>
        <v>9.7450000000000002E-3</v>
      </c>
      <c r="I1073" s="2">
        <f t="shared" si="1157"/>
        <v>0.56609242125984249</v>
      </c>
      <c r="J1073" s="4">
        <f t="shared" si="1158"/>
        <v>0.14178437874015754</v>
      </c>
      <c r="K1073" s="4">
        <f t="shared" si="1159"/>
        <v>0.70787679999999997</v>
      </c>
      <c r="L1073" s="13">
        <f t="shared" si="1160"/>
        <v>3.9926289926289908</v>
      </c>
      <c r="M1073" s="3"/>
      <c r="N1073" s="3"/>
    </row>
    <row r="1074" spans="1:14" x14ac:dyDescent="0.2">
      <c r="A1074" s="4">
        <v>489078</v>
      </c>
      <c r="B1074" s="4">
        <v>100</v>
      </c>
      <c r="C1074" s="4">
        <v>8</v>
      </c>
      <c r="D1074" s="33">
        <v>1.55</v>
      </c>
      <c r="E1074" s="23">
        <v>1.05</v>
      </c>
      <c r="F1074" s="23">
        <f t="shared" ref="F1074:F1137" si="1185">IF($C1074=5,D1074-$D$5,IF($C1074=6,D1074-$D$6,IF($C1074=7,D1074-$D$7,IF($C1074=8,D1074-$D$8,D1074))))</f>
        <v>1.55</v>
      </c>
      <c r="G1074" s="23">
        <f t="shared" ref="G1074:G1137" si="1186">IF($C1074=5,E1074-$D$5,IF($C1074=6,E1074-$D$6,IF($C1074=7,E1074-$D$7,IF($C1074=8,E1074-$D$8,E1074))))</f>
        <v>1.05</v>
      </c>
      <c r="H1074" s="4">
        <f t="shared" ref="H1074:H1137" si="1187">IF(C1074=1,32.7101,IF(C1074=2,8.14893,IF(C1074=3,1.42818,IF(C1074=4,0.44041,IF(C1074=5,0.123026,IF(C1074=6,0.035767,IF(C1074=7,0.009745,0.003863)))))))</f>
        <v>3.8630000000000001E-3</v>
      </c>
      <c r="I1074" s="2">
        <f t="shared" ref="I1074:I1137" si="1188">H1074*$A$3*(F1074-G1074)*1000/B1074</f>
        <v>3.452366141732284E-2</v>
      </c>
      <c r="J1074" s="4">
        <f t="shared" ref="J1074:J1137" si="1189">2.27*($A$3*G1074-($A$3-1)*F1074)*H1074*1000/B1074</f>
        <v>5.7550943582677178E-2</v>
      </c>
      <c r="K1074" s="4">
        <f t="shared" ref="K1074:K1137" si="1190">(I1074+J1074)</f>
        <v>9.2074605000000018E-2</v>
      </c>
      <c r="L1074" s="13">
        <f t="shared" ref="L1074:L1137" si="1191">(I1074/J1074)</f>
        <v>0.59988002399520091</v>
      </c>
      <c r="M1074" s="3">
        <f t="shared" ref="M1074" si="1192">AVERAGE(I1074:I1075)</f>
        <v>3.2797478346456702E-2</v>
      </c>
      <c r="N1074" s="3">
        <f t="shared" ref="N1074" si="1193">AVERAGE(J1074:J1075)</f>
        <v>5.2700369153543314E-2</v>
      </c>
    </row>
    <row r="1075" spans="1:14" x14ac:dyDescent="0.2">
      <c r="A1075" s="4"/>
      <c r="B1075" s="4">
        <v>100</v>
      </c>
      <c r="C1075" s="4">
        <v>8</v>
      </c>
      <c r="D1075" s="33">
        <v>1.35</v>
      </c>
      <c r="E1075" s="23">
        <v>0.9</v>
      </c>
      <c r="F1075" s="23">
        <f t="shared" si="1185"/>
        <v>1.35</v>
      </c>
      <c r="G1075" s="23">
        <f t="shared" si="1186"/>
        <v>0.9</v>
      </c>
      <c r="H1075" s="4">
        <f t="shared" si="1187"/>
        <v>3.8630000000000001E-3</v>
      </c>
      <c r="I1075" s="2">
        <f t="shared" si="1188"/>
        <v>3.1071295275590556E-2</v>
      </c>
      <c r="J1075" s="4">
        <f t="shared" si="1189"/>
        <v>4.7849794724409457E-2</v>
      </c>
      <c r="K1075" s="4">
        <f t="shared" si="1190"/>
        <v>7.8921090000000013E-2</v>
      </c>
      <c r="L1075" s="13">
        <f t="shared" si="1191"/>
        <v>0.64935064935064934</v>
      </c>
      <c r="M1075" s="3"/>
      <c r="N1075" s="3"/>
    </row>
    <row r="1076" spans="1:14" x14ac:dyDescent="0.2">
      <c r="A1076" s="4">
        <v>489079</v>
      </c>
      <c r="B1076" s="4">
        <v>100</v>
      </c>
      <c r="C1076" s="4">
        <v>8</v>
      </c>
      <c r="D1076" s="33">
        <v>1.9</v>
      </c>
      <c r="E1076" s="23">
        <v>1.2</v>
      </c>
      <c r="F1076" s="23">
        <f t="shared" si="1185"/>
        <v>1.9</v>
      </c>
      <c r="G1076" s="23">
        <f t="shared" si="1186"/>
        <v>1.2</v>
      </c>
      <c r="H1076" s="4">
        <f t="shared" si="1187"/>
        <v>3.8630000000000001E-3</v>
      </c>
      <c r="I1076" s="2">
        <f t="shared" si="1188"/>
        <v>4.8333125984251969E-2</v>
      </c>
      <c r="J1076" s="4">
        <f t="shared" si="1189"/>
        <v>5.6894994015748032E-2</v>
      </c>
      <c r="K1076" s="4">
        <f t="shared" si="1190"/>
        <v>0.10522812000000001</v>
      </c>
      <c r="L1076" s="13">
        <f t="shared" si="1191"/>
        <v>0.84951456310679607</v>
      </c>
      <c r="M1076" s="3">
        <f t="shared" ref="M1076" si="1194">AVERAGE(I1076:I1077)</f>
        <v>4.6606942913385824E-2</v>
      </c>
      <c r="N1076" s="3">
        <f t="shared" ref="N1076" si="1195">AVERAGE(J1076:J1077)</f>
        <v>6.0813429586614183E-2</v>
      </c>
    </row>
    <row r="1077" spans="1:14" x14ac:dyDescent="0.2">
      <c r="A1077" s="4"/>
      <c r="B1077" s="4">
        <v>100</v>
      </c>
      <c r="C1077" s="4">
        <v>8</v>
      </c>
      <c r="D1077" s="33">
        <v>1.9</v>
      </c>
      <c r="E1077" s="23">
        <v>1.25</v>
      </c>
      <c r="F1077" s="23">
        <f t="shared" si="1185"/>
        <v>1.9</v>
      </c>
      <c r="G1077" s="23">
        <f t="shared" si="1186"/>
        <v>1.25</v>
      </c>
      <c r="H1077" s="4">
        <f t="shared" si="1187"/>
        <v>3.8630000000000001E-3</v>
      </c>
      <c r="I1077" s="2">
        <f t="shared" si="1188"/>
        <v>4.4880759842519685E-2</v>
      </c>
      <c r="J1077" s="4">
        <f t="shared" si="1189"/>
        <v>6.4731865157480334E-2</v>
      </c>
      <c r="K1077" s="4">
        <f t="shared" si="1190"/>
        <v>0.10961262500000002</v>
      </c>
      <c r="L1077" s="13">
        <f t="shared" si="1191"/>
        <v>0.69333333333333313</v>
      </c>
      <c r="M1077" s="3"/>
      <c r="N1077" s="3"/>
    </row>
    <row r="1078" spans="1:14" x14ac:dyDescent="0.2">
      <c r="A1078" s="4">
        <v>489080</v>
      </c>
      <c r="B1078" s="4">
        <v>100</v>
      </c>
      <c r="C1078" s="4">
        <v>8</v>
      </c>
      <c r="D1078" s="33">
        <v>4.1500000000000004</v>
      </c>
      <c r="E1078" s="23">
        <v>2.75</v>
      </c>
      <c r="F1078" s="23">
        <f t="shared" si="1185"/>
        <v>4.1500000000000004</v>
      </c>
      <c r="G1078" s="23">
        <f t="shared" si="1186"/>
        <v>2.75</v>
      </c>
      <c r="H1078" s="4">
        <f t="shared" si="1187"/>
        <v>3.8630000000000001E-3</v>
      </c>
      <c r="I1078" s="2">
        <f t="shared" si="1188"/>
        <v>9.6666251968503966E-2</v>
      </c>
      <c r="J1078" s="4">
        <f t="shared" si="1189"/>
        <v>0.14448152303149606</v>
      </c>
      <c r="K1078" s="4">
        <f t="shared" si="1190"/>
        <v>0.24114777500000001</v>
      </c>
      <c r="L1078" s="13">
        <f t="shared" si="1191"/>
        <v>0.66905615292712095</v>
      </c>
      <c r="M1078" s="3">
        <f t="shared" ref="M1078" si="1196">AVERAGE(I1078:I1079)</f>
        <v>0.10184480118110237</v>
      </c>
      <c r="N1078" s="3">
        <f t="shared" ref="N1078" si="1197">AVERAGE(J1078:J1079)</f>
        <v>0.16999450881889766</v>
      </c>
    </row>
    <row r="1079" spans="1:14" x14ac:dyDescent="0.2">
      <c r="A1079" s="4"/>
      <c r="B1079" s="4">
        <v>100</v>
      </c>
      <c r="C1079" s="4">
        <v>8</v>
      </c>
      <c r="D1079" s="33">
        <v>5</v>
      </c>
      <c r="E1079" s="23">
        <v>3.45</v>
      </c>
      <c r="F1079" s="23">
        <f t="shared" si="1185"/>
        <v>5</v>
      </c>
      <c r="G1079" s="23">
        <f t="shared" si="1186"/>
        <v>3.45</v>
      </c>
      <c r="H1079" s="4">
        <f t="shared" si="1187"/>
        <v>3.8630000000000001E-3</v>
      </c>
      <c r="I1079" s="2">
        <f t="shared" si="1188"/>
        <v>0.10702335039370078</v>
      </c>
      <c r="J1079" s="4">
        <f t="shared" si="1189"/>
        <v>0.19550749460629926</v>
      </c>
      <c r="K1079" s="4">
        <f t="shared" si="1190"/>
        <v>0.30253084500000005</v>
      </c>
      <c r="L1079" s="13">
        <f t="shared" si="1191"/>
        <v>0.54741303196185753</v>
      </c>
      <c r="M1079" s="3"/>
      <c r="N1079" s="3"/>
    </row>
    <row r="1080" spans="1:14" x14ac:dyDescent="0.2">
      <c r="A1080" s="4">
        <v>489081</v>
      </c>
      <c r="B1080" s="4">
        <v>100</v>
      </c>
      <c r="C1080" s="4">
        <v>8</v>
      </c>
      <c r="D1080" s="33">
        <v>6.2</v>
      </c>
      <c r="E1080" s="23">
        <v>3.75</v>
      </c>
      <c r="F1080" s="23">
        <f t="shared" si="1185"/>
        <v>6.2</v>
      </c>
      <c r="G1080" s="23">
        <f t="shared" si="1186"/>
        <v>3.75</v>
      </c>
      <c r="H1080" s="4">
        <f t="shared" si="1187"/>
        <v>3.8630000000000001E-3</v>
      </c>
      <c r="I1080" s="2">
        <f t="shared" si="1188"/>
        <v>0.16916594094488194</v>
      </c>
      <c r="J1080" s="4">
        <f t="shared" si="1189"/>
        <v>0.15967193405511815</v>
      </c>
      <c r="K1080" s="4">
        <f t="shared" si="1190"/>
        <v>0.32883787500000006</v>
      </c>
      <c r="L1080" s="13">
        <f t="shared" si="1191"/>
        <v>1.0594594594594595</v>
      </c>
      <c r="M1080" s="3">
        <f t="shared" ref="M1080" si="1198">AVERAGE(I1080:I1081)</f>
        <v>0.17602866929133859</v>
      </c>
      <c r="N1080" s="3">
        <f t="shared" ref="N1080" si="1199">AVERAGE(J1080:J1081)</f>
        <v>0.22066234320866149</v>
      </c>
    </row>
    <row r="1081" spans="1:14" x14ac:dyDescent="0.2">
      <c r="A1081" s="4"/>
      <c r="B1081" s="4">
        <v>100</v>
      </c>
      <c r="C1081" s="4">
        <v>7</v>
      </c>
      <c r="D1081" s="33">
        <v>3.15</v>
      </c>
      <c r="E1081" s="23">
        <v>2.1</v>
      </c>
      <c r="F1081" s="23">
        <f t="shared" si="1185"/>
        <v>3.15</v>
      </c>
      <c r="G1081" s="23">
        <f t="shared" si="1186"/>
        <v>2.1</v>
      </c>
      <c r="H1081" s="4">
        <f t="shared" si="1187"/>
        <v>9.7450000000000002E-3</v>
      </c>
      <c r="I1081" s="2">
        <f t="shared" si="1188"/>
        <v>0.18289139763779524</v>
      </c>
      <c r="J1081" s="4">
        <f t="shared" si="1189"/>
        <v>0.28165275236220483</v>
      </c>
      <c r="K1081" s="4">
        <f t="shared" si="1190"/>
        <v>0.46454415000000004</v>
      </c>
      <c r="L1081" s="13">
        <f t="shared" si="1191"/>
        <v>0.64935064935064901</v>
      </c>
      <c r="M1081" s="3"/>
      <c r="N1081" s="3"/>
    </row>
    <row r="1082" spans="1:14" x14ac:dyDescent="0.2">
      <c r="A1082" s="4">
        <v>489082</v>
      </c>
      <c r="B1082" s="4">
        <v>100</v>
      </c>
      <c r="C1082" s="4">
        <v>7</v>
      </c>
      <c r="D1082" s="33">
        <v>4.6500000000000004</v>
      </c>
      <c r="E1082" s="23">
        <v>2.65</v>
      </c>
      <c r="F1082" s="23">
        <f t="shared" si="1185"/>
        <v>4.6500000000000004</v>
      </c>
      <c r="G1082" s="23">
        <f t="shared" si="1186"/>
        <v>2.65</v>
      </c>
      <c r="H1082" s="4">
        <f t="shared" si="1187"/>
        <v>9.7450000000000002E-3</v>
      </c>
      <c r="I1082" s="2">
        <f t="shared" si="1188"/>
        <v>0.34836456692913392</v>
      </c>
      <c r="J1082" s="4">
        <f t="shared" si="1189"/>
        <v>0.23784590807086597</v>
      </c>
      <c r="K1082" s="4">
        <f t="shared" si="1190"/>
        <v>0.5862104749999999</v>
      </c>
      <c r="L1082" s="13">
        <f t="shared" si="1191"/>
        <v>1.4646649578908837</v>
      </c>
      <c r="M1082" s="3">
        <f t="shared" ref="M1082" si="1200">AVERAGE(I1082:I1083)</f>
        <v>0.35271912401574812</v>
      </c>
      <c r="N1082" s="3">
        <f t="shared" ref="N1082" si="1201">AVERAGE(J1082:J1083)</f>
        <v>0.25561250098425192</v>
      </c>
    </row>
    <row r="1083" spans="1:14" x14ac:dyDescent="0.2">
      <c r="A1083" s="4"/>
      <c r="B1083" s="4">
        <v>100</v>
      </c>
      <c r="C1083" s="4">
        <v>7</v>
      </c>
      <c r="D1083" s="33">
        <v>4.9000000000000004</v>
      </c>
      <c r="E1083" s="23">
        <v>2.85</v>
      </c>
      <c r="F1083" s="23">
        <f t="shared" si="1185"/>
        <v>4.9000000000000004</v>
      </c>
      <c r="G1083" s="23">
        <f t="shared" si="1186"/>
        <v>2.85</v>
      </c>
      <c r="H1083" s="4">
        <f t="shared" si="1187"/>
        <v>9.7450000000000002E-3</v>
      </c>
      <c r="I1083" s="2">
        <f t="shared" si="1188"/>
        <v>0.35707368110236226</v>
      </c>
      <c r="J1083" s="4">
        <f t="shared" si="1189"/>
        <v>0.27337909389763787</v>
      </c>
      <c r="K1083" s="4">
        <f t="shared" si="1190"/>
        <v>0.63045277500000019</v>
      </c>
      <c r="L1083" s="13">
        <f t="shared" si="1191"/>
        <v>1.3061484549219495</v>
      </c>
      <c r="M1083" s="3"/>
      <c r="N1083" s="3"/>
    </row>
    <row r="1084" spans="1:14" x14ac:dyDescent="0.2">
      <c r="A1084" s="4">
        <v>489083</v>
      </c>
      <c r="B1084" s="4">
        <v>100</v>
      </c>
      <c r="C1084" s="4">
        <v>7</v>
      </c>
      <c r="D1084" s="33">
        <v>4.9000000000000004</v>
      </c>
      <c r="E1084" s="23">
        <v>2.9</v>
      </c>
      <c r="F1084" s="23">
        <f t="shared" si="1185"/>
        <v>4.9000000000000004</v>
      </c>
      <c r="G1084" s="23">
        <f t="shared" si="1186"/>
        <v>2.9</v>
      </c>
      <c r="H1084" s="4">
        <f t="shared" si="1187"/>
        <v>9.7450000000000002E-3</v>
      </c>
      <c r="I1084" s="2">
        <f t="shared" si="1188"/>
        <v>0.34836456692913392</v>
      </c>
      <c r="J1084" s="4">
        <f t="shared" si="1189"/>
        <v>0.29314878307086617</v>
      </c>
      <c r="K1084" s="4">
        <f t="shared" si="1190"/>
        <v>0.64151335000000009</v>
      </c>
      <c r="L1084" s="13">
        <f t="shared" si="1191"/>
        <v>1.1883541295306002</v>
      </c>
      <c r="M1084" s="3">
        <f t="shared" ref="M1084" si="1202">AVERAGE(I1084:I1085)</f>
        <v>0.34836456692913387</v>
      </c>
      <c r="N1084" s="3">
        <f t="shared" ref="N1084" si="1203">AVERAGE(J1084:J1085)</f>
        <v>0.30420935807086613</v>
      </c>
    </row>
    <row r="1085" spans="1:14" x14ac:dyDescent="0.2">
      <c r="A1085" s="4"/>
      <c r="B1085" s="4">
        <v>100</v>
      </c>
      <c r="C1085" s="4">
        <v>7</v>
      </c>
      <c r="D1085" s="33">
        <v>5</v>
      </c>
      <c r="E1085" s="23">
        <v>3</v>
      </c>
      <c r="F1085" s="23">
        <f t="shared" si="1185"/>
        <v>5</v>
      </c>
      <c r="G1085" s="23">
        <f t="shared" si="1186"/>
        <v>3</v>
      </c>
      <c r="H1085" s="4">
        <f t="shared" si="1187"/>
        <v>9.7450000000000002E-3</v>
      </c>
      <c r="I1085" s="2">
        <f t="shared" si="1188"/>
        <v>0.34836456692913387</v>
      </c>
      <c r="J1085" s="4">
        <f t="shared" si="1189"/>
        <v>0.31526993307086609</v>
      </c>
      <c r="K1085" s="4">
        <f t="shared" si="1190"/>
        <v>0.66363449999999991</v>
      </c>
      <c r="L1085" s="13">
        <f t="shared" si="1191"/>
        <v>1.104972375690608</v>
      </c>
      <c r="M1085" s="3"/>
      <c r="N1085" s="3"/>
    </row>
    <row r="1086" spans="1:14" x14ac:dyDescent="0.2">
      <c r="A1086" s="4">
        <v>489084</v>
      </c>
      <c r="B1086" s="4">
        <v>100</v>
      </c>
      <c r="C1086" s="4">
        <v>6</v>
      </c>
      <c r="D1086" s="33">
        <v>2.85</v>
      </c>
      <c r="E1086" s="23">
        <v>1.4</v>
      </c>
      <c r="F1086" s="23">
        <f t="shared" si="1185"/>
        <v>2.85</v>
      </c>
      <c r="G1086" s="23">
        <f t="shared" si="1186"/>
        <v>1.4</v>
      </c>
      <c r="H1086" s="4">
        <f t="shared" si="1187"/>
        <v>3.5767E-2</v>
      </c>
      <c r="I1086" s="2">
        <f t="shared" si="1188"/>
        <v>0.92698488582677185</v>
      </c>
      <c r="J1086" s="4">
        <f t="shared" si="1189"/>
        <v>0.20969037417322808</v>
      </c>
      <c r="K1086" s="4">
        <f t="shared" si="1190"/>
        <v>1.1366752599999999</v>
      </c>
      <c r="L1086" s="13">
        <f t="shared" si="1191"/>
        <v>4.4207317073170795</v>
      </c>
      <c r="M1086" s="3">
        <f t="shared" ref="M1086" si="1204">AVERAGE(I1086:I1087)</f>
        <v>0.92698488582677174</v>
      </c>
      <c r="N1086" s="3">
        <f t="shared" ref="N1086" si="1205">AVERAGE(J1086:J1087)</f>
        <v>0.2299881466732282</v>
      </c>
    </row>
    <row r="1087" spans="1:14" x14ac:dyDescent="0.2">
      <c r="A1087" s="4"/>
      <c r="B1087" s="4">
        <v>100</v>
      </c>
      <c r="C1087" s="4">
        <v>6</v>
      </c>
      <c r="D1087" s="33">
        <v>2.9</v>
      </c>
      <c r="E1087" s="23">
        <v>1.45</v>
      </c>
      <c r="F1087" s="23">
        <f t="shared" si="1185"/>
        <v>2.9</v>
      </c>
      <c r="G1087" s="23">
        <f t="shared" si="1186"/>
        <v>1.45</v>
      </c>
      <c r="H1087" s="4">
        <f t="shared" si="1187"/>
        <v>3.5767E-2</v>
      </c>
      <c r="I1087" s="2">
        <f t="shared" si="1188"/>
        <v>0.92698488582677174</v>
      </c>
      <c r="J1087" s="4">
        <f t="shared" si="1189"/>
        <v>0.25028591917322829</v>
      </c>
      <c r="K1087" s="4">
        <f t="shared" si="1190"/>
        <v>1.177270805</v>
      </c>
      <c r="L1087" s="13">
        <f t="shared" si="1191"/>
        <v>3.7037037037037051</v>
      </c>
      <c r="M1087" s="3"/>
      <c r="N1087" s="3"/>
    </row>
    <row r="1088" spans="1:14" x14ac:dyDescent="0.2">
      <c r="A1088" s="4">
        <v>489085</v>
      </c>
      <c r="B1088" s="4">
        <v>100</v>
      </c>
      <c r="C1088" s="4">
        <v>6</v>
      </c>
      <c r="D1088" s="33">
        <v>3.05</v>
      </c>
      <c r="E1088" s="23">
        <v>1.5</v>
      </c>
      <c r="F1088" s="23">
        <f t="shared" si="1185"/>
        <v>3.05</v>
      </c>
      <c r="G1088" s="23">
        <f t="shared" si="1186"/>
        <v>1.5</v>
      </c>
      <c r="H1088" s="4">
        <f t="shared" si="1187"/>
        <v>3.5767E-2</v>
      </c>
      <c r="I1088" s="2">
        <f t="shared" si="1188"/>
        <v>0.99091487795275579</v>
      </c>
      <c r="J1088" s="4">
        <f t="shared" si="1189"/>
        <v>0.22695147204724406</v>
      </c>
      <c r="K1088" s="4">
        <f t="shared" si="1190"/>
        <v>1.2178663499999998</v>
      </c>
      <c r="L1088" s="13">
        <f t="shared" si="1191"/>
        <v>4.3661971830985919</v>
      </c>
      <c r="M1088" s="3">
        <f t="shared" ref="M1088" si="1206">AVERAGE(I1088:I1089)</f>
        <v>1.0068973759842519</v>
      </c>
      <c r="N1088" s="3">
        <f t="shared" ref="N1088" si="1207">AVERAGE(J1088:J1089)</f>
        <v>0.23126674651574813</v>
      </c>
    </row>
    <row r="1089" spans="1:14" x14ac:dyDescent="0.2">
      <c r="A1089" s="4"/>
      <c r="B1089" s="4">
        <v>100</v>
      </c>
      <c r="C1089" s="4">
        <v>6</v>
      </c>
      <c r="D1089" s="33">
        <v>3.15</v>
      </c>
      <c r="E1089" s="23">
        <v>1.55</v>
      </c>
      <c r="F1089" s="23">
        <f t="shared" si="1185"/>
        <v>3.15</v>
      </c>
      <c r="G1089" s="23">
        <f t="shared" si="1186"/>
        <v>1.55</v>
      </c>
      <c r="H1089" s="4">
        <f t="shared" si="1187"/>
        <v>3.5767E-2</v>
      </c>
      <c r="I1089" s="2">
        <f t="shared" si="1188"/>
        <v>1.0228798740157479</v>
      </c>
      <c r="J1089" s="4">
        <f t="shared" si="1189"/>
        <v>0.23558202098425218</v>
      </c>
      <c r="K1089" s="4">
        <f t="shared" si="1190"/>
        <v>1.2584618949999999</v>
      </c>
      <c r="L1089" s="13">
        <f t="shared" si="1191"/>
        <v>4.3419267299864268</v>
      </c>
      <c r="M1089" s="3"/>
      <c r="N1089" s="3"/>
    </row>
    <row r="1090" spans="1:14" x14ac:dyDescent="0.2">
      <c r="A1090" s="4">
        <v>489088</v>
      </c>
      <c r="B1090" s="4">
        <v>100</v>
      </c>
      <c r="C1090" s="4">
        <v>8</v>
      </c>
      <c r="D1090" s="33">
        <v>2.9</v>
      </c>
      <c r="E1090" s="23">
        <v>2.0499999999999998</v>
      </c>
      <c r="F1090" s="23">
        <f t="shared" si="1185"/>
        <v>2.9</v>
      </c>
      <c r="G1090" s="23">
        <f t="shared" si="1186"/>
        <v>2.0499999999999998</v>
      </c>
      <c r="H1090" s="4">
        <f t="shared" si="1187"/>
        <v>3.8630000000000001E-3</v>
      </c>
      <c r="I1090" s="2">
        <f t="shared" si="1188"/>
        <v>5.8690224409448828E-2</v>
      </c>
      <c r="J1090" s="4">
        <f t="shared" si="1189"/>
        <v>0.12107448059055116</v>
      </c>
      <c r="K1090" s="4">
        <f t="shared" si="1190"/>
        <v>0.179764705</v>
      </c>
      <c r="L1090" s="13">
        <f t="shared" si="1191"/>
        <v>0.4847447961220418</v>
      </c>
      <c r="M1090" s="3">
        <f t="shared" ref="M1090" si="1208">AVERAGE(I1090:I1091)</f>
        <v>6.3868773622047251E-2</v>
      </c>
      <c r="N1090" s="3">
        <f t="shared" ref="N1090" si="1209">AVERAGE(J1090:J1091)</f>
        <v>0.12904944637795276</v>
      </c>
    </row>
    <row r="1091" spans="1:14" x14ac:dyDescent="0.2">
      <c r="A1091" s="4"/>
      <c r="B1091" s="4">
        <v>100</v>
      </c>
      <c r="C1091" s="4">
        <v>8</v>
      </c>
      <c r="D1091" s="33">
        <v>3.35</v>
      </c>
      <c r="E1091" s="23">
        <v>2.35</v>
      </c>
      <c r="F1091" s="23">
        <f t="shared" si="1185"/>
        <v>3.35</v>
      </c>
      <c r="G1091" s="23">
        <f t="shared" si="1186"/>
        <v>2.35</v>
      </c>
      <c r="H1091" s="4">
        <f t="shared" si="1187"/>
        <v>3.8630000000000001E-3</v>
      </c>
      <c r="I1091" s="2">
        <f t="shared" si="1188"/>
        <v>6.904732283464568E-2</v>
      </c>
      <c r="J1091" s="4">
        <f t="shared" si="1189"/>
        <v>0.13702441216535435</v>
      </c>
      <c r="K1091" s="4">
        <f t="shared" si="1190"/>
        <v>0.20607173500000003</v>
      </c>
      <c r="L1091" s="13">
        <f t="shared" si="1191"/>
        <v>0.5039052658100277</v>
      </c>
      <c r="M1091" s="3"/>
      <c r="N1091" s="3"/>
    </row>
    <row r="1092" spans="1:14" x14ac:dyDescent="0.2">
      <c r="A1092" s="4">
        <v>489089</v>
      </c>
      <c r="B1092" s="4">
        <v>100</v>
      </c>
      <c r="C1092" s="4">
        <v>8</v>
      </c>
      <c r="D1092" s="33">
        <v>2.6</v>
      </c>
      <c r="E1092" s="23">
        <v>1.8</v>
      </c>
      <c r="F1092" s="23">
        <f t="shared" si="1185"/>
        <v>2.6</v>
      </c>
      <c r="G1092" s="23">
        <f t="shared" si="1186"/>
        <v>1.8</v>
      </c>
      <c r="H1092" s="4">
        <f t="shared" si="1187"/>
        <v>3.8630000000000001E-3</v>
      </c>
      <c r="I1092" s="2">
        <f t="shared" si="1188"/>
        <v>5.5237858267716537E-2</v>
      </c>
      <c r="J1092" s="4">
        <f t="shared" si="1189"/>
        <v>0.10260432173228348</v>
      </c>
      <c r="K1092" s="4">
        <f t="shared" si="1190"/>
        <v>0.15784218000000003</v>
      </c>
      <c r="L1092" s="13">
        <f t="shared" si="1191"/>
        <v>0.53835800807537004</v>
      </c>
      <c r="M1092" s="3">
        <f t="shared" ref="M1092" si="1210">AVERAGE(I1092:I1093)</f>
        <v>5.5237858267716544E-2</v>
      </c>
      <c r="N1092" s="3">
        <f t="shared" ref="N1092" si="1211">AVERAGE(J1092:J1093)</f>
        <v>0.10698882673228348</v>
      </c>
    </row>
    <row r="1093" spans="1:14" x14ac:dyDescent="0.2">
      <c r="A1093" s="4"/>
      <c r="B1093" s="4">
        <v>100</v>
      </c>
      <c r="C1093" s="4">
        <v>8</v>
      </c>
      <c r="D1093" s="33">
        <v>2.7</v>
      </c>
      <c r="E1093" s="23">
        <v>1.9</v>
      </c>
      <c r="F1093" s="23">
        <f t="shared" si="1185"/>
        <v>2.7</v>
      </c>
      <c r="G1093" s="23">
        <f t="shared" si="1186"/>
        <v>1.9</v>
      </c>
      <c r="H1093" s="4">
        <f t="shared" si="1187"/>
        <v>3.8630000000000001E-3</v>
      </c>
      <c r="I1093" s="2">
        <f t="shared" si="1188"/>
        <v>5.5237858267716551E-2</v>
      </c>
      <c r="J1093" s="4">
        <f t="shared" si="1189"/>
        <v>0.11137333173228348</v>
      </c>
      <c r="K1093" s="4">
        <f t="shared" si="1190"/>
        <v>0.16661119000000002</v>
      </c>
      <c r="L1093" s="13">
        <f t="shared" si="1191"/>
        <v>0.49597024178549298</v>
      </c>
      <c r="M1093" s="3"/>
      <c r="N1093" s="3"/>
    </row>
    <row r="1094" spans="1:14" x14ac:dyDescent="0.2">
      <c r="A1094" s="4">
        <v>489090</v>
      </c>
      <c r="B1094" s="4">
        <v>100</v>
      </c>
      <c r="C1094" s="4">
        <v>8</v>
      </c>
      <c r="D1094" s="33">
        <v>4.45</v>
      </c>
      <c r="E1094" s="23">
        <v>3</v>
      </c>
      <c r="F1094" s="23">
        <f t="shared" si="1185"/>
        <v>4.45</v>
      </c>
      <c r="G1094" s="23">
        <f t="shared" si="1186"/>
        <v>3</v>
      </c>
      <c r="H1094" s="4">
        <f t="shared" si="1187"/>
        <v>3.8630000000000001E-3</v>
      </c>
      <c r="I1094" s="2">
        <f t="shared" si="1188"/>
        <v>0.10011861811023623</v>
      </c>
      <c r="J1094" s="4">
        <f t="shared" si="1189"/>
        <v>0.16295168188976375</v>
      </c>
      <c r="K1094" s="4">
        <f t="shared" si="1190"/>
        <v>0.26307029999999998</v>
      </c>
      <c r="L1094" s="13">
        <f t="shared" si="1191"/>
        <v>0.61440677966101709</v>
      </c>
      <c r="M1094" s="3">
        <f t="shared" ref="M1094" si="1212">AVERAGE(I1094:I1095)</f>
        <v>9.8392435039370063E-2</v>
      </c>
      <c r="N1094" s="3">
        <f t="shared" ref="N1094" si="1213">AVERAGE(J1094:J1095)</f>
        <v>0.18440813746062992</v>
      </c>
    </row>
    <row r="1095" spans="1:14" x14ac:dyDescent="0.2">
      <c r="A1095" s="4"/>
      <c r="B1095" s="4">
        <v>100</v>
      </c>
      <c r="C1095" s="4">
        <v>8</v>
      </c>
      <c r="D1095" s="33">
        <v>4.8499999999999996</v>
      </c>
      <c r="E1095" s="23">
        <v>3.45</v>
      </c>
      <c r="F1095" s="23">
        <f t="shared" si="1185"/>
        <v>4.8499999999999996</v>
      </c>
      <c r="G1095" s="23">
        <f t="shared" si="1186"/>
        <v>3.45</v>
      </c>
      <c r="H1095" s="4">
        <f t="shared" si="1187"/>
        <v>3.8630000000000001E-3</v>
      </c>
      <c r="I1095" s="2">
        <f t="shared" si="1188"/>
        <v>9.6666251968503897E-2</v>
      </c>
      <c r="J1095" s="4">
        <f t="shared" si="1189"/>
        <v>0.2058645930314961</v>
      </c>
      <c r="K1095" s="4">
        <f t="shared" si="1190"/>
        <v>0.30253084499999999</v>
      </c>
      <c r="L1095" s="13">
        <f t="shared" si="1191"/>
        <v>0.4695623008552739</v>
      </c>
      <c r="M1095" s="3"/>
      <c r="N1095" s="3"/>
    </row>
    <row r="1096" spans="1:14" x14ac:dyDescent="0.2">
      <c r="A1096" s="4">
        <v>489091</v>
      </c>
      <c r="B1096" s="4">
        <v>100</v>
      </c>
      <c r="C1096" s="4">
        <v>8</v>
      </c>
      <c r="D1096" s="33">
        <v>4.75</v>
      </c>
      <c r="E1096" s="23">
        <v>3.2</v>
      </c>
      <c r="F1096" s="23">
        <f t="shared" si="1185"/>
        <v>4.75</v>
      </c>
      <c r="G1096" s="23">
        <f t="shared" si="1186"/>
        <v>3.2</v>
      </c>
      <c r="H1096" s="4">
        <f t="shared" si="1187"/>
        <v>3.8630000000000001E-3</v>
      </c>
      <c r="I1096" s="2">
        <f t="shared" si="1188"/>
        <v>0.10702335039370078</v>
      </c>
      <c r="J1096" s="4">
        <f t="shared" si="1189"/>
        <v>0.17358496960629929</v>
      </c>
      <c r="K1096" s="4">
        <f t="shared" si="1190"/>
        <v>0.28060832000000008</v>
      </c>
      <c r="L1096" s="13">
        <f t="shared" si="1191"/>
        <v>0.61654733492442293</v>
      </c>
      <c r="M1096" s="3">
        <f t="shared" ref="M1096" si="1214">AVERAGE(I1096:I1097)</f>
        <v>0.11047571653543306</v>
      </c>
      <c r="N1096" s="3">
        <f t="shared" ref="N1096" si="1215">AVERAGE(J1096:J1097)</f>
        <v>0.17890161346456701</v>
      </c>
    </row>
    <row r="1097" spans="1:14" x14ac:dyDescent="0.2">
      <c r="A1097" s="4"/>
      <c r="B1097" s="4">
        <v>100</v>
      </c>
      <c r="C1097" s="4">
        <v>8</v>
      </c>
      <c r="D1097" s="33">
        <v>5.05</v>
      </c>
      <c r="E1097" s="23">
        <v>3.4</v>
      </c>
      <c r="F1097" s="23">
        <f t="shared" si="1185"/>
        <v>5.05</v>
      </c>
      <c r="G1097" s="23">
        <f t="shared" si="1186"/>
        <v>3.4</v>
      </c>
      <c r="H1097" s="4">
        <f t="shared" si="1187"/>
        <v>3.8630000000000001E-3</v>
      </c>
      <c r="I1097" s="2">
        <f t="shared" si="1188"/>
        <v>0.11392808267716535</v>
      </c>
      <c r="J1097" s="4">
        <f t="shared" si="1189"/>
        <v>0.1842182573228347</v>
      </c>
      <c r="K1097" s="4">
        <f t="shared" si="1190"/>
        <v>0.29814634000000007</v>
      </c>
      <c r="L1097" s="13">
        <f t="shared" si="1191"/>
        <v>0.61844077961019472</v>
      </c>
      <c r="M1097" s="3"/>
      <c r="N1097" s="3"/>
    </row>
    <row r="1098" spans="1:14" x14ac:dyDescent="0.2">
      <c r="A1098" s="4">
        <v>489092</v>
      </c>
      <c r="B1098" s="4">
        <v>100</v>
      </c>
      <c r="C1098" s="4">
        <v>8</v>
      </c>
      <c r="D1098" s="33">
        <v>6.65</v>
      </c>
      <c r="E1098" s="23">
        <v>4</v>
      </c>
      <c r="F1098" s="23">
        <f t="shared" si="1185"/>
        <v>6.65</v>
      </c>
      <c r="G1098" s="23">
        <f t="shared" si="1186"/>
        <v>4</v>
      </c>
      <c r="H1098" s="4">
        <f t="shared" si="1187"/>
        <v>3.8630000000000001E-3</v>
      </c>
      <c r="I1098" s="2">
        <f t="shared" si="1188"/>
        <v>0.18297540551181105</v>
      </c>
      <c r="J1098" s="4">
        <f t="shared" si="1189"/>
        <v>0.16778499448818901</v>
      </c>
      <c r="K1098" s="4">
        <f t="shared" si="1190"/>
        <v>0.35076040000000008</v>
      </c>
      <c r="L1098" s="13">
        <f t="shared" si="1191"/>
        <v>1.0905349794238681</v>
      </c>
      <c r="M1098" s="3">
        <f t="shared" ref="M1098" si="1216">AVERAGE(I1098:I1099)</f>
        <v>0.18815395472440949</v>
      </c>
      <c r="N1098" s="3">
        <f t="shared" ref="N1098" si="1217">AVERAGE(J1098:J1099)</f>
        <v>0.16699095027559052</v>
      </c>
    </row>
    <row r="1099" spans="1:14" x14ac:dyDescent="0.2">
      <c r="A1099" s="4"/>
      <c r="B1099" s="4">
        <v>100</v>
      </c>
      <c r="C1099" s="4">
        <v>8</v>
      </c>
      <c r="D1099" s="33">
        <v>6.9</v>
      </c>
      <c r="E1099" s="23">
        <v>4.0999999999999996</v>
      </c>
      <c r="F1099" s="23">
        <f t="shared" si="1185"/>
        <v>6.9</v>
      </c>
      <c r="G1099" s="23">
        <f t="shared" si="1186"/>
        <v>4.0999999999999996</v>
      </c>
      <c r="H1099" s="4">
        <f t="shared" si="1187"/>
        <v>3.8630000000000001E-3</v>
      </c>
      <c r="I1099" s="2">
        <f t="shared" si="1188"/>
        <v>0.19333250393700793</v>
      </c>
      <c r="J1099" s="4">
        <f t="shared" si="1189"/>
        <v>0.16619690606299206</v>
      </c>
      <c r="K1099" s="4">
        <f t="shared" si="1190"/>
        <v>0.35952940999999999</v>
      </c>
      <c r="L1099" s="13">
        <f t="shared" si="1191"/>
        <v>1.1632737847943506</v>
      </c>
      <c r="M1099" s="3"/>
      <c r="N1099" s="3"/>
    </row>
    <row r="1100" spans="1:14" x14ac:dyDescent="0.2">
      <c r="A1100" s="4">
        <v>489093</v>
      </c>
      <c r="B1100" s="4">
        <v>100</v>
      </c>
      <c r="C1100" s="4">
        <v>7</v>
      </c>
      <c r="D1100" s="33">
        <v>3.85</v>
      </c>
      <c r="E1100" s="23">
        <v>2.2999999999999998</v>
      </c>
      <c r="F1100" s="23">
        <f t="shared" si="1185"/>
        <v>3.85</v>
      </c>
      <c r="G1100" s="23">
        <f t="shared" si="1186"/>
        <v>2.2999999999999998</v>
      </c>
      <c r="H1100" s="4">
        <f t="shared" si="1187"/>
        <v>9.7450000000000002E-3</v>
      </c>
      <c r="I1100" s="2">
        <f t="shared" si="1188"/>
        <v>0.26998253937007882</v>
      </c>
      <c r="J1100" s="4">
        <f t="shared" si="1189"/>
        <v>0.2388039106299211</v>
      </c>
      <c r="K1100" s="4">
        <f t="shared" si="1190"/>
        <v>0.50878644999999989</v>
      </c>
      <c r="L1100" s="13">
        <f t="shared" si="1191"/>
        <v>1.1305616338439106</v>
      </c>
      <c r="M1100" s="3">
        <f t="shared" ref="M1100" si="1218">AVERAGE(I1100:I1101)</f>
        <v>0.27433709645669296</v>
      </c>
      <c r="N1100" s="3">
        <f t="shared" ref="N1100" si="1219">AVERAGE(J1100:J1101)</f>
        <v>0.245509928543307</v>
      </c>
    </row>
    <row r="1101" spans="1:14" x14ac:dyDescent="0.2">
      <c r="A1101" s="4"/>
      <c r="B1101" s="4">
        <v>100</v>
      </c>
      <c r="C1101" s="4">
        <v>7</v>
      </c>
      <c r="D1101" s="33">
        <v>4</v>
      </c>
      <c r="E1101" s="23">
        <v>2.4</v>
      </c>
      <c r="F1101" s="23">
        <f t="shared" si="1185"/>
        <v>4</v>
      </c>
      <c r="G1101" s="23">
        <f t="shared" si="1186"/>
        <v>2.4</v>
      </c>
      <c r="H1101" s="4">
        <f t="shared" si="1187"/>
        <v>9.7450000000000002E-3</v>
      </c>
      <c r="I1101" s="2">
        <f t="shared" si="1188"/>
        <v>0.27869165354330711</v>
      </c>
      <c r="J1101" s="4">
        <f t="shared" si="1189"/>
        <v>0.25221594645669293</v>
      </c>
      <c r="K1101" s="4">
        <f t="shared" si="1190"/>
        <v>0.53090760000000004</v>
      </c>
      <c r="L1101" s="13">
        <f t="shared" si="1191"/>
        <v>1.1049723756906078</v>
      </c>
      <c r="M1101" s="3"/>
      <c r="N1101" s="3"/>
    </row>
    <row r="1102" spans="1:14" x14ac:dyDescent="0.2">
      <c r="A1102" s="4">
        <v>489094</v>
      </c>
      <c r="B1102" s="4">
        <v>100</v>
      </c>
      <c r="C1102" s="4">
        <v>6</v>
      </c>
      <c r="D1102" s="33">
        <v>2.65</v>
      </c>
      <c r="E1102" s="23">
        <v>1.35</v>
      </c>
      <c r="F1102" s="23">
        <f t="shared" si="1185"/>
        <v>2.65</v>
      </c>
      <c r="G1102" s="23">
        <f t="shared" si="1186"/>
        <v>1.35</v>
      </c>
      <c r="H1102" s="4">
        <f t="shared" si="1187"/>
        <v>3.5767E-2</v>
      </c>
      <c r="I1102" s="2">
        <f t="shared" si="1188"/>
        <v>0.83108989763779517</v>
      </c>
      <c r="J1102" s="4">
        <f t="shared" si="1189"/>
        <v>0.26498981736220484</v>
      </c>
      <c r="K1102" s="4">
        <f t="shared" si="1190"/>
        <v>1.0960797150000001</v>
      </c>
      <c r="L1102" s="13">
        <f t="shared" si="1191"/>
        <v>3.1363088057901067</v>
      </c>
      <c r="M1102" s="3">
        <f t="shared" ref="M1102" si="1220">AVERAGE(I1102:I1103)</f>
        <v>0.83108989763779517</v>
      </c>
      <c r="N1102" s="3">
        <f t="shared" ref="N1102" si="1221">AVERAGE(J1102:J1103)</f>
        <v>0.26498981736220484</v>
      </c>
    </row>
    <row r="1103" spans="1:14" x14ac:dyDescent="0.2">
      <c r="A1103" s="4"/>
      <c r="B1103" s="4">
        <v>100</v>
      </c>
      <c r="C1103" s="4">
        <v>6</v>
      </c>
      <c r="D1103" s="33">
        <v>2.65</v>
      </c>
      <c r="E1103" s="23">
        <v>1.35</v>
      </c>
      <c r="F1103" s="23">
        <f t="shared" si="1185"/>
        <v>2.65</v>
      </c>
      <c r="G1103" s="23">
        <f t="shared" si="1186"/>
        <v>1.35</v>
      </c>
      <c r="H1103" s="4">
        <f t="shared" si="1187"/>
        <v>3.5767E-2</v>
      </c>
      <c r="I1103" s="2">
        <f t="shared" si="1188"/>
        <v>0.83108989763779517</v>
      </c>
      <c r="J1103" s="4">
        <f t="shared" si="1189"/>
        <v>0.26498981736220484</v>
      </c>
      <c r="K1103" s="4">
        <f t="shared" si="1190"/>
        <v>1.0960797150000001</v>
      </c>
      <c r="L1103" s="13">
        <f t="shared" si="1191"/>
        <v>3.1363088057901067</v>
      </c>
      <c r="M1103" s="3"/>
      <c r="N1103" s="3"/>
    </row>
    <row r="1104" spans="1:14" x14ac:dyDescent="0.2">
      <c r="A1104" s="4">
        <v>489095</v>
      </c>
      <c r="B1104" s="4">
        <v>100</v>
      </c>
      <c r="C1104" s="4">
        <v>6</v>
      </c>
      <c r="D1104" s="33">
        <v>2.4</v>
      </c>
      <c r="E1104" s="23">
        <v>1.25</v>
      </c>
      <c r="F1104" s="23">
        <f t="shared" si="1185"/>
        <v>2.4</v>
      </c>
      <c r="G1104" s="23">
        <f t="shared" si="1186"/>
        <v>1.25</v>
      </c>
      <c r="H1104" s="4">
        <f t="shared" si="1187"/>
        <v>3.5767E-2</v>
      </c>
      <c r="I1104" s="2">
        <f t="shared" si="1188"/>
        <v>0.73519490944881893</v>
      </c>
      <c r="J1104" s="4">
        <f t="shared" si="1189"/>
        <v>0.27969371555118133</v>
      </c>
      <c r="K1104" s="4">
        <f t="shared" si="1190"/>
        <v>1.0148886250000002</v>
      </c>
      <c r="L1104" s="13">
        <f t="shared" si="1191"/>
        <v>2.6285714285714263</v>
      </c>
      <c r="M1104" s="3">
        <f t="shared" ref="M1104" si="1222">AVERAGE(I1104:I1105)</f>
        <v>0.75117740748031492</v>
      </c>
      <c r="N1104" s="3">
        <f t="shared" ref="N1104" si="1223">AVERAGE(J1104:J1105)</f>
        <v>0.28400899001968516</v>
      </c>
    </row>
    <row r="1105" spans="1:14" x14ac:dyDescent="0.2">
      <c r="A1105" s="4"/>
      <c r="B1105" s="4">
        <v>100</v>
      </c>
      <c r="C1105" s="4">
        <v>6</v>
      </c>
      <c r="D1105" s="33">
        <v>2.5</v>
      </c>
      <c r="E1105" s="23">
        <v>1.3</v>
      </c>
      <c r="F1105" s="23">
        <f t="shared" si="1185"/>
        <v>2.5</v>
      </c>
      <c r="G1105" s="23">
        <f t="shared" si="1186"/>
        <v>1.3</v>
      </c>
      <c r="H1105" s="4">
        <f t="shared" si="1187"/>
        <v>3.5767E-2</v>
      </c>
      <c r="I1105" s="2">
        <f t="shared" si="1188"/>
        <v>0.7671599055118109</v>
      </c>
      <c r="J1105" s="4">
        <f t="shared" si="1189"/>
        <v>0.28832426448818893</v>
      </c>
      <c r="K1105" s="4">
        <f t="shared" si="1190"/>
        <v>1.0554841699999997</v>
      </c>
      <c r="L1105" s="13">
        <f t="shared" si="1191"/>
        <v>2.6607538802660753</v>
      </c>
      <c r="M1105" s="3"/>
      <c r="N1105" s="3"/>
    </row>
    <row r="1106" spans="1:14" x14ac:dyDescent="0.2">
      <c r="A1106" s="4">
        <v>489096</v>
      </c>
      <c r="B1106" s="4">
        <v>100</v>
      </c>
      <c r="C1106" s="4">
        <v>8</v>
      </c>
      <c r="D1106" s="33">
        <v>2.65</v>
      </c>
      <c r="E1106" s="23">
        <v>2</v>
      </c>
      <c r="F1106" s="23">
        <f t="shared" si="1185"/>
        <v>2.65</v>
      </c>
      <c r="G1106" s="23">
        <f t="shared" si="1186"/>
        <v>2</v>
      </c>
      <c r="H1106" s="4">
        <f t="shared" si="1187"/>
        <v>3.8630000000000001E-3</v>
      </c>
      <c r="I1106" s="2">
        <f t="shared" si="1188"/>
        <v>4.4880759842519685E-2</v>
      </c>
      <c r="J1106" s="4">
        <f t="shared" si="1189"/>
        <v>0.13049944015748033</v>
      </c>
      <c r="K1106" s="4">
        <f t="shared" si="1190"/>
        <v>0.17538020000000001</v>
      </c>
      <c r="L1106" s="13">
        <f t="shared" si="1191"/>
        <v>0.3439153439153439</v>
      </c>
      <c r="M1106" s="3">
        <f t="shared" ref="M1106" si="1224">AVERAGE(I1106:I1107)</f>
        <v>4.6606942913385838E-2</v>
      </c>
      <c r="N1106" s="3">
        <f t="shared" ref="N1106" si="1225">AVERAGE(J1106:J1107)</f>
        <v>0.11342748958661419</v>
      </c>
    </row>
    <row r="1107" spans="1:14" x14ac:dyDescent="0.2">
      <c r="A1107" s="4"/>
      <c r="B1107" s="4">
        <v>100</v>
      </c>
      <c r="C1107" s="4">
        <v>8</v>
      </c>
      <c r="D1107" s="33">
        <v>2.35</v>
      </c>
      <c r="E1107" s="23">
        <v>1.65</v>
      </c>
      <c r="F1107" s="23">
        <f t="shared" si="1185"/>
        <v>2.35</v>
      </c>
      <c r="G1107" s="23">
        <f t="shared" si="1186"/>
        <v>1.65</v>
      </c>
      <c r="H1107" s="4">
        <f t="shared" si="1187"/>
        <v>3.8630000000000001E-3</v>
      </c>
      <c r="I1107" s="2">
        <f t="shared" si="1188"/>
        <v>4.8333125984251983E-2</v>
      </c>
      <c r="J1107" s="4">
        <f t="shared" si="1189"/>
        <v>9.6355539015748046E-2</v>
      </c>
      <c r="K1107" s="4">
        <f t="shared" si="1190"/>
        <v>0.14468866500000002</v>
      </c>
      <c r="L1107" s="13">
        <f t="shared" si="1191"/>
        <v>0.50161232533142253</v>
      </c>
      <c r="M1107" s="3"/>
      <c r="N1107" s="3"/>
    </row>
    <row r="1108" spans="1:14" x14ac:dyDescent="0.2">
      <c r="A1108" s="4">
        <v>489097</v>
      </c>
      <c r="B1108" s="4">
        <v>100</v>
      </c>
      <c r="C1108" s="4">
        <v>8</v>
      </c>
      <c r="D1108" s="33">
        <v>3.15</v>
      </c>
      <c r="E1108" s="23">
        <v>2.15</v>
      </c>
      <c r="F1108" s="23">
        <f t="shared" si="1185"/>
        <v>3.15</v>
      </c>
      <c r="G1108" s="23">
        <f t="shared" si="1186"/>
        <v>2.15</v>
      </c>
      <c r="H1108" s="4">
        <f t="shared" si="1187"/>
        <v>3.8630000000000001E-3</v>
      </c>
      <c r="I1108" s="2">
        <f t="shared" si="1188"/>
        <v>6.904732283464568E-2</v>
      </c>
      <c r="J1108" s="4">
        <f t="shared" si="1189"/>
        <v>0.11948639216535435</v>
      </c>
      <c r="K1108" s="4">
        <f t="shared" si="1190"/>
        <v>0.18853371500000005</v>
      </c>
      <c r="L1108" s="13">
        <f t="shared" si="1191"/>
        <v>0.57786766830395841</v>
      </c>
      <c r="M1108" s="3">
        <f t="shared" ref="M1108" si="1226">AVERAGE(I1108:I1109)</f>
        <v>7.0773505905511819E-2</v>
      </c>
      <c r="N1108" s="3">
        <f t="shared" ref="N1108" si="1227">AVERAGE(J1108:J1109)</f>
        <v>0.11556795659448821</v>
      </c>
    </row>
    <row r="1109" spans="1:14" x14ac:dyDescent="0.2">
      <c r="A1109" s="4"/>
      <c r="B1109" s="4">
        <v>100</v>
      </c>
      <c r="C1109" s="4">
        <v>8</v>
      </c>
      <c r="D1109" s="33">
        <v>3.15</v>
      </c>
      <c r="E1109" s="23">
        <v>2.1</v>
      </c>
      <c r="F1109" s="23">
        <f t="shared" si="1185"/>
        <v>3.15</v>
      </c>
      <c r="G1109" s="23">
        <f t="shared" si="1186"/>
        <v>2.1</v>
      </c>
      <c r="H1109" s="4">
        <f t="shared" si="1187"/>
        <v>3.8630000000000001E-3</v>
      </c>
      <c r="I1109" s="2">
        <f t="shared" si="1188"/>
        <v>7.2499688976377943E-2</v>
      </c>
      <c r="J1109" s="4">
        <f t="shared" si="1189"/>
        <v>0.11164952102362208</v>
      </c>
      <c r="K1109" s="4">
        <f t="shared" si="1190"/>
        <v>0.18414921000000001</v>
      </c>
      <c r="L1109" s="13">
        <f t="shared" si="1191"/>
        <v>0.64935064935064912</v>
      </c>
      <c r="M1109" s="3"/>
      <c r="N1109" s="3"/>
    </row>
    <row r="1110" spans="1:14" x14ac:dyDescent="0.2">
      <c r="A1110" s="4">
        <v>489098</v>
      </c>
      <c r="B1110" s="4">
        <v>100</v>
      </c>
      <c r="C1110" s="4">
        <v>8</v>
      </c>
      <c r="D1110" s="33">
        <v>3.1</v>
      </c>
      <c r="E1110" s="23">
        <v>2.15</v>
      </c>
      <c r="F1110" s="23">
        <f t="shared" si="1185"/>
        <v>3.1</v>
      </c>
      <c r="G1110" s="23">
        <f t="shared" si="1186"/>
        <v>2.15</v>
      </c>
      <c r="H1110" s="4">
        <f t="shared" si="1187"/>
        <v>3.8630000000000001E-3</v>
      </c>
      <c r="I1110" s="2">
        <f t="shared" si="1188"/>
        <v>6.5594956692913403E-2</v>
      </c>
      <c r="J1110" s="4">
        <f t="shared" si="1189"/>
        <v>0.12293875830708662</v>
      </c>
      <c r="K1110" s="4">
        <f t="shared" si="1190"/>
        <v>0.18853371500000002</v>
      </c>
      <c r="L1110" s="13">
        <f t="shared" si="1191"/>
        <v>0.53355798932884035</v>
      </c>
      <c r="M1110" s="3">
        <f t="shared" ref="M1110" si="1228">AVERAGE(I1110:I1111)</f>
        <v>7.2499688976377957E-2</v>
      </c>
      <c r="N1110" s="3">
        <f t="shared" ref="N1110" si="1229">AVERAGE(J1110:J1111)</f>
        <v>0.13137979352362206</v>
      </c>
    </row>
    <row r="1111" spans="1:14" x14ac:dyDescent="0.2">
      <c r="A1111" s="4"/>
      <c r="B1111" s="4">
        <v>100</v>
      </c>
      <c r="C1111" s="4">
        <v>8</v>
      </c>
      <c r="D1111" s="33">
        <v>3.65</v>
      </c>
      <c r="E1111" s="23">
        <v>2.5</v>
      </c>
      <c r="F1111" s="23">
        <f t="shared" si="1185"/>
        <v>3.65</v>
      </c>
      <c r="G1111" s="23">
        <f t="shared" si="1186"/>
        <v>2.5</v>
      </c>
      <c r="H1111" s="4">
        <f t="shared" si="1187"/>
        <v>3.8630000000000001E-3</v>
      </c>
      <c r="I1111" s="2">
        <f t="shared" si="1188"/>
        <v>7.9404421259842511E-2</v>
      </c>
      <c r="J1111" s="4">
        <f t="shared" si="1189"/>
        <v>0.1398208287401575</v>
      </c>
      <c r="K1111" s="4">
        <f t="shared" si="1190"/>
        <v>0.21922525000000001</v>
      </c>
      <c r="L1111" s="13">
        <f t="shared" si="1191"/>
        <v>0.56790123456790109</v>
      </c>
      <c r="M1111" s="3"/>
      <c r="N1111" s="3"/>
    </row>
    <row r="1112" spans="1:14" x14ac:dyDescent="0.2">
      <c r="A1112" s="4">
        <v>489099</v>
      </c>
      <c r="B1112" s="4">
        <v>100</v>
      </c>
      <c r="C1112" s="4">
        <v>8</v>
      </c>
      <c r="D1112" s="33">
        <v>5.9</v>
      </c>
      <c r="E1112" s="23">
        <v>3.85</v>
      </c>
      <c r="F1112" s="23">
        <f t="shared" si="1185"/>
        <v>5.9</v>
      </c>
      <c r="G1112" s="23">
        <f t="shared" si="1186"/>
        <v>3.85</v>
      </c>
      <c r="H1112" s="4">
        <f t="shared" si="1187"/>
        <v>3.8630000000000001E-3</v>
      </c>
      <c r="I1112" s="2">
        <f t="shared" si="1188"/>
        <v>0.14154701181102364</v>
      </c>
      <c r="J1112" s="4">
        <f t="shared" si="1189"/>
        <v>0.19605987318897639</v>
      </c>
      <c r="K1112" s="4">
        <f t="shared" si="1190"/>
        <v>0.33760688500000002</v>
      </c>
      <c r="L1112" s="13">
        <f t="shared" si="1191"/>
        <v>0.72195809121324184</v>
      </c>
      <c r="M1112" s="3">
        <f t="shared" ref="M1112" si="1230">AVERAGE(I1112:I1113)</f>
        <v>0.14672556102362205</v>
      </c>
      <c r="N1112" s="3">
        <f t="shared" ref="N1112" si="1231">AVERAGE(J1112:J1113)</f>
        <v>0.17772780897637794</v>
      </c>
    </row>
    <row r="1113" spans="1:14" x14ac:dyDescent="0.2">
      <c r="A1113" s="4"/>
      <c r="B1113" s="4">
        <v>100</v>
      </c>
      <c r="C1113" s="4">
        <v>8</v>
      </c>
      <c r="D1113" s="33">
        <v>5.75</v>
      </c>
      <c r="E1113" s="23">
        <v>3.55</v>
      </c>
      <c r="F1113" s="23">
        <f t="shared" si="1185"/>
        <v>5.75</v>
      </c>
      <c r="G1113" s="23">
        <f t="shared" si="1186"/>
        <v>3.55</v>
      </c>
      <c r="H1113" s="4">
        <f t="shared" si="1187"/>
        <v>3.8630000000000001E-3</v>
      </c>
      <c r="I1113" s="2">
        <f t="shared" si="1188"/>
        <v>0.1519041102362205</v>
      </c>
      <c r="J1113" s="4">
        <f t="shared" si="1189"/>
        <v>0.15939574476377949</v>
      </c>
      <c r="K1113" s="4">
        <f t="shared" si="1190"/>
        <v>0.31129985500000001</v>
      </c>
      <c r="L1113" s="13">
        <f t="shared" si="1191"/>
        <v>0.95299978340914049</v>
      </c>
      <c r="M1113" s="3"/>
      <c r="N1113" s="3"/>
    </row>
    <row r="1114" spans="1:14" x14ac:dyDescent="0.2">
      <c r="A1114" s="4">
        <v>489100</v>
      </c>
      <c r="B1114" s="4">
        <v>100</v>
      </c>
      <c r="C1114" s="4">
        <v>8</v>
      </c>
      <c r="D1114" s="33">
        <v>6.35</v>
      </c>
      <c r="E1114" s="23">
        <v>3.8</v>
      </c>
      <c r="F1114" s="23">
        <f t="shared" si="1185"/>
        <v>6.35</v>
      </c>
      <c r="G1114" s="23">
        <f t="shared" si="1186"/>
        <v>3.8</v>
      </c>
      <c r="H1114" s="4">
        <f t="shared" si="1187"/>
        <v>3.8630000000000001E-3</v>
      </c>
      <c r="I1114" s="2">
        <f t="shared" si="1188"/>
        <v>0.17607067322834646</v>
      </c>
      <c r="J1114" s="4">
        <f t="shared" si="1189"/>
        <v>0.15715170677165358</v>
      </c>
      <c r="K1114" s="4">
        <f t="shared" si="1190"/>
        <v>0.33322238000000004</v>
      </c>
      <c r="L1114" s="13">
        <f t="shared" si="1191"/>
        <v>1.1203866432337433</v>
      </c>
      <c r="M1114" s="3">
        <f t="shared" ref="M1114" si="1232">AVERAGE(I1114:I1115)</f>
        <v>0.17261830708661419</v>
      </c>
      <c r="N1114" s="3">
        <f t="shared" ref="N1114" si="1233">AVERAGE(J1114:J1115)</f>
        <v>0.16718083041338586</v>
      </c>
    </row>
    <row r="1115" spans="1:14" x14ac:dyDescent="0.2">
      <c r="A1115" s="4"/>
      <c r="B1115" s="4">
        <v>100</v>
      </c>
      <c r="C1115" s="4">
        <v>8</v>
      </c>
      <c r="D1115" s="33">
        <v>6.4</v>
      </c>
      <c r="E1115" s="23">
        <v>3.95</v>
      </c>
      <c r="F1115" s="23">
        <f t="shared" si="1185"/>
        <v>6.4</v>
      </c>
      <c r="G1115" s="23">
        <f t="shared" si="1186"/>
        <v>3.95</v>
      </c>
      <c r="H1115" s="4">
        <f t="shared" si="1187"/>
        <v>3.8630000000000001E-3</v>
      </c>
      <c r="I1115" s="2">
        <f t="shared" si="1188"/>
        <v>0.16916594094488194</v>
      </c>
      <c r="J1115" s="4">
        <f t="shared" si="1189"/>
        <v>0.17720995405511814</v>
      </c>
      <c r="K1115" s="4">
        <f t="shared" si="1190"/>
        <v>0.3463758950000001</v>
      </c>
      <c r="L1115" s="13">
        <f t="shared" si="1191"/>
        <v>0.95460744204169112</v>
      </c>
      <c r="M1115" s="3"/>
      <c r="N1115" s="3"/>
    </row>
    <row r="1116" spans="1:14" x14ac:dyDescent="0.2">
      <c r="A1116" s="4">
        <v>489101</v>
      </c>
      <c r="B1116" s="4">
        <v>100</v>
      </c>
      <c r="C1116" s="4">
        <v>7</v>
      </c>
      <c r="D1116" s="33">
        <v>5.75</v>
      </c>
      <c r="E1116" s="23">
        <v>3.15</v>
      </c>
      <c r="F1116" s="23">
        <f t="shared" si="1185"/>
        <v>5.75</v>
      </c>
      <c r="G1116" s="23">
        <f t="shared" si="1186"/>
        <v>3.15</v>
      </c>
      <c r="H1116" s="4">
        <f t="shared" si="1187"/>
        <v>9.7450000000000002E-3</v>
      </c>
      <c r="I1116" s="2">
        <f t="shared" si="1188"/>
        <v>0.45287393700787409</v>
      </c>
      <c r="J1116" s="4">
        <f t="shared" si="1189"/>
        <v>0.24394228799212592</v>
      </c>
      <c r="K1116" s="4">
        <f t="shared" si="1190"/>
        <v>0.69681622500000007</v>
      </c>
      <c r="L1116" s="13">
        <f t="shared" si="1191"/>
        <v>1.8564798286326321</v>
      </c>
      <c r="M1116" s="3">
        <f t="shared" ref="M1116" si="1234">AVERAGE(I1116:I1117)</f>
        <v>0.44416482283464565</v>
      </c>
      <c r="N1116" s="3">
        <f t="shared" ref="N1116" si="1235">AVERAGE(J1116:J1117)</f>
        <v>0.27477255216535446</v>
      </c>
    </row>
    <row r="1117" spans="1:14" x14ac:dyDescent="0.2">
      <c r="A1117" s="4"/>
      <c r="B1117" s="4">
        <v>100</v>
      </c>
      <c r="C1117" s="4">
        <v>7</v>
      </c>
      <c r="D1117" s="33">
        <v>5.85</v>
      </c>
      <c r="E1117" s="23">
        <v>3.35</v>
      </c>
      <c r="F1117" s="23">
        <f t="shared" si="1185"/>
        <v>5.85</v>
      </c>
      <c r="G1117" s="23">
        <f t="shared" si="1186"/>
        <v>3.35</v>
      </c>
      <c r="H1117" s="4">
        <f t="shared" si="1187"/>
        <v>9.7450000000000002E-3</v>
      </c>
      <c r="I1117" s="2">
        <f t="shared" si="1188"/>
        <v>0.43545570866141725</v>
      </c>
      <c r="J1117" s="4">
        <f t="shared" si="1189"/>
        <v>0.30560281633858305</v>
      </c>
      <c r="K1117" s="4">
        <f t="shared" si="1190"/>
        <v>0.74105852500000036</v>
      </c>
      <c r="L1117" s="13">
        <f t="shared" si="1191"/>
        <v>1.4249073810202317</v>
      </c>
      <c r="M1117" s="3"/>
      <c r="N1117" s="3"/>
    </row>
    <row r="1118" spans="1:14" x14ac:dyDescent="0.2">
      <c r="A1118" s="4">
        <v>489102</v>
      </c>
      <c r="B1118" s="4">
        <v>100</v>
      </c>
      <c r="C1118" s="4">
        <v>7</v>
      </c>
      <c r="D1118" s="33">
        <v>7.75</v>
      </c>
      <c r="E1118" s="23">
        <v>4.25</v>
      </c>
      <c r="F1118" s="23">
        <f t="shared" si="1185"/>
        <v>7.75</v>
      </c>
      <c r="G1118" s="23">
        <f t="shared" si="1186"/>
        <v>4.25</v>
      </c>
      <c r="H1118" s="4">
        <f t="shared" si="1187"/>
        <v>9.7450000000000002E-3</v>
      </c>
      <c r="I1118" s="2">
        <f t="shared" si="1188"/>
        <v>0.60963799212598435</v>
      </c>
      <c r="J1118" s="4">
        <f t="shared" si="1189"/>
        <v>0.3305108828740157</v>
      </c>
      <c r="K1118" s="4">
        <f t="shared" si="1190"/>
        <v>0.94014887499999999</v>
      </c>
      <c r="L1118" s="13">
        <f t="shared" si="1191"/>
        <v>1.8445322793148886</v>
      </c>
      <c r="M1118" s="3">
        <f t="shared" ref="M1118" si="1236">AVERAGE(I1118:I1119)</f>
        <v>0.61834710629921252</v>
      </c>
      <c r="N1118" s="3">
        <f t="shared" ref="N1118" si="1237">AVERAGE(J1118:J1119)</f>
        <v>0.31074119370078751</v>
      </c>
    </row>
    <row r="1119" spans="1:14" x14ac:dyDescent="0.2">
      <c r="A1119" s="4"/>
      <c r="B1119" s="4">
        <v>100</v>
      </c>
      <c r="C1119" s="4">
        <v>7</v>
      </c>
      <c r="D1119" s="33">
        <v>7.75</v>
      </c>
      <c r="E1119" s="23">
        <v>4.1500000000000004</v>
      </c>
      <c r="F1119" s="23">
        <f t="shared" si="1185"/>
        <v>7.75</v>
      </c>
      <c r="G1119" s="23">
        <f t="shared" si="1186"/>
        <v>4.1500000000000004</v>
      </c>
      <c r="H1119" s="4">
        <f t="shared" si="1187"/>
        <v>9.7450000000000002E-3</v>
      </c>
      <c r="I1119" s="2">
        <f t="shared" si="1188"/>
        <v>0.62705622047244081</v>
      </c>
      <c r="J1119" s="4">
        <f t="shared" si="1189"/>
        <v>0.29097150452755932</v>
      </c>
      <c r="K1119" s="4">
        <f t="shared" si="1190"/>
        <v>0.91802772500000018</v>
      </c>
      <c r="L1119" s="13">
        <f t="shared" si="1191"/>
        <v>2.1550434001795846</v>
      </c>
      <c r="M1119" s="3"/>
      <c r="N1119" s="3"/>
    </row>
    <row r="1120" spans="1:14" x14ac:dyDescent="0.2">
      <c r="A1120" s="4">
        <v>489103</v>
      </c>
      <c r="B1120" s="4">
        <v>100</v>
      </c>
      <c r="C1120" s="4">
        <v>7</v>
      </c>
      <c r="D1120" s="33">
        <v>7.15</v>
      </c>
      <c r="E1120" s="23">
        <v>3.85</v>
      </c>
      <c r="F1120" s="23">
        <f t="shared" si="1185"/>
        <v>7.15</v>
      </c>
      <c r="G1120" s="23">
        <f t="shared" si="1186"/>
        <v>3.85</v>
      </c>
      <c r="H1120" s="4">
        <f t="shared" si="1187"/>
        <v>9.7450000000000002E-3</v>
      </c>
      <c r="I1120" s="2">
        <f t="shared" si="1188"/>
        <v>0.57480153543307089</v>
      </c>
      <c r="J1120" s="4">
        <f t="shared" si="1189"/>
        <v>0.27686273956692914</v>
      </c>
      <c r="K1120" s="4">
        <f t="shared" si="1190"/>
        <v>0.85166427500000008</v>
      </c>
      <c r="L1120" s="13">
        <f t="shared" si="1191"/>
        <v>2.0761245674740483</v>
      </c>
      <c r="M1120" s="3">
        <f t="shared" ref="M1120" si="1238">AVERAGE(I1120:I1121)</f>
        <v>0.60092887795275585</v>
      </c>
      <c r="N1120" s="3">
        <f t="shared" ref="N1120" si="1239">AVERAGE(J1120:J1121)</f>
        <v>0.28391712204724423</v>
      </c>
    </row>
    <row r="1121" spans="1:14" x14ac:dyDescent="0.2">
      <c r="A1121" s="4"/>
      <c r="B1121" s="4">
        <v>100</v>
      </c>
      <c r="C1121" s="4">
        <v>7</v>
      </c>
      <c r="D1121" s="33">
        <v>7.75</v>
      </c>
      <c r="E1121" s="23">
        <v>4.1500000000000004</v>
      </c>
      <c r="F1121" s="23">
        <f t="shared" si="1185"/>
        <v>7.75</v>
      </c>
      <c r="G1121" s="23">
        <f t="shared" si="1186"/>
        <v>4.1500000000000004</v>
      </c>
      <c r="H1121" s="4">
        <f t="shared" si="1187"/>
        <v>9.7450000000000002E-3</v>
      </c>
      <c r="I1121" s="2">
        <f t="shared" si="1188"/>
        <v>0.62705622047244081</v>
      </c>
      <c r="J1121" s="4">
        <f t="shared" si="1189"/>
        <v>0.29097150452755932</v>
      </c>
      <c r="K1121" s="4">
        <f t="shared" si="1190"/>
        <v>0.91802772500000018</v>
      </c>
      <c r="L1121" s="13">
        <f t="shared" si="1191"/>
        <v>2.1550434001795846</v>
      </c>
      <c r="M1121" s="3"/>
      <c r="N1121" s="3"/>
    </row>
    <row r="1122" spans="1:14" x14ac:dyDescent="0.2">
      <c r="A1122" s="4">
        <v>489106</v>
      </c>
      <c r="B1122" s="4">
        <v>100</v>
      </c>
      <c r="C1122" s="4">
        <v>8</v>
      </c>
      <c r="D1122" s="33">
        <v>1.35</v>
      </c>
      <c r="E1122" s="23">
        <v>1.05</v>
      </c>
      <c r="F1122" s="23">
        <f t="shared" si="1185"/>
        <v>1.35</v>
      </c>
      <c r="G1122" s="23">
        <f t="shared" si="1186"/>
        <v>1.05</v>
      </c>
      <c r="H1122" s="4">
        <f t="shared" si="1187"/>
        <v>3.8630000000000001E-3</v>
      </c>
      <c r="I1122" s="2">
        <f t="shared" si="1188"/>
        <v>2.0714196850393704E-2</v>
      </c>
      <c r="J1122" s="4">
        <f t="shared" si="1189"/>
        <v>7.1360408149606314E-2</v>
      </c>
      <c r="K1122" s="4">
        <f t="shared" si="1190"/>
        <v>9.2074605000000018E-2</v>
      </c>
      <c r="L1122" s="13">
        <f t="shared" si="1191"/>
        <v>0.29027576197387517</v>
      </c>
      <c r="M1122" s="3">
        <f t="shared" ref="M1122" si="1240">AVERAGE(I1122:I1123)</f>
        <v>2.0714196850393704E-2</v>
      </c>
      <c r="N1122" s="3">
        <f t="shared" ref="N1122" si="1241">AVERAGE(J1122:J1123)</f>
        <v>6.6975903149606303E-2</v>
      </c>
    </row>
    <row r="1123" spans="1:14" x14ac:dyDescent="0.2">
      <c r="A1123" s="4"/>
      <c r="B1123" s="4">
        <v>100</v>
      </c>
      <c r="C1123" s="4">
        <v>8</v>
      </c>
      <c r="D1123" s="33">
        <v>1.25</v>
      </c>
      <c r="E1123" s="23">
        <v>0.95</v>
      </c>
      <c r="F1123" s="23">
        <f t="shared" si="1185"/>
        <v>1.25</v>
      </c>
      <c r="G1123" s="23">
        <f t="shared" si="1186"/>
        <v>0.95</v>
      </c>
      <c r="H1123" s="4">
        <f t="shared" si="1187"/>
        <v>3.8630000000000001E-3</v>
      </c>
      <c r="I1123" s="2">
        <f t="shared" si="1188"/>
        <v>2.0714196850393704E-2</v>
      </c>
      <c r="J1123" s="4">
        <f t="shared" si="1189"/>
        <v>6.2591398149606292E-2</v>
      </c>
      <c r="K1123" s="4">
        <f t="shared" si="1190"/>
        <v>8.3305594999999996E-2</v>
      </c>
      <c r="L1123" s="13">
        <f t="shared" si="1191"/>
        <v>0.33094318808604534</v>
      </c>
      <c r="M1123" s="3"/>
      <c r="N1123" s="3"/>
    </row>
    <row r="1124" spans="1:14" x14ac:dyDescent="0.2">
      <c r="A1124" s="4">
        <v>489107</v>
      </c>
      <c r="B1124" s="4">
        <v>100</v>
      </c>
      <c r="C1124" s="4">
        <v>8</v>
      </c>
      <c r="D1124" s="33">
        <v>1.65</v>
      </c>
      <c r="E1124" s="23">
        <v>1.2</v>
      </c>
      <c r="F1124" s="23">
        <f t="shared" si="1185"/>
        <v>1.65</v>
      </c>
      <c r="G1124" s="23">
        <f t="shared" si="1186"/>
        <v>1.2</v>
      </c>
      <c r="H1124" s="4">
        <f t="shared" si="1187"/>
        <v>3.8630000000000001E-3</v>
      </c>
      <c r="I1124" s="2">
        <f t="shared" si="1188"/>
        <v>3.1071295275590546E-2</v>
      </c>
      <c r="J1124" s="4">
        <f t="shared" si="1189"/>
        <v>7.4156824724409431E-2</v>
      </c>
      <c r="K1124" s="4">
        <f t="shared" si="1190"/>
        <v>0.10522811999999998</v>
      </c>
      <c r="L1124" s="13">
        <f t="shared" si="1191"/>
        <v>0.41899441340782123</v>
      </c>
      <c r="M1124" s="3">
        <f t="shared" ref="M1124" si="1242">AVERAGE(I1124:I1125)</f>
        <v>3.1071295275590546E-2</v>
      </c>
      <c r="N1124" s="3">
        <f t="shared" ref="N1124" si="1243">AVERAGE(J1124:J1125)</f>
        <v>7.4156824724409431E-2</v>
      </c>
    </row>
    <row r="1125" spans="1:14" x14ac:dyDescent="0.2">
      <c r="A1125" s="4"/>
      <c r="B1125" s="4">
        <v>100</v>
      </c>
      <c r="C1125" s="4">
        <v>8</v>
      </c>
      <c r="D1125" s="33">
        <v>1.65</v>
      </c>
      <c r="E1125" s="23">
        <v>1.2</v>
      </c>
      <c r="F1125" s="23">
        <f t="shared" si="1185"/>
        <v>1.65</v>
      </c>
      <c r="G1125" s="23">
        <f t="shared" si="1186"/>
        <v>1.2</v>
      </c>
      <c r="H1125" s="4">
        <f t="shared" si="1187"/>
        <v>3.8630000000000001E-3</v>
      </c>
      <c r="I1125" s="2">
        <f t="shared" si="1188"/>
        <v>3.1071295275590546E-2</v>
      </c>
      <c r="J1125" s="4">
        <f t="shared" si="1189"/>
        <v>7.4156824724409431E-2</v>
      </c>
      <c r="K1125" s="4">
        <f t="shared" si="1190"/>
        <v>0.10522811999999998</v>
      </c>
      <c r="L1125" s="13">
        <f t="shared" si="1191"/>
        <v>0.41899441340782123</v>
      </c>
      <c r="M1125" s="3"/>
      <c r="N1125" s="3"/>
    </row>
    <row r="1126" spans="1:14" x14ac:dyDescent="0.2">
      <c r="A1126" s="4">
        <v>489108</v>
      </c>
      <c r="B1126" s="4">
        <v>100</v>
      </c>
      <c r="C1126" s="4">
        <v>8</v>
      </c>
      <c r="D1126" s="33">
        <v>2.5</v>
      </c>
      <c r="E1126" s="23">
        <v>1.8</v>
      </c>
      <c r="F1126" s="23">
        <f t="shared" si="1185"/>
        <v>2.5</v>
      </c>
      <c r="G1126" s="23">
        <f t="shared" si="1186"/>
        <v>1.8</v>
      </c>
      <c r="H1126" s="4">
        <f t="shared" si="1187"/>
        <v>3.8630000000000001E-3</v>
      </c>
      <c r="I1126" s="2">
        <f t="shared" si="1188"/>
        <v>4.8333125984251969E-2</v>
      </c>
      <c r="J1126" s="4">
        <f t="shared" si="1189"/>
        <v>0.10950905401574804</v>
      </c>
      <c r="K1126" s="4">
        <f t="shared" si="1190"/>
        <v>0.15784218</v>
      </c>
      <c r="L1126" s="13">
        <f t="shared" si="1191"/>
        <v>0.44136191677175285</v>
      </c>
      <c r="M1126" s="3">
        <f t="shared" ref="M1126" si="1244">AVERAGE(I1126:I1127)</f>
        <v>4.3154576771653547E-2</v>
      </c>
      <c r="N1126" s="3">
        <f t="shared" ref="N1126" si="1245">AVERAGE(J1126:J1127)</f>
        <v>0.12126436072834644</v>
      </c>
    </row>
    <row r="1127" spans="1:14" x14ac:dyDescent="0.2">
      <c r="A1127" s="4"/>
      <c r="B1127" s="4">
        <v>100</v>
      </c>
      <c r="C1127" s="4">
        <v>8</v>
      </c>
      <c r="D1127" s="33">
        <v>2.5</v>
      </c>
      <c r="E1127" s="23">
        <v>1.95</v>
      </c>
      <c r="F1127" s="23">
        <f t="shared" si="1185"/>
        <v>2.5</v>
      </c>
      <c r="G1127" s="23">
        <f t="shared" si="1186"/>
        <v>1.95</v>
      </c>
      <c r="H1127" s="4">
        <f t="shared" si="1187"/>
        <v>3.8630000000000001E-3</v>
      </c>
      <c r="I1127" s="2">
        <f t="shared" si="1188"/>
        <v>3.7976027559055124E-2</v>
      </c>
      <c r="J1127" s="4">
        <f t="shared" si="1189"/>
        <v>0.13301966744094484</v>
      </c>
      <c r="K1127" s="4">
        <f t="shared" si="1190"/>
        <v>0.17099569499999998</v>
      </c>
      <c r="L1127" s="13">
        <f t="shared" si="1191"/>
        <v>0.28549182455229705</v>
      </c>
      <c r="M1127" s="3"/>
      <c r="N1127" s="3"/>
    </row>
    <row r="1128" spans="1:14" x14ac:dyDescent="0.2">
      <c r="A1128" s="4">
        <v>489109</v>
      </c>
      <c r="B1128" s="4">
        <v>100</v>
      </c>
      <c r="C1128" s="4">
        <v>8</v>
      </c>
      <c r="D1128" s="33">
        <v>3</v>
      </c>
      <c r="E1128" s="23">
        <v>2.1</v>
      </c>
      <c r="F1128" s="23">
        <f t="shared" si="1185"/>
        <v>3</v>
      </c>
      <c r="G1128" s="23">
        <f t="shared" si="1186"/>
        <v>2.1</v>
      </c>
      <c r="H1128" s="4">
        <f t="shared" si="1187"/>
        <v>3.8630000000000001E-3</v>
      </c>
      <c r="I1128" s="2">
        <f t="shared" si="1188"/>
        <v>6.2142590551181091E-2</v>
      </c>
      <c r="J1128" s="4">
        <f t="shared" si="1189"/>
        <v>0.12200661944881891</v>
      </c>
      <c r="K1128" s="4">
        <f t="shared" si="1190"/>
        <v>0.18414921000000001</v>
      </c>
      <c r="L1128" s="13">
        <f t="shared" si="1191"/>
        <v>0.50933786078098453</v>
      </c>
      <c r="M1128" s="3">
        <f t="shared" ref="M1128" si="1246">AVERAGE(I1128:I1129)</f>
        <v>6.2142590551181091E-2</v>
      </c>
      <c r="N1128" s="3">
        <f t="shared" ref="N1128" si="1247">AVERAGE(J1128:J1129)</f>
        <v>0.12200661944881891</v>
      </c>
    </row>
    <row r="1129" spans="1:14" x14ac:dyDescent="0.2">
      <c r="A1129" s="4"/>
      <c r="B1129" s="4">
        <v>100</v>
      </c>
      <c r="C1129" s="4">
        <v>8</v>
      </c>
      <c r="D1129" s="33">
        <v>3</v>
      </c>
      <c r="E1129" s="23">
        <v>2.1</v>
      </c>
      <c r="F1129" s="23">
        <f t="shared" si="1185"/>
        <v>3</v>
      </c>
      <c r="G1129" s="23">
        <f t="shared" si="1186"/>
        <v>2.1</v>
      </c>
      <c r="H1129" s="4">
        <f t="shared" si="1187"/>
        <v>3.8630000000000001E-3</v>
      </c>
      <c r="I1129" s="2">
        <f t="shared" si="1188"/>
        <v>6.2142590551181091E-2</v>
      </c>
      <c r="J1129" s="4">
        <f t="shared" si="1189"/>
        <v>0.12200661944881891</v>
      </c>
      <c r="K1129" s="4">
        <f t="shared" si="1190"/>
        <v>0.18414921000000001</v>
      </c>
      <c r="L1129" s="13">
        <f t="shared" si="1191"/>
        <v>0.50933786078098453</v>
      </c>
      <c r="M1129" s="3"/>
      <c r="N1129" s="3"/>
    </row>
    <row r="1130" spans="1:14" x14ac:dyDescent="0.2">
      <c r="A1130" s="4">
        <v>489110</v>
      </c>
      <c r="B1130" s="4">
        <v>100</v>
      </c>
      <c r="C1130" s="4">
        <v>8</v>
      </c>
      <c r="D1130" s="33">
        <v>2.5</v>
      </c>
      <c r="E1130" s="23">
        <v>1.8</v>
      </c>
      <c r="F1130" s="23">
        <f t="shared" si="1185"/>
        <v>2.5</v>
      </c>
      <c r="G1130" s="23">
        <f t="shared" si="1186"/>
        <v>1.8</v>
      </c>
      <c r="H1130" s="4">
        <f t="shared" si="1187"/>
        <v>3.8630000000000001E-3</v>
      </c>
      <c r="I1130" s="2">
        <f t="shared" si="1188"/>
        <v>4.8333125984251969E-2</v>
      </c>
      <c r="J1130" s="4">
        <f t="shared" si="1189"/>
        <v>0.10950905401574804</v>
      </c>
      <c r="K1130" s="4">
        <f t="shared" si="1190"/>
        <v>0.15784218</v>
      </c>
      <c r="L1130" s="13">
        <f t="shared" si="1191"/>
        <v>0.44136191677175285</v>
      </c>
      <c r="M1130" s="3">
        <f t="shared" ref="M1130" si="1248">AVERAGE(I1130:I1131)</f>
        <v>5.6964041338582683E-2</v>
      </c>
      <c r="N1130" s="3">
        <f t="shared" ref="N1130" si="1249">AVERAGE(J1130:J1131)</f>
        <v>0.10526264366141733</v>
      </c>
    </row>
    <row r="1131" spans="1:14" x14ac:dyDescent="0.2">
      <c r="A1131" s="4"/>
      <c r="B1131" s="4">
        <v>100</v>
      </c>
      <c r="C1131" s="4">
        <v>8</v>
      </c>
      <c r="D1131" s="33">
        <v>2.85</v>
      </c>
      <c r="E1131" s="23">
        <v>1.9</v>
      </c>
      <c r="F1131" s="23">
        <f t="shared" si="1185"/>
        <v>2.85</v>
      </c>
      <c r="G1131" s="23">
        <f t="shared" si="1186"/>
        <v>1.9</v>
      </c>
      <c r="H1131" s="4">
        <f t="shared" si="1187"/>
        <v>3.8630000000000001E-3</v>
      </c>
      <c r="I1131" s="2">
        <f t="shared" si="1188"/>
        <v>6.5594956692913403E-2</v>
      </c>
      <c r="J1131" s="4">
        <f t="shared" si="1189"/>
        <v>0.10101623330708662</v>
      </c>
      <c r="K1131" s="4">
        <f t="shared" si="1190"/>
        <v>0.16661119000000002</v>
      </c>
      <c r="L1131" s="13">
        <f t="shared" si="1191"/>
        <v>0.64935064935064946</v>
      </c>
      <c r="M1131" s="3"/>
      <c r="N1131" s="3"/>
    </row>
    <row r="1132" spans="1:14" x14ac:dyDescent="0.2">
      <c r="A1132" s="4">
        <v>489111</v>
      </c>
      <c r="B1132" s="4">
        <v>100</v>
      </c>
      <c r="C1132" s="4">
        <v>8</v>
      </c>
      <c r="D1132" s="33">
        <v>4.2</v>
      </c>
      <c r="E1132" s="23">
        <v>2.75</v>
      </c>
      <c r="F1132" s="23">
        <f t="shared" si="1185"/>
        <v>4.2</v>
      </c>
      <c r="G1132" s="23">
        <f t="shared" si="1186"/>
        <v>2.75</v>
      </c>
      <c r="H1132" s="4">
        <f t="shared" si="1187"/>
        <v>3.8630000000000001E-3</v>
      </c>
      <c r="I1132" s="2">
        <f t="shared" si="1188"/>
        <v>0.10011861811023623</v>
      </c>
      <c r="J1132" s="4">
        <f t="shared" si="1189"/>
        <v>0.14102915688976378</v>
      </c>
      <c r="K1132" s="4">
        <f t="shared" si="1190"/>
        <v>0.24114777500000001</v>
      </c>
      <c r="L1132" s="13">
        <f t="shared" si="1191"/>
        <v>0.70991432068543459</v>
      </c>
      <c r="M1132" s="3">
        <f t="shared" ref="M1132" si="1250">AVERAGE(I1132:I1133)</f>
        <v>0.10011861811023623</v>
      </c>
      <c r="N1132" s="3">
        <f t="shared" ref="N1132" si="1251">AVERAGE(J1132:J1133)</f>
        <v>0.14102915688976378</v>
      </c>
    </row>
    <row r="1133" spans="1:14" x14ac:dyDescent="0.2">
      <c r="A1133" s="4"/>
      <c r="B1133" s="4">
        <v>100</v>
      </c>
      <c r="C1133" s="4">
        <v>8</v>
      </c>
      <c r="D1133" s="33">
        <v>4.2</v>
      </c>
      <c r="E1133" s="23">
        <v>2.75</v>
      </c>
      <c r="F1133" s="23">
        <f t="shared" si="1185"/>
        <v>4.2</v>
      </c>
      <c r="G1133" s="23">
        <f t="shared" si="1186"/>
        <v>2.75</v>
      </c>
      <c r="H1133" s="4">
        <f t="shared" si="1187"/>
        <v>3.8630000000000001E-3</v>
      </c>
      <c r="I1133" s="2">
        <f t="shared" si="1188"/>
        <v>0.10011861811023623</v>
      </c>
      <c r="J1133" s="4">
        <f t="shared" si="1189"/>
        <v>0.14102915688976378</v>
      </c>
      <c r="K1133" s="4">
        <f t="shared" si="1190"/>
        <v>0.24114777500000001</v>
      </c>
      <c r="L1133" s="13">
        <f t="shared" si="1191"/>
        <v>0.70991432068543459</v>
      </c>
      <c r="M1133" s="3"/>
      <c r="N1133" s="3"/>
    </row>
    <row r="1134" spans="1:14" x14ac:dyDescent="0.2">
      <c r="A1134" s="4">
        <v>489112</v>
      </c>
      <c r="B1134" s="4">
        <v>100</v>
      </c>
      <c r="C1134" s="4">
        <v>8</v>
      </c>
      <c r="D1134" s="33">
        <v>6.6</v>
      </c>
      <c r="E1134" s="23">
        <v>4.05</v>
      </c>
      <c r="F1134" s="23">
        <f t="shared" si="1185"/>
        <v>6.6</v>
      </c>
      <c r="G1134" s="23">
        <f t="shared" si="1186"/>
        <v>4.05</v>
      </c>
      <c r="H1134" s="4">
        <f t="shared" si="1187"/>
        <v>3.8630000000000001E-3</v>
      </c>
      <c r="I1134" s="2">
        <f t="shared" si="1188"/>
        <v>0.17607067322834646</v>
      </c>
      <c r="J1134" s="4">
        <f t="shared" si="1189"/>
        <v>0.17907423177165352</v>
      </c>
      <c r="K1134" s="4">
        <f t="shared" si="1190"/>
        <v>0.35514490499999996</v>
      </c>
      <c r="L1134" s="13">
        <f t="shared" si="1191"/>
        <v>0.98322729901677286</v>
      </c>
      <c r="M1134" s="3">
        <f t="shared" ref="M1134" si="1252">AVERAGE(I1134:I1135)</f>
        <v>0.16571357480314963</v>
      </c>
      <c r="N1134" s="3">
        <f t="shared" ref="N1134" si="1253">AVERAGE(J1134:J1135)</f>
        <v>0.17408556269685041</v>
      </c>
    </row>
    <row r="1135" spans="1:14" x14ac:dyDescent="0.2">
      <c r="A1135" s="4"/>
      <c r="B1135" s="4">
        <v>100</v>
      </c>
      <c r="C1135" s="4">
        <v>8</v>
      </c>
      <c r="D1135" s="33">
        <v>5.95</v>
      </c>
      <c r="E1135" s="23">
        <v>3.7</v>
      </c>
      <c r="F1135" s="23">
        <f t="shared" si="1185"/>
        <v>5.95</v>
      </c>
      <c r="G1135" s="23">
        <f t="shared" si="1186"/>
        <v>3.7</v>
      </c>
      <c r="H1135" s="4">
        <f t="shared" si="1187"/>
        <v>3.8630000000000001E-3</v>
      </c>
      <c r="I1135" s="2">
        <f t="shared" si="1188"/>
        <v>0.15535647637795277</v>
      </c>
      <c r="J1135" s="4">
        <f t="shared" si="1189"/>
        <v>0.1690968936220473</v>
      </c>
      <c r="K1135" s="4">
        <f t="shared" si="1190"/>
        <v>0.32445337000000007</v>
      </c>
      <c r="L1135" s="13">
        <f t="shared" si="1191"/>
        <v>0.91874234381380138</v>
      </c>
      <c r="M1135" s="3"/>
      <c r="N1135" s="3"/>
    </row>
    <row r="1136" spans="1:14" x14ac:dyDescent="0.2">
      <c r="A1136" s="4">
        <v>489113</v>
      </c>
      <c r="B1136" s="4">
        <v>100</v>
      </c>
      <c r="C1136" s="4">
        <v>6</v>
      </c>
      <c r="D1136" s="33">
        <v>5.95</v>
      </c>
      <c r="E1136" s="23">
        <v>2.85</v>
      </c>
      <c r="F1136" s="23">
        <f t="shared" si="1185"/>
        <v>5.95</v>
      </c>
      <c r="G1136" s="23">
        <f t="shared" si="1186"/>
        <v>2.85</v>
      </c>
      <c r="H1136" s="4">
        <f t="shared" si="1187"/>
        <v>3.5767E-2</v>
      </c>
      <c r="I1136" s="2">
        <f t="shared" si="1188"/>
        <v>1.981829755905512</v>
      </c>
      <c r="J1136" s="4">
        <f t="shared" si="1189"/>
        <v>0.33211630909448858</v>
      </c>
      <c r="K1136" s="4">
        <f t="shared" si="1190"/>
        <v>2.3139460650000006</v>
      </c>
      <c r="L1136" s="13">
        <f t="shared" si="1191"/>
        <v>5.9672762271414754</v>
      </c>
      <c r="M1136" s="3">
        <f t="shared" ref="M1136" si="1254">AVERAGE(I1136:I1137)</f>
        <v>1.9658472578740158</v>
      </c>
      <c r="N1136" s="3">
        <f t="shared" ref="N1136" si="1255">AVERAGE(J1136:J1137)</f>
        <v>0.32780103462598464</v>
      </c>
    </row>
    <row r="1137" spans="1:14" x14ac:dyDescent="0.2">
      <c r="A1137" s="4"/>
      <c r="B1137" s="4">
        <v>100</v>
      </c>
      <c r="C1137" s="4">
        <v>6</v>
      </c>
      <c r="D1137" s="33">
        <v>5.85</v>
      </c>
      <c r="E1137" s="23">
        <v>2.8</v>
      </c>
      <c r="F1137" s="23">
        <f t="shared" si="1185"/>
        <v>5.85</v>
      </c>
      <c r="G1137" s="23">
        <f t="shared" si="1186"/>
        <v>2.8</v>
      </c>
      <c r="H1137" s="4">
        <f t="shared" si="1187"/>
        <v>3.5767E-2</v>
      </c>
      <c r="I1137" s="2">
        <f t="shared" si="1188"/>
        <v>1.9498647598425196</v>
      </c>
      <c r="J1137" s="4">
        <f t="shared" si="1189"/>
        <v>0.32348576015748071</v>
      </c>
      <c r="K1137" s="4">
        <f t="shared" si="1190"/>
        <v>2.2733505200000002</v>
      </c>
      <c r="L1137" s="13">
        <f t="shared" si="1191"/>
        <v>6.0276679841897156</v>
      </c>
      <c r="M1137" s="3"/>
      <c r="N1137" s="3"/>
    </row>
    <row r="1138" spans="1:14" x14ac:dyDescent="0.2">
      <c r="A1138" s="4">
        <v>489114</v>
      </c>
      <c r="B1138" s="4">
        <v>100</v>
      </c>
      <c r="C1138" s="4">
        <v>6</v>
      </c>
      <c r="D1138" s="33">
        <v>6.15</v>
      </c>
      <c r="E1138" s="23">
        <v>3</v>
      </c>
      <c r="F1138" s="23">
        <f t="shared" ref="F1138:F1153" si="1256">IF($C1138=5,D1138-$D$5,IF($C1138=6,D1138-$D$6,IF($C1138=7,D1138-$D$7,IF($C1138=8,D1138-$D$8,D1138))))</f>
        <v>6.15</v>
      </c>
      <c r="G1138" s="23">
        <f t="shared" ref="G1138:G1153" si="1257">IF($C1138=5,E1138-$D$5,IF($C1138=6,E1138-$D$6,IF($C1138=7,E1138-$D$7,IF($C1138=8,E1138-$D$8,E1138))))</f>
        <v>3</v>
      </c>
      <c r="H1138" s="4">
        <f t="shared" ref="H1138:H1153" si="1258">IF(C1138=1,32.7101,IF(C1138=2,8.14893,IF(C1138=3,1.42818,IF(C1138=4,0.44041,IF(C1138=5,0.123026,IF(C1138=6,0.035767,IF(C1138=7,0.009745,0.003863)))))))</f>
        <v>3.5767E-2</v>
      </c>
      <c r="I1138" s="2">
        <f t="shared" ref="I1138:I1153" si="1259">H1138*$A$3*(F1138-G1138)*1000/B1138</f>
        <v>2.0137947519685042</v>
      </c>
      <c r="J1138" s="4">
        <f t="shared" ref="J1138:J1153" si="1260">2.27*($A$3*G1138-($A$3-1)*F1138)*H1138*1000/B1138</f>
        <v>0.42193794803149531</v>
      </c>
      <c r="K1138" s="4">
        <f t="shared" ref="K1138:K1153" si="1261">(I1138+J1138)</f>
        <v>2.4357326999999995</v>
      </c>
      <c r="L1138" s="13">
        <f t="shared" ref="L1138:L1153" si="1262">(I1138/J1138)</f>
        <v>4.7727272727272823</v>
      </c>
      <c r="M1138" s="3">
        <f t="shared" ref="M1138" si="1263">AVERAGE(I1138:I1139)</f>
        <v>1.9818297559055118</v>
      </c>
      <c r="N1138" s="3">
        <f t="shared" ref="N1138" si="1264">AVERAGE(J1138:J1139)</f>
        <v>0.43360517159448819</v>
      </c>
    </row>
    <row r="1139" spans="1:14" x14ac:dyDescent="0.2">
      <c r="A1139" s="4"/>
      <c r="B1139" s="4">
        <v>100</v>
      </c>
      <c r="C1139" s="4">
        <v>6</v>
      </c>
      <c r="D1139" s="33">
        <v>6</v>
      </c>
      <c r="E1139" s="23">
        <v>2.95</v>
      </c>
      <c r="F1139" s="23">
        <f t="shared" si="1256"/>
        <v>6</v>
      </c>
      <c r="G1139" s="23">
        <f t="shared" si="1257"/>
        <v>2.95</v>
      </c>
      <c r="H1139" s="4">
        <f t="shared" si="1258"/>
        <v>3.5767E-2</v>
      </c>
      <c r="I1139" s="2">
        <f t="shared" si="1259"/>
        <v>1.9498647598425196</v>
      </c>
      <c r="J1139" s="4">
        <f t="shared" si="1260"/>
        <v>0.44527239515748107</v>
      </c>
      <c r="K1139" s="4">
        <f t="shared" si="1261"/>
        <v>2.3951371550000005</v>
      </c>
      <c r="L1139" s="13">
        <f t="shared" si="1262"/>
        <v>4.3790380473797486</v>
      </c>
      <c r="M1139" s="3"/>
      <c r="N1139" s="3"/>
    </row>
    <row r="1140" spans="1:14" x14ac:dyDescent="0.2">
      <c r="A1140" s="4">
        <v>489119</v>
      </c>
      <c r="B1140" s="4">
        <v>100</v>
      </c>
      <c r="C1140" s="4">
        <v>8</v>
      </c>
      <c r="D1140" s="33">
        <v>1.35</v>
      </c>
      <c r="E1140" s="23">
        <v>0.95</v>
      </c>
      <c r="F1140" s="23">
        <f t="shared" si="1256"/>
        <v>1.35</v>
      </c>
      <c r="G1140" s="23">
        <f t="shared" si="1257"/>
        <v>0.95</v>
      </c>
      <c r="H1140" s="4">
        <f t="shared" si="1258"/>
        <v>3.8630000000000001E-3</v>
      </c>
      <c r="I1140" s="2">
        <f t="shared" si="1259"/>
        <v>2.7618929133858276E-2</v>
      </c>
      <c r="J1140" s="4">
        <f t="shared" si="1260"/>
        <v>5.5686665866141738E-2</v>
      </c>
      <c r="K1140" s="4">
        <f t="shared" si="1261"/>
        <v>8.330559500000001E-2</v>
      </c>
      <c r="L1140" s="13">
        <f t="shared" si="1262"/>
        <v>0.49597024178549298</v>
      </c>
      <c r="M1140" s="3">
        <f t="shared" ref="M1140" si="1265">AVERAGE(I1140:I1141)</f>
        <v>2.9345112204724411E-2</v>
      </c>
      <c r="N1140" s="3">
        <f t="shared" ref="N1140" si="1266">AVERAGE(J1140:J1141)</f>
        <v>5.8344987795275596E-2</v>
      </c>
    </row>
    <row r="1141" spans="1:14" x14ac:dyDescent="0.2">
      <c r="A1141" s="4"/>
      <c r="B1141" s="4">
        <v>100</v>
      </c>
      <c r="C1141" s="4">
        <v>8</v>
      </c>
      <c r="D1141" s="33">
        <v>1.5</v>
      </c>
      <c r="E1141" s="23">
        <v>1.05</v>
      </c>
      <c r="F1141" s="23">
        <f t="shared" si="1256"/>
        <v>1.5</v>
      </c>
      <c r="G1141" s="23">
        <f t="shared" si="1257"/>
        <v>1.05</v>
      </c>
      <c r="H1141" s="4">
        <f t="shared" si="1258"/>
        <v>3.8630000000000001E-3</v>
      </c>
      <c r="I1141" s="2">
        <f t="shared" si="1259"/>
        <v>3.1071295275590546E-2</v>
      </c>
      <c r="J1141" s="4">
        <f t="shared" si="1260"/>
        <v>6.1003309724409455E-2</v>
      </c>
      <c r="K1141" s="4">
        <f t="shared" si="1261"/>
        <v>9.2074605000000004E-2</v>
      </c>
      <c r="L1141" s="13">
        <f t="shared" si="1262"/>
        <v>0.50933786078098453</v>
      </c>
      <c r="M1141" s="3"/>
      <c r="N1141" s="3"/>
    </row>
    <row r="1142" spans="1:14" x14ac:dyDescent="0.2">
      <c r="A1142" s="4">
        <v>489120</v>
      </c>
      <c r="B1142" s="4">
        <v>100</v>
      </c>
      <c r="C1142" s="4">
        <v>8</v>
      </c>
      <c r="D1142" s="33">
        <v>2.0499999999999998</v>
      </c>
      <c r="E1142" s="23">
        <v>1.5</v>
      </c>
      <c r="F1142" s="23">
        <f t="shared" si="1256"/>
        <v>2.0499999999999998</v>
      </c>
      <c r="G1142" s="23">
        <f t="shared" si="1257"/>
        <v>1.5</v>
      </c>
      <c r="H1142" s="4">
        <f t="shared" si="1258"/>
        <v>3.8630000000000001E-3</v>
      </c>
      <c r="I1142" s="2">
        <f t="shared" si="1259"/>
        <v>3.7976027559055103E-2</v>
      </c>
      <c r="J1142" s="4">
        <f t="shared" si="1260"/>
        <v>9.3559122440944886E-2</v>
      </c>
      <c r="K1142" s="4">
        <f t="shared" si="1261"/>
        <v>0.13153514999999999</v>
      </c>
      <c r="L1142" s="13">
        <f t="shared" si="1262"/>
        <v>0.40590405904059024</v>
      </c>
      <c r="M1142" s="3">
        <f t="shared" ref="M1142" si="1267">AVERAGE(I1142:I1143)</f>
        <v>3.6249844488188972E-2</v>
      </c>
      <c r="N1142" s="3">
        <f t="shared" ref="N1142" si="1268">AVERAGE(J1142:J1143)</f>
        <v>8.213179051181102E-2</v>
      </c>
    </row>
    <row r="1143" spans="1:14" x14ac:dyDescent="0.2">
      <c r="A1143" s="4"/>
      <c r="B1143" s="4">
        <v>100</v>
      </c>
      <c r="C1143" s="4">
        <v>8</v>
      </c>
      <c r="D1143" s="33">
        <v>1.7</v>
      </c>
      <c r="E1143" s="23">
        <v>1.2</v>
      </c>
      <c r="F1143" s="23">
        <f t="shared" si="1256"/>
        <v>1.7</v>
      </c>
      <c r="G1143" s="23">
        <f t="shared" si="1257"/>
        <v>1.2</v>
      </c>
      <c r="H1143" s="4">
        <f t="shared" si="1258"/>
        <v>3.8630000000000001E-3</v>
      </c>
      <c r="I1143" s="2">
        <f t="shared" si="1259"/>
        <v>3.452366141732284E-2</v>
      </c>
      <c r="J1143" s="4">
        <f t="shared" si="1260"/>
        <v>7.0704458582677168E-2</v>
      </c>
      <c r="K1143" s="4">
        <f t="shared" si="1261"/>
        <v>0.10522812000000001</v>
      </c>
      <c r="L1143" s="13">
        <f t="shared" si="1262"/>
        <v>0.48828125000000006</v>
      </c>
      <c r="M1143" s="3"/>
      <c r="N1143" s="3"/>
    </row>
    <row r="1144" spans="1:14" x14ac:dyDescent="0.2">
      <c r="A1144" s="4">
        <v>489121</v>
      </c>
      <c r="B1144" s="4">
        <v>100</v>
      </c>
      <c r="C1144" s="4">
        <v>8</v>
      </c>
      <c r="D1144" s="33">
        <v>3.25</v>
      </c>
      <c r="E1144" s="23">
        <v>2.25</v>
      </c>
      <c r="F1144" s="23">
        <f t="shared" si="1256"/>
        <v>3.25</v>
      </c>
      <c r="G1144" s="23">
        <f t="shared" si="1257"/>
        <v>2.25</v>
      </c>
      <c r="H1144" s="4">
        <f t="shared" si="1258"/>
        <v>3.8630000000000001E-3</v>
      </c>
      <c r="I1144" s="2">
        <f t="shared" si="1259"/>
        <v>6.904732283464568E-2</v>
      </c>
      <c r="J1144" s="4">
        <f t="shared" si="1260"/>
        <v>0.1282554021653543</v>
      </c>
      <c r="K1144" s="4">
        <f t="shared" si="1261"/>
        <v>0.19730272499999998</v>
      </c>
      <c r="L1144" s="13">
        <f t="shared" si="1262"/>
        <v>0.53835800807537026</v>
      </c>
      <c r="M1144" s="3">
        <f t="shared" ref="M1144" si="1269">AVERAGE(I1144:I1145)</f>
        <v>7.0773505905511819E-2</v>
      </c>
      <c r="N1144" s="3">
        <f t="shared" ref="N1144" si="1270">AVERAGE(J1144:J1145)</f>
        <v>0.11337570409448816</v>
      </c>
    </row>
    <row r="1145" spans="1:14" x14ac:dyDescent="0.2">
      <c r="A1145" s="4"/>
      <c r="B1145" s="4">
        <v>100</v>
      </c>
      <c r="C1145" s="4">
        <v>8</v>
      </c>
      <c r="D1145" s="33">
        <v>3</v>
      </c>
      <c r="E1145" s="23">
        <v>1.95</v>
      </c>
      <c r="F1145" s="23">
        <f t="shared" si="1256"/>
        <v>3</v>
      </c>
      <c r="G1145" s="23">
        <f t="shared" si="1257"/>
        <v>1.95</v>
      </c>
      <c r="H1145" s="4">
        <f t="shared" si="1258"/>
        <v>3.8630000000000001E-3</v>
      </c>
      <c r="I1145" s="2">
        <f t="shared" si="1259"/>
        <v>7.2499688976377957E-2</v>
      </c>
      <c r="J1145" s="4">
        <f t="shared" si="1260"/>
        <v>9.8496006023622032E-2</v>
      </c>
      <c r="K1145" s="4">
        <f t="shared" si="1261"/>
        <v>0.170995695</v>
      </c>
      <c r="L1145" s="13">
        <f t="shared" si="1262"/>
        <v>0.73606729758149336</v>
      </c>
      <c r="M1145" s="3"/>
      <c r="N1145" s="3"/>
    </row>
    <row r="1146" spans="1:14" x14ac:dyDescent="0.2">
      <c r="A1146" s="4">
        <v>489122</v>
      </c>
      <c r="B1146" s="4">
        <v>100</v>
      </c>
      <c r="C1146" s="4">
        <v>8</v>
      </c>
      <c r="D1146" s="33">
        <v>2.9</v>
      </c>
      <c r="E1146" s="23">
        <v>2</v>
      </c>
      <c r="F1146" s="23">
        <f t="shared" si="1256"/>
        <v>2.9</v>
      </c>
      <c r="G1146" s="23">
        <f t="shared" si="1257"/>
        <v>2</v>
      </c>
      <c r="H1146" s="4">
        <f t="shared" si="1258"/>
        <v>3.8630000000000001E-3</v>
      </c>
      <c r="I1146" s="2">
        <f t="shared" si="1259"/>
        <v>6.2142590551181091E-2</v>
      </c>
      <c r="J1146" s="4">
        <f t="shared" si="1260"/>
        <v>0.1132376094488189</v>
      </c>
      <c r="K1146" s="4">
        <f t="shared" si="1261"/>
        <v>0.17538019999999999</v>
      </c>
      <c r="L1146" s="13">
        <f t="shared" si="1262"/>
        <v>0.54878048780487798</v>
      </c>
      <c r="M1146" s="3">
        <f t="shared" ref="M1146" si="1271">AVERAGE(I1146:I1147)</f>
        <v>6.9047322834645666E-2</v>
      </c>
      <c r="N1146" s="3">
        <f t="shared" ref="N1146" si="1272">AVERAGE(J1146:J1147)</f>
        <v>0.11071738216535432</v>
      </c>
    </row>
    <row r="1147" spans="1:14" x14ac:dyDescent="0.2">
      <c r="A1147" s="4"/>
      <c r="B1147" s="4">
        <v>100</v>
      </c>
      <c r="C1147" s="4">
        <v>8</v>
      </c>
      <c r="D1147" s="33">
        <v>3.2</v>
      </c>
      <c r="E1147" s="23">
        <v>2.1</v>
      </c>
      <c r="F1147" s="23">
        <f t="shared" si="1256"/>
        <v>3.2</v>
      </c>
      <c r="G1147" s="23">
        <f t="shared" si="1257"/>
        <v>2.1</v>
      </c>
      <c r="H1147" s="4">
        <f t="shared" si="1258"/>
        <v>3.8630000000000001E-3</v>
      </c>
      <c r="I1147" s="2">
        <f t="shared" si="1259"/>
        <v>7.5952055118110248E-2</v>
      </c>
      <c r="J1147" s="4">
        <f t="shared" si="1260"/>
        <v>0.10819715488188975</v>
      </c>
      <c r="K1147" s="4">
        <f t="shared" si="1261"/>
        <v>0.18414921000000001</v>
      </c>
      <c r="L1147" s="13">
        <f t="shared" si="1262"/>
        <v>0.70197830248883242</v>
      </c>
      <c r="M1147" s="3"/>
      <c r="N1147" s="3"/>
    </row>
    <row r="1148" spans="1:14" x14ac:dyDescent="0.2">
      <c r="A1148" s="4">
        <v>489124</v>
      </c>
      <c r="B1148" s="4">
        <v>100</v>
      </c>
      <c r="C1148" s="4">
        <v>8</v>
      </c>
      <c r="D1148" s="33">
        <v>4.0999999999999996</v>
      </c>
      <c r="E1148" s="23">
        <v>2.65</v>
      </c>
      <c r="F1148" s="23">
        <f t="shared" si="1256"/>
        <v>4.0999999999999996</v>
      </c>
      <c r="G1148" s="23">
        <f t="shared" si="1257"/>
        <v>2.65</v>
      </c>
      <c r="H1148" s="4">
        <f t="shared" si="1258"/>
        <v>3.8630000000000001E-3</v>
      </c>
      <c r="I1148" s="2">
        <f t="shared" si="1259"/>
        <v>0.1001186181102362</v>
      </c>
      <c r="J1148" s="4">
        <f t="shared" si="1260"/>
        <v>0.13226014688976379</v>
      </c>
      <c r="K1148" s="4">
        <f t="shared" si="1261"/>
        <v>0.23237876499999999</v>
      </c>
      <c r="L1148" s="13">
        <f t="shared" si="1262"/>
        <v>0.75698251109370907</v>
      </c>
      <c r="M1148" s="3">
        <f t="shared" ref="M1148" si="1273">AVERAGE(I1148:I1149)</f>
        <v>0.10874953346456692</v>
      </c>
      <c r="N1148" s="3">
        <f t="shared" ref="N1148" si="1274">AVERAGE(J1148:J1149)</f>
        <v>0.14116725153543305</v>
      </c>
    </row>
    <row r="1149" spans="1:14" x14ac:dyDescent="0.2">
      <c r="A1149" s="4"/>
      <c r="B1149" s="4">
        <v>100</v>
      </c>
      <c r="C1149" s="4">
        <v>8</v>
      </c>
      <c r="D1149" s="33">
        <v>4.75</v>
      </c>
      <c r="E1149" s="23">
        <v>3.05</v>
      </c>
      <c r="F1149" s="23">
        <f t="shared" si="1256"/>
        <v>4.75</v>
      </c>
      <c r="G1149" s="23">
        <f t="shared" si="1257"/>
        <v>3.05</v>
      </c>
      <c r="H1149" s="4">
        <f t="shared" si="1258"/>
        <v>3.8630000000000001E-3</v>
      </c>
      <c r="I1149" s="2">
        <f t="shared" si="1259"/>
        <v>0.11738044881889766</v>
      </c>
      <c r="J1149" s="4">
        <f t="shared" si="1260"/>
        <v>0.15007435618110232</v>
      </c>
      <c r="K1149" s="4">
        <f t="shared" si="1261"/>
        <v>0.26745480499999996</v>
      </c>
      <c r="L1149" s="13">
        <f t="shared" si="1262"/>
        <v>0.78214860823556509</v>
      </c>
      <c r="M1149" s="3"/>
      <c r="N1149" s="3"/>
    </row>
    <row r="1150" spans="1:14" x14ac:dyDescent="0.2">
      <c r="A1150" s="4">
        <v>489125</v>
      </c>
      <c r="B1150" s="4">
        <v>100</v>
      </c>
      <c r="C1150" s="4">
        <v>7</v>
      </c>
      <c r="D1150" s="33">
        <v>6.85</v>
      </c>
      <c r="E1150" s="23">
        <v>3.75</v>
      </c>
      <c r="F1150" s="23">
        <f t="shared" si="1256"/>
        <v>6.85</v>
      </c>
      <c r="G1150" s="23">
        <f t="shared" si="1257"/>
        <v>3.75</v>
      </c>
      <c r="H1150" s="4">
        <f t="shared" si="1258"/>
        <v>9.7450000000000002E-3</v>
      </c>
      <c r="I1150" s="2">
        <f t="shared" si="1259"/>
        <v>0.53996507874015753</v>
      </c>
      <c r="J1150" s="4">
        <f t="shared" si="1260"/>
        <v>0.28957804625984268</v>
      </c>
      <c r="K1150" s="4">
        <f t="shared" si="1261"/>
        <v>0.82954312500000027</v>
      </c>
      <c r="L1150" s="13">
        <f t="shared" si="1262"/>
        <v>1.8646616541353376</v>
      </c>
      <c r="M1150" s="3">
        <f t="shared" ref="M1150" si="1275">AVERAGE(I1150:I1151)</f>
        <v>0.57915609251968503</v>
      </c>
      <c r="N1150" s="3">
        <f t="shared" ref="N1150" si="1276">AVERAGE(J1150:J1151)</f>
        <v>0.2946293324803152</v>
      </c>
    </row>
    <row r="1151" spans="1:14" x14ac:dyDescent="0.2">
      <c r="A1151" s="4"/>
      <c r="B1151" s="4">
        <v>100</v>
      </c>
      <c r="C1151" s="4">
        <v>7</v>
      </c>
      <c r="D1151" s="33">
        <v>7.7</v>
      </c>
      <c r="E1151" s="23">
        <v>4.1500000000000004</v>
      </c>
      <c r="F1151" s="23">
        <f t="shared" si="1256"/>
        <v>7.7</v>
      </c>
      <c r="G1151" s="23">
        <f t="shared" si="1257"/>
        <v>4.1500000000000004</v>
      </c>
      <c r="H1151" s="4">
        <f t="shared" si="1258"/>
        <v>9.7450000000000002E-3</v>
      </c>
      <c r="I1151" s="2">
        <f t="shared" si="1259"/>
        <v>0.61834710629921263</v>
      </c>
      <c r="J1151" s="4">
        <f t="shared" si="1260"/>
        <v>0.29968061870078766</v>
      </c>
      <c r="K1151" s="4">
        <f t="shared" si="1261"/>
        <v>0.91802772500000029</v>
      </c>
      <c r="L1151" s="13">
        <f t="shared" si="1262"/>
        <v>2.0633536762569005</v>
      </c>
      <c r="M1151" s="3"/>
      <c r="N1151" s="3"/>
    </row>
    <row r="1152" spans="1:14" x14ac:dyDescent="0.2">
      <c r="A1152" s="4">
        <v>489127</v>
      </c>
      <c r="B1152" s="4">
        <v>100</v>
      </c>
      <c r="C1152" s="4">
        <v>6</v>
      </c>
      <c r="D1152" s="33">
        <v>4.25</v>
      </c>
      <c r="E1152" s="23">
        <v>2</v>
      </c>
      <c r="F1152" s="23">
        <f t="shared" si="1256"/>
        <v>4.25</v>
      </c>
      <c r="G1152" s="23">
        <f t="shared" si="1257"/>
        <v>2</v>
      </c>
      <c r="H1152" s="4">
        <f t="shared" si="1258"/>
        <v>3.5767E-2</v>
      </c>
      <c r="I1152" s="2">
        <f t="shared" si="1259"/>
        <v>1.4384248228346459</v>
      </c>
      <c r="J1152" s="4">
        <f t="shared" si="1260"/>
        <v>0.18539697716535436</v>
      </c>
      <c r="K1152" s="4">
        <f t="shared" si="1261"/>
        <v>1.6238218000000002</v>
      </c>
      <c r="L1152" s="13">
        <f t="shared" si="1262"/>
        <v>7.7586206896551726</v>
      </c>
      <c r="M1152" s="3">
        <f t="shared" ref="M1152" si="1277">AVERAGE(I1152:I1153)</f>
        <v>1.4384248228346459</v>
      </c>
      <c r="N1152" s="3">
        <f t="shared" ref="N1152" si="1278">AVERAGE(J1152:J1153)</f>
        <v>0.20569474966535428</v>
      </c>
    </row>
    <row r="1153" spans="1:14" x14ac:dyDescent="0.2">
      <c r="A1153" s="4"/>
      <c r="B1153" s="4">
        <v>100</v>
      </c>
      <c r="C1153" s="4">
        <v>6</v>
      </c>
      <c r="D1153" s="33">
        <v>4.3</v>
      </c>
      <c r="E1153" s="23">
        <v>2.0499999999999998</v>
      </c>
      <c r="F1153" s="23">
        <f t="shared" si="1256"/>
        <v>4.3</v>
      </c>
      <c r="G1153" s="23">
        <f t="shared" si="1257"/>
        <v>2.0499999999999998</v>
      </c>
      <c r="H1153" s="4">
        <f t="shared" si="1258"/>
        <v>3.5767E-2</v>
      </c>
      <c r="I1153" s="2">
        <f t="shared" si="1259"/>
        <v>1.4384248228346459</v>
      </c>
      <c r="J1153" s="4">
        <f t="shared" si="1260"/>
        <v>0.22599252216535423</v>
      </c>
      <c r="K1153" s="4">
        <f t="shared" si="1261"/>
        <v>1.6644173450000002</v>
      </c>
      <c r="L1153" s="13">
        <f t="shared" si="1262"/>
        <v>6.3649222065063684</v>
      </c>
      <c r="M1153" s="3"/>
      <c r="N1153" s="3"/>
    </row>
    <row r="1154" spans="1:14" x14ac:dyDescent="0.2">
      <c r="A1154" s="4">
        <v>489133</v>
      </c>
      <c r="B1154" s="4">
        <v>100</v>
      </c>
      <c r="C1154" s="4">
        <v>8</v>
      </c>
      <c r="D1154" s="33">
        <v>1.05</v>
      </c>
      <c r="E1154" s="23">
        <v>0.85</v>
      </c>
      <c r="F1154" s="23">
        <f t="shared" ref="F1154:F1216" si="1279">IF($C1154=5,D1154-$D$5,IF($C1154=6,D1154-$D$6,IF($C1154=7,D1154-$D$7,IF($C1154=8,D1154-$D$8,D1154))))</f>
        <v>1.05</v>
      </c>
      <c r="G1154" s="23">
        <f t="shared" ref="G1154:G1216" si="1280">IF($C1154=5,E1154-$D$5,IF($C1154=6,E1154-$D$6,IF($C1154=7,E1154-$D$7,IF($C1154=8,E1154-$D$8,E1154))))</f>
        <v>0.85</v>
      </c>
      <c r="H1154" s="4">
        <f t="shared" ref="H1154:H1216" si="1281">IF(C1154=1,32.7101,IF(C1154=2,8.14893,IF(C1154=3,1.42818,IF(C1154=4,0.44041,IF(C1154=5,0.123026,IF(C1154=6,0.035767,IF(C1154=7,0.009745,0.003863)))))))</f>
        <v>3.8630000000000001E-3</v>
      </c>
      <c r="I1154" s="2">
        <f t="shared" ref="I1154:I1216" si="1282">H1154*$A$3*(F1154-G1154)*1000/B1154</f>
        <v>1.3809464566929138E-2</v>
      </c>
      <c r="J1154" s="4">
        <f t="shared" ref="J1154:J1216" si="1283">2.27*($A$3*G1154-($A$3-1)*F1154)*H1154*1000/B1154</f>
        <v>6.0727120433070866E-2</v>
      </c>
      <c r="K1154" s="4">
        <f t="shared" ref="K1154:K1216" si="1284">(I1154+J1154)</f>
        <v>7.4536585000000002E-2</v>
      </c>
      <c r="L1154" s="13">
        <f t="shared" ref="L1154:L1216" si="1285">(I1154/J1154)</f>
        <v>0.22740193291642985</v>
      </c>
      <c r="M1154" s="3">
        <f t="shared" ref="M1154" si="1286">AVERAGE(I1154:I1155)</f>
        <v>1.726183070866142E-2</v>
      </c>
      <c r="N1154" s="3">
        <f t="shared" ref="N1154" si="1287">AVERAGE(J1154:J1155)</f>
        <v>6.3851511791338578E-2</v>
      </c>
    </row>
    <row r="1155" spans="1:14" x14ac:dyDescent="0.2">
      <c r="A1155" s="4"/>
      <c r="B1155" s="4">
        <v>100</v>
      </c>
      <c r="C1155" s="4">
        <v>8</v>
      </c>
      <c r="D1155" s="33">
        <v>1.3</v>
      </c>
      <c r="E1155" s="23">
        <v>1</v>
      </c>
      <c r="F1155" s="23">
        <f t="shared" si="1279"/>
        <v>1.3</v>
      </c>
      <c r="G1155" s="23">
        <f t="shared" si="1280"/>
        <v>1</v>
      </c>
      <c r="H1155" s="4">
        <f t="shared" si="1281"/>
        <v>3.8630000000000001E-3</v>
      </c>
      <c r="I1155" s="2">
        <f t="shared" si="1282"/>
        <v>2.0714196850393704E-2</v>
      </c>
      <c r="J1155" s="4">
        <f t="shared" si="1283"/>
        <v>6.6975903149606303E-2</v>
      </c>
      <c r="K1155" s="4">
        <f t="shared" si="1284"/>
        <v>8.7690100000000007E-2</v>
      </c>
      <c r="L1155" s="13">
        <f t="shared" si="1285"/>
        <v>0.30927835051546393</v>
      </c>
      <c r="M1155" s="3"/>
      <c r="N1155" s="3"/>
    </row>
    <row r="1156" spans="1:14" x14ac:dyDescent="0.2">
      <c r="A1156" s="4">
        <v>489134</v>
      </c>
      <c r="B1156" s="4">
        <v>100</v>
      </c>
      <c r="C1156" s="4">
        <v>8</v>
      </c>
      <c r="D1156" s="33">
        <v>1.4</v>
      </c>
      <c r="E1156" s="23">
        <v>1.05</v>
      </c>
      <c r="F1156" s="23">
        <f t="shared" si="1279"/>
        <v>1.4</v>
      </c>
      <c r="G1156" s="23">
        <f t="shared" si="1280"/>
        <v>1.05</v>
      </c>
      <c r="H1156" s="4">
        <f t="shared" si="1281"/>
        <v>3.8630000000000001E-3</v>
      </c>
      <c r="I1156" s="2">
        <f t="shared" si="1282"/>
        <v>2.4166562992125974E-2</v>
      </c>
      <c r="J1156" s="4">
        <f t="shared" si="1283"/>
        <v>6.7908042007874023E-2</v>
      </c>
      <c r="K1156" s="4">
        <f t="shared" si="1284"/>
        <v>9.2074605000000004E-2</v>
      </c>
      <c r="L1156" s="13">
        <f t="shared" si="1285"/>
        <v>0.35587188612099624</v>
      </c>
      <c r="M1156" s="3">
        <f t="shared" ref="M1156" si="1288">AVERAGE(I1156:I1157)</f>
        <v>2.9345112204724407E-2</v>
      </c>
      <c r="N1156" s="3">
        <f t="shared" ref="N1156" si="1289">AVERAGE(J1156:J1157)</f>
        <v>7.3690755295275606E-2</v>
      </c>
    </row>
    <row r="1157" spans="1:14" x14ac:dyDescent="0.2">
      <c r="A1157" s="4"/>
      <c r="B1157" s="4">
        <v>100</v>
      </c>
      <c r="C1157" s="4">
        <v>8</v>
      </c>
      <c r="D1157" s="33">
        <v>1.8</v>
      </c>
      <c r="E1157" s="23">
        <v>1.3</v>
      </c>
      <c r="F1157" s="23">
        <f t="shared" si="1279"/>
        <v>1.8</v>
      </c>
      <c r="G1157" s="23">
        <f t="shared" si="1280"/>
        <v>1.3</v>
      </c>
      <c r="H1157" s="4">
        <f t="shared" si="1281"/>
        <v>3.8630000000000001E-3</v>
      </c>
      <c r="I1157" s="2">
        <f t="shared" si="1282"/>
        <v>3.452366141732284E-2</v>
      </c>
      <c r="J1157" s="4">
        <f t="shared" si="1283"/>
        <v>7.9473468582677176E-2</v>
      </c>
      <c r="K1157" s="4">
        <f t="shared" si="1284"/>
        <v>0.11399713000000002</v>
      </c>
      <c r="L1157" s="13">
        <f t="shared" si="1285"/>
        <v>0.43440486533449174</v>
      </c>
      <c r="M1157" s="3"/>
      <c r="N1157" s="3"/>
    </row>
    <row r="1158" spans="1:14" x14ac:dyDescent="0.2">
      <c r="A1158" s="4">
        <v>489135</v>
      </c>
      <c r="B1158" s="4">
        <v>100</v>
      </c>
      <c r="C1158" s="4">
        <v>8</v>
      </c>
      <c r="D1158" s="33">
        <v>2.5</v>
      </c>
      <c r="E1158" s="23">
        <v>1.65</v>
      </c>
      <c r="F1158" s="23">
        <f t="shared" si="1279"/>
        <v>2.5</v>
      </c>
      <c r="G1158" s="23">
        <f t="shared" si="1280"/>
        <v>1.65</v>
      </c>
      <c r="H1158" s="4">
        <f t="shared" si="1281"/>
        <v>3.8630000000000001E-3</v>
      </c>
      <c r="I1158" s="2">
        <f t="shared" si="1282"/>
        <v>5.8690224409448828E-2</v>
      </c>
      <c r="J1158" s="4">
        <f t="shared" si="1283"/>
        <v>8.5998440590551187E-2</v>
      </c>
      <c r="K1158" s="4">
        <f t="shared" si="1284"/>
        <v>0.14468866500000002</v>
      </c>
      <c r="L1158" s="13">
        <f t="shared" si="1285"/>
        <v>0.68245684464070666</v>
      </c>
      <c r="M1158" s="3">
        <f t="shared" ref="M1158" si="1290">AVERAGE(I1158:I1159)</f>
        <v>5.0059309055118115E-2</v>
      </c>
      <c r="N1158" s="3">
        <f t="shared" ref="N1158" si="1291">AVERAGE(J1158:J1159)</f>
        <v>7.7091335944881906E-2</v>
      </c>
    </row>
    <row r="1159" spans="1:14" x14ac:dyDescent="0.2">
      <c r="A1159" s="4"/>
      <c r="B1159" s="4">
        <v>100</v>
      </c>
      <c r="C1159" s="4">
        <v>8</v>
      </c>
      <c r="D1159" s="33">
        <v>1.85</v>
      </c>
      <c r="E1159" s="23">
        <v>1.25</v>
      </c>
      <c r="F1159" s="23">
        <f t="shared" si="1279"/>
        <v>1.85</v>
      </c>
      <c r="G1159" s="23">
        <f t="shared" si="1280"/>
        <v>1.25</v>
      </c>
      <c r="H1159" s="4">
        <f t="shared" si="1281"/>
        <v>3.8630000000000001E-3</v>
      </c>
      <c r="I1159" s="2">
        <f t="shared" si="1282"/>
        <v>4.1428393700787408E-2</v>
      </c>
      <c r="J1159" s="4">
        <f t="shared" si="1283"/>
        <v>6.8184231299212611E-2</v>
      </c>
      <c r="K1159" s="4">
        <f t="shared" si="1284"/>
        <v>0.10961262500000002</v>
      </c>
      <c r="L1159" s="13">
        <f t="shared" si="1285"/>
        <v>0.60759493670886078</v>
      </c>
      <c r="M1159" s="3"/>
      <c r="N1159" s="3"/>
    </row>
    <row r="1160" spans="1:14" x14ac:dyDescent="0.2">
      <c r="A1160" s="4">
        <v>489136</v>
      </c>
      <c r="B1160" s="4">
        <v>100</v>
      </c>
      <c r="C1160" s="4">
        <v>8</v>
      </c>
      <c r="D1160" s="33">
        <v>5.4</v>
      </c>
      <c r="E1160" s="23">
        <v>3.3</v>
      </c>
      <c r="F1160" s="23">
        <f t="shared" si="1279"/>
        <v>5.4</v>
      </c>
      <c r="G1160" s="23">
        <f t="shared" si="1280"/>
        <v>3.3</v>
      </c>
      <c r="H1160" s="4">
        <f t="shared" si="1281"/>
        <v>3.8630000000000001E-3</v>
      </c>
      <c r="I1160" s="2">
        <f t="shared" si="1282"/>
        <v>0.14499937795275594</v>
      </c>
      <c r="J1160" s="4">
        <f t="shared" si="1283"/>
        <v>0.1443779520472441</v>
      </c>
      <c r="K1160" s="4">
        <f t="shared" si="1284"/>
        <v>0.28937733000000004</v>
      </c>
      <c r="L1160" s="13">
        <f t="shared" si="1285"/>
        <v>1.004304160688666</v>
      </c>
      <c r="M1160" s="3">
        <f t="shared" ref="M1160" si="1292">AVERAGE(I1160:I1161)</f>
        <v>0.14499937795275591</v>
      </c>
      <c r="N1160" s="3">
        <f t="shared" ref="N1160" si="1293">AVERAGE(J1160:J1161)</f>
        <v>0.14218569954724411</v>
      </c>
    </row>
    <row r="1161" spans="1:14" x14ac:dyDescent="0.2">
      <c r="A1161" s="4"/>
      <c r="B1161" s="4">
        <v>100</v>
      </c>
      <c r="C1161" s="4">
        <v>8</v>
      </c>
      <c r="D1161" s="33">
        <v>5.35</v>
      </c>
      <c r="E1161" s="23">
        <v>3.25</v>
      </c>
      <c r="F1161" s="23">
        <f t="shared" si="1279"/>
        <v>5.35</v>
      </c>
      <c r="G1161" s="23">
        <f t="shared" si="1280"/>
        <v>3.25</v>
      </c>
      <c r="H1161" s="4">
        <f t="shared" si="1281"/>
        <v>3.8630000000000001E-3</v>
      </c>
      <c r="I1161" s="2">
        <f t="shared" si="1282"/>
        <v>0.14499937795275589</v>
      </c>
      <c r="J1161" s="4">
        <f t="shared" si="1283"/>
        <v>0.13999344704724412</v>
      </c>
      <c r="K1161" s="4">
        <f t="shared" si="1284"/>
        <v>0.28499282500000001</v>
      </c>
      <c r="L1161" s="13">
        <f t="shared" si="1285"/>
        <v>1.0357583230579528</v>
      </c>
      <c r="M1161" s="3"/>
      <c r="N1161" s="3"/>
    </row>
    <row r="1162" spans="1:14" x14ac:dyDescent="0.2">
      <c r="A1162" s="4">
        <v>489137</v>
      </c>
      <c r="B1162" s="4">
        <v>100</v>
      </c>
      <c r="C1162" s="4">
        <v>8</v>
      </c>
      <c r="D1162" s="33">
        <v>5.85</v>
      </c>
      <c r="E1162" s="23">
        <v>3.45</v>
      </c>
      <c r="F1162" s="23">
        <f t="shared" si="1279"/>
        <v>5.85</v>
      </c>
      <c r="G1162" s="23">
        <f t="shared" si="1280"/>
        <v>3.45</v>
      </c>
      <c r="H1162" s="4">
        <f t="shared" si="1281"/>
        <v>3.8630000000000001E-3</v>
      </c>
      <c r="I1162" s="2">
        <f t="shared" si="1282"/>
        <v>0.16571357480314955</v>
      </c>
      <c r="J1162" s="4">
        <f t="shared" si="1283"/>
        <v>0.13681727019685047</v>
      </c>
      <c r="K1162" s="4">
        <f t="shared" si="1284"/>
        <v>0.30253084500000005</v>
      </c>
      <c r="L1162" s="13">
        <f t="shared" si="1285"/>
        <v>1.2112036336108998</v>
      </c>
      <c r="M1162" s="3">
        <f>AVERAGE(I1162)</f>
        <v>0.16571357480314955</v>
      </c>
      <c r="N1162" s="3">
        <f>AVERAGE(J1162:J1162)</f>
        <v>0.13681727019685047</v>
      </c>
    </row>
    <row r="1163" spans="1:14" x14ac:dyDescent="0.2">
      <c r="A1163" s="4">
        <v>489138</v>
      </c>
      <c r="B1163" s="4">
        <v>100</v>
      </c>
      <c r="C1163" s="4">
        <v>7</v>
      </c>
      <c r="D1163" s="33">
        <v>3.1</v>
      </c>
      <c r="E1163" s="23">
        <v>1.9</v>
      </c>
      <c r="F1163" s="23">
        <f t="shared" si="1279"/>
        <v>3.1</v>
      </c>
      <c r="G1163" s="23">
        <f t="shared" si="1280"/>
        <v>1.9</v>
      </c>
      <c r="H1163" s="4">
        <f t="shared" si="1281"/>
        <v>9.7450000000000002E-3</v>
      </c>
      <c r="I1163" s="2">
        <f t="shared" si="1282"/>
        <v>0.20901874015748034</v>
      </c>
      <c r="J1163" s="4">
        <f t="shared" si="1283"/>
        <v>0.21128310984251975</v>
      </c>
      <c r="K1163" s="4">
        <f t="shared" si="1284"/>
        <v>0.42030185000000009</v>
      </c>
      <c r="L1163" s="13">
        <f t="shared" si="1285"/>
        <v>0.98928276999175579</v>
      </c>
      <c r="M1163" s="3">
        <f t="shared" ref="M1163" si="1294">AVERAGE(I1163:I1164)</f>
        <v>0.22643696850393702</v>
      </c>
      <c r="N1163" s="3">
        <f t="shared" ref="N1163" si="1295">AVERAGE(J1163:J1164)</f>
        <v>0.20492545649606303</v>
      </c>
    </row>
    <row r="1164" spans="1:14" x14ac:dyDescent="0.2">
      <c r="A1164" s="4"/>
      <c r="B1164" s="4">
        <v>100</v>
      </c>
      <c r="C1164" s="4">
        <v>7</v>
      </c>
      <c r="D1164" s="33">
        <v>3.4</v>
      </c>
      <c r="E1164" s="23">
        <v>2</v>
      </c>
      <c r="F1164" s="23">
        <f t="shared" si="1279"/>
        <v>3.4</v>
      </c>
      <c r="G1164" s="23">
        <f t="shared" si="1280"/>
        <v>2</v>
      </c>
      <c r="H1164" s="4">
        <f t="shared" si="1281"/>
        <v>9.7450000000000002E-3</v>
      </c>
      <c r="I1164" s="2">
        <f t="shared" si="1282"/>
        <v>0.2438551968503937</v>
      </c>
      <c r="J1164" s="4">
        <f t="shared" si="1283"/>
        <v>0.19856780314960634</v>
      </c>
      <c r="K1164" s="4">
        <f t="shared" si="1284"/>
        <v>0.44242300000000001</v>
      </c>
      <c r="L1164" s="13">
        <f t="shared" si="1285"/>
        <v>1.2280701754385963</v>
      </c>
      <c r="M1164" s="3"/>
      <c r="N1164" s="3"/>
    </row>
    <row r="1165" spans="1:14" x14ac:dyDescent="0.2">
      <c r="A1165" s="4">
        <v>489139</v>
      </c>
      <c r="B1165" s="4">
        <v>100</v>
      </c>
      <c r="C1165" s="4">
        <v>7</v>
      </c>
      <c r="D1165" s="33">
        <v>5.55</v>
      </c>
      <c r="E1165" s="23">
        <v>3.55</v>
      </c>
      <c r="F1165" s="23">
        <f t="shared" si="1279"/>
        <v>5.55</v>
      </c>
      <c r="G1165" s="23">
        <f t="shared" si="1280"/>
        <v>3.55</v>
      </c>
      <c r="H1165" s="4">
        <f t="shared" si="1281"/>
        <v>9.7450000000000002E-3</v>
      </c>
      <c r="I1165" s="2">
        <f t="shared" si="1282"/>
        <v>0.34836456692913387</v>
      </c>
      <c r="J1165" s="4">
        <f t="shared" si="1283"/>
        <v>0.43693625807086611</v>
      </c>
      <c r="K1165" s="4">
        <f t="shared" si="1284"/>
        <v>0.78530082499999998</v>
      </c>
      <c r="L1165" s="13">
        <f t="shared" si="1285"/>
        <v>0.79728921666334474</v>
      </c>
      <c r="M1165" s="3">
        <f t="shared" ref="M1165" si="1296">AVERAGE(I1165:I1166)</f>
        <v>0.34836456692913387</v>
      </c>
      <c r="N1165" s="3">
        <f t="shared" ref="N1165" si="1297">AVERAGE(J1165:J1166)</f>
        <v>0.36504252057086617</v>
      </c>
    </row>
    <row r="1166" spans="1:14" x14ac:dyDescent="0.2">
      <c r="A1166" s="4"/>
      <c r="B1166" s="4">
        <v>100</v>
      </c>
      <c r="C1166" s="4">
        <v>7</v>
      </c>
      <c r="D1166" s="33">
        <v>4.9000000000000004</v>
      </c>
      <c r="E1166" s="23">
        <v>2.9</v>
      </c>
      <c r="F1166" s="23">
        <f t="shared" si="1279"/>
        <v>4.9000000000000004</v>
      </c>
      <c r="G1166" s="23">
        <f t="shared" si="1280"/>
        <v>2.9</v>
      </c>
      <c r="H1166" s="4">
        <f t="shared" si="1281"/>
        <v>9.7450000000000002E-3</v>
      </c>
      <c r="I1166" s="2">
        <f t="shared" si="1282"/>
        <v>0.34836456692913392</v>
      </c>
      <c r="J1166" s="4">
        <f t="shared" si="1283"/>
        <v>0.29314878307086617</v>
      </c>
      <c r="K1166" s="4">
        <f t="shared" si="1284"/>
        <v>0.64151335000000009</v>
      </c>
      <c r="L1166" s="13">
        <f t="shared" si="1285"/>
        <v>1.1883541295306002</v>
      </c>
      <c r="M1166" s="3"/>
      <c r="N1166" s="3"/>
    </row>
    <row r="1167" spans="1:14" x14ac:dyDescent="0.2">
      <c r="A1167" s="4">
        <v>489140</v>
      </c>
      <c r="B1167" s="4">
        <v>100</v>
      </c>
      <c r="C1167" s="4">
        <v>6</v>
      </c>
      <c r="D1167" s="33">
        <v>7.3</v>
      </c>
      <c r="E1167" s="23">
        <v>3.45</v>
      </c>
      <c r="F1167" s="23">
        <f t="shared" si="1279"/>
        <v>7.3</v>
      </c>
      <c r="G1167" s="23">
        <f t="shared" si="1280"/>
        <v>3.45</v>
      </c>
      <c r="H1167" s="4">
        <f t="shared" si="1281"/>
        <v>3.5767E-2</v>
      </c>
      <c r="I1167" s="2">
        <f t="shared" si="1282"/>
        <v>2.4613046968503935</v>
      </c>
      <c r="J1167" s="4">
        <f t="shared" si="1283"/>
        <v>0.33978790814960647</v>
      </c>
      <c r="K1167" s="4">
        <f t="shared" si="1284"/>
        <v>2.801092605</v>
      </c>
      <c r="L1167" s="13">
        <f t="shared" si="1285"/>
        <v>7.2436500470366845</v>
      </c>
      <c r="M1167" s="3">
        <f t="shared" ref="M1167" si="1298">AVERAGE(I1167:I1168)</f>
        <v>2.5571996850393699</v>
      </c>
      <c r="N1167" s="3">
        <f t="shared" ref="N1167" si="1299">AVERAGE(J1167:J1168)</f>
        <v>0.3656795549606302</v>
      </c>
    </row>
    <row r="1168" spans="1:14" x14ac:dyDescent="0.2">
      <c r="A1168" s="4"/>
      <c r="B1168" s="4">
        <v>100</v>
      </c>
      <c r="C1168" s="4">
        <v>6</v>
      </c>
      <c r="D1168" s="33">
        <v>7.9</v>
      </c>
      <c r="E1168" s="23">
        <v>3.75</v>
      </c>
      <c r="F1168" s="23">
        <f t="shared" si="1279"/>
        <v>7.9</v>
      </c>
      <c r="G1168" s="23">
        <f t="shared" si="1280"/>
        <v>3.75</v>
      </c>
      <c r="H1168" s="4">
        <f t="shared" si="1281"/>
        <v>3.5767E-2</v>
      </c>
      <c r="I1168" s="2">
        <f t="shared" si="1282"/>
        <v>2.6530946732283467</v>
      </c>
      <c r="J1168" s="4">
        <f t="shared" si="1283"/>
        <v>0.39157120177165394</v>
      </c>
      <c r="K1168" s="4">
        <f t="shared" si="1284"/>
        <v>3.0446658750000006</v>
      </c>
      <c r="L1168" s="13">
        <f t="shared" si="1285"/>
        <v>6.775510204081626</v>
      </c>
      <c r="M1168" s="3"/>
      <c r="N1168" s="3"/>
    </row>
    <row r="1169" spans="1:14" x14ac:dyDescent="0.2">
      <c r="A1169" s="4">
        <v>489141</v>
      </c>
      <c r="B1169" s="4">
        <v>100</v>
      </c>
      <c r="C1169" s="4">
        <v>5</v>
      </c>
      <c r="D1169" s="33">
        <v>2.8</v>
      </c>
      <c r="E1169" s="23">
        <v>1.35</v>
      </c>
      <c r="F1169" s="23">
        <f t="shared" si="1279"/>
        <v>2.8</v>
      </c>
      <c r="G1169" s="23">
        <f t="shared" si="1280"/>
        <v>1.35</v>
      </c>
      <c r="H1169" s="4">
        <f t="shared" si="1281"/>
        <v>0.123026</v>
      </c>
      <c r="I1169" s="2">
        <f t="shared" si="1282"/>
        <v>3.1885045590551169</v>
      </c>
      <c r="J1169" s="4">
        <f t="shared" si="1283"/>
        <v>0.58162721094488279</v>
      </c>
      <c r="K1169" s="4">
        <f t="shared" si="1284"/>
        <v>3.7701317699999999</v>
      </c>
      <c r="L1169" s="13">
        <f t="shared" si="1285"/>
        <v>5.4820415879016906</v>
      </c>
      <c r="M1169" s="3">
        <f t="shared" ref="M1169" si="1300">AVERAGE(I1169:I1170)</f>
        <v>3.1885045590551169</v>
      </c>
      <c r="N1169" s="3">
        <f t="shared" ref="N1169" si="1301">AVERAGE(J1169:J1170)</f>
        <v>0.51180995594488243</v>
      </c>
    </row>
    <row r="1170" spans="1:14" x14ac:dyDescent="0.2">
      <c r="A1170" s="4"/>
      <c r="B1170" s="4">
        <v>100</v>
      </c>
      <c r="C1170" s="4">
        <v>5</v>
      </c>
      <c r="D1170" s="33">
        <v>2.75</v>
      </c>
      <c r="E1170" s="23">
        <v>1.3</v>
      </c>
      <c r="F1170" s="23">
        <f t="shared" si="1279"/>
        <v>2.75</v>
      </c>
      <c r="G1170" s="23">
        <f t="shared" si="1280"/>
        <v>1.3</v>
      </c>
      <c r="H1170" s="4">
        <f t="shared" si="1281"/>
        <v>0.123026</v>
      </c>
      <c r="I1170" s="2">
        <f t="shared" si="1282"/>
        <v>3.1885045590551173</v>
      </c>
      <c r="J1170" s="4">
        <f t="shared" si="1283"/>
        <v>0.44199270094488213</v>
      </c>
      <c r="K1170" s="4">
        <f t="shared" si="1284"/>
        <v>3.6304972599999994</v>
      </c>
      <c r="L1170" s="13">
        <f t="shared" si="1285"/>
        <v>7.2139303482587005</v>
      </c>
      <c r="M1170" s="3"/>
      <c r="N1170" s="3"/>
    </row>
    <row r="1171" spans="1:14" x14ac:dyDescent="0.2">
      <c r="A1171" s="31">
        <v>488262</v>
      </c>
      <c r="B1171" s="4">
        <v>100</v>
      </c>
      <c r="C1171" s="4">
        <v>6</v>
      </c>
      <c r="D1171" s="33">
        <v>3.95</v>
      </c>
      <c r="E1171" s="23">
        <v>2.15</v>
      </c>
      <c r="F1171" s="23">
        <f t="shared" si="1279"/>
        <v>3.95</v>
      </c>
      <c r="G1171" s="23">
        <f t="shared" si="1280"/>
        <v>2.15</v>
      </c>
      <c r="H1171" s="4">
        <f t="shared" si="1281"/>
        <v>3.5767E-2</v>
      </c>
      <c r="I1171" s="2">
        <f t="shared" si="1282"/>
        <v>1.1507398582677169</v>
      </c>
      <c r="J1171" s="4">
        <f t="shared" si="1283"/>
        <v>0.59486857673228322</v>
      </c>
      <c r="K1171" s="4">
        <f t="shared" si="1284"/>
        <v>1.7456084350000001</v>
      </c>
      <c r="L1171" s="13">
        <f t="shared" si="1285"/>
        <v>1.9344438473938756</v>
      </c>
      <c r="M1171" s="3">
        <f t="shared" ref="M1171" si="1302">AVERAGE(I1171:I1172)</f>
        <v>1.1507398582677169</v>
      </c>
      <c r="N1171" s="3">
        <f t="shared" ref="N1171" si="1303">AVERAGE(J1171:J1172)</f>
        <v>0.55427303173228326</v>
      </c>
    </row>
    <row r="1172" spans="1:14" x14ac:dyDescent="0.2">
      <c r="A1172" s="4"/>
      <c r="B1172" s="4">
        <v>100</v>
      </c>
      <c r="C1172" s="4">
        <v>6</v>
      </c>
      <c r="D1172" s="33">
        <v>3.85</v>
      </c>
      <c r="E1172" s="23">
        <v>2.0499999999999998</v>
      </c>
      <c r="F1172" s="23">
        <f t="shared" si="1279"/>
        <v>3.85</v>
      </c>
      <c r="G1172" s="23">
        <f t="shared" si="1280"/>
        <v>2.0499999999999998</v>
      </c>
      <c r="H1172" s="4">
        <f t="shared" si="1281"/>
        <v>3.5767E-2</v>
      </c>
      <c r="I1172" s="2">
        <f t="shared" si="1282"/>
        <v>1.1507398582677169</v>
      </c>
      <c r="J1172" s="4">
        <f t="shared" si="1283"/>
        <v>0.51367748673228331</v>
      </c>
      <c r="K1172" s="4">
        <f t="shared" si="1284"/>
        <v>1.6644173450000002</v>
      </c>
      <c r="L1172" s="13">
        <f t="shared" si="1285"/>
        <v>2.2401991288114513</v>
      </c>
      <c r="M1172" s="3"/>
      <c r="N1172" s="3"/>
    </row>
    <row r="1173" spans="1:14" x14ac:dyDescent="0.2">
      <c r="A1173" s="4">
        <v>489147</v>
      </c>
      <c r="B1173" s="4">
        <v>100</v>
      </c>
      <c r="C1173" s="4">
        <v>8</v>
      </c>
      <c r="D1173" s="33">
        <v>1.5</v>
      </c>
      <c r="E1173" s="23">
        <v>1.05</v>
      </c>
      <c r="F1173" s="23">
        <f t="shared" si="1279"/>
        <v>1.5</v>
      </c>
      <c r="G1173" s="23">
        <f t="shared" si="1280"/>
        <v>1.05</v>
      </c>
      <c r="H1173" s="4">
        <f t="shared" si="1281"/>
        <v>3.8630000000000001E-3</v>
      </c>
      <c r="I1173" s="2">
        <f t="shared" si="1282"/>
        <v>3.1071295275590546E-2</v>
      </c>
      <c r="J1173" s="4">
        <f t="shared" si="1283"/>
        <v>6.1003309724409455E-2</v>
      </c>
      <c r="K1173" s="4">
        <f t="shared" si="1284"/>
        <v>9.2074605000000004E-2</v>
      </c>
      <c r="L1173" s="13">
        <f t="shared" si="1285"/>
        <v>0.50933786078098453</v>
      </c>
      <c r="M1173" s="3">
        <f t="shared" ref="M1173" si="1304">AVERAGE(I1173:I1174)</f>
        <v>3.1071295275590546E-2</v>
      </c>
      <c r="N1173" s="3">
        <f t="shared" ref="N1173" si="1305">AVERAGE(J1173:J1174)</f>
        <v>6.319556222440946E-2</v>
      </c>
    </row>
    <row r="1174" spans="1:14" x14ac:dyDescent="0.2">
      <c r="A1174" s="4"/>
      <c r="B1174" s="4">
        <v>100</v>
      </c>
      <c r="C1174" s="4">
        <v>8</v>
      </c>
      <c r="D1174" s="33">
        <v>1.55</v>
      </c>
      <c r="E1174" s="23">
        <v>1.1000000000000001</v>
      </c>
      <c r="F1174" s="23">
        <f t="shared" si="1279"/>
        <v>1.55</v>
      </c>
      <c r="G1174" s="23">
        <f t="shared" si="1280"/>
        <v>1.1000000000000001</v>
      </c>
      <c r="H1174" s="4">
        <f t="shared" si="1281"/>
        <v>3.8630000000000001E-3</v>
      </c>
      <c r="I1174" s="2">
        <f t="shared" si="1282"/>
        <v>3.1071295275590546E-2</v>
      </c>
      <c r="J1174" s="4">
        <f t="shared" si="1283"/>
        <v>6.5387814724409465E-2</v>
      </c>
      <c r="K1174" s="4">
        <f t="shared" si="1284"/>
        <v>9.6459110000000015E-2</v>
      </c>
      <c r="L1174" s="13">
        <f t="shared" si="1285"/>
        <v>0.47518479408658904</v>
      </c>
      <c r="M1174" s="3"/>
      <c r="N1174" s="3"/>
    </row>
    <row r="1175" spans="1:14" x14ac:dyDescent="0.2">
      <c r="A1175" s="4">
        <v>489148</v>
      </c>
      <c r="B1175" s="4">
        <v>100</v>
      </c>
      <c r="C1175" s="4">
        <v>8</v>
      </c>
      <c r="D1175" s="33">
        <v>1.25</v>
      </c>
      <c r="E1175" s="23">
        <v>0.95</v>
      </c>
      <c r="F1175" s="23">
        <f t="shared" si="1279"/>
        <v>1.25</v>
      </c>
      <c r="G1175" s="23">
        <f t="shared" si="1280"/>
        <v>0.95</v>
      </c>
      <c r="H1175" s="4">
        <f t="shared" si="1281"/>
        <v>3.8630000000000001E-3</v>
      </c>
      <c r="I1175" s="2">
        <f t="shared" si="1282"/>
        <v>2.0714196850393704E-2</v>
      </c>
      <c r="J1175" s="4">
        <f t="shared" si="1283"/>
        <v>6.2591398149606292E-2</v>
      </c>
      <c r="K1175" s="4">
        <f t="shared" si="1284"/>
        <v>8.3305594999999996E-2</v>
      </c>
      <c r="L1175" s="13">
        <f t="shared" si="1285"/>
        <v>0.33094318808604534</v>
      </c>
      <c r="M1175" s="3">
        <f t="shared" ref="M1175" si="1306">AVERAGE(I1175:I1176)</f>
        <v>2.2440379921259843E-2</v>
      </c>
      <c r="N1175" s="3">
        <f t="shared" ref="N1175" si="1307">AVERAGE(J1175:J1176)</f>
        <v>5.8672962578740155E-2</v>
      </c>
    </row>
    <row r="1176" spans="1:14" x14ac:dyDescent="0.2">
      <c r="A1176" s="4"/>
      <c r="B1176" s="4">
        <v>100</v>
      </c>
      <c r="C1176" s="4">
        <v>8</v>
      </c>
      <c r="D1176" s="33">
        <v>1.25</v>
      </c>
      <c r="E1176" s="23">
        <v>0.9</v>
      </c>
      <c r="F1176" s="23">
        <f t="shared" si="1279"/>
        <v>1.25</v>
      </c>
      <c r="G1176" s="23">
        <f t="shared" si="1280"/>
        <v>0.9</v>
      </c>
      <c r="H1176" s="4">
        <f t="shared" si="1281"/>
        <v>3.8630000000000001E-3</v>
      </c>
      <c r="I1176" s="2">
        <f t="shared" si="1282"/>
        <v>2.4166562992125985E-2</v>
      </c>
      <c r="J1176" s="4">
        <f t="shared" si="1283"/>
        <v>5.4754527007874018E-2</v>
      </c>
      <c r="K1176" s="4">
        <f t="shared" si="1284"/>
        <v>7.8921089999999999E-2</v>
      </c>
      <c r="L1176" s="13">
        <f t="shared" si="1285"/>
        <v>0.44136191677175285</v>
      </c>
      <c r="M1176" s="3"/>
      <c r="N1176" s="3"/>
    </row>
    <row r="1177" spans="1:14" x14ac:dyDescent="0.2">
      <c r="A1177" s="4">
        <v>489149</v>
      </c>
      <c r="B1177" s="4">
        <v>100</v>
      </c>
      <c r="C1177" s="4">
        <v>8</v>
      </c>
      <c r="D1177" s="33">
        <v>1.55</v>
      </c>
      <c r="E1177" s="23">
        <v>1.1499999999999999</v>
      </c>
      <c r="F1177" s="23">
        <f t="shared" si="1279"/>
        <v>1.55</v>
      </c>
      <c r="G1177" s="23">
        <f t="shared" si="1280"/>
        <v>1.1499999999999999</v>
      </c>
      <c r="H1177" s="4">
        <f t="shared" si="1281"/>
        <v>3.8630000000000001E-3</v>
      </c>
      <c r="I1177" s="2">
        <f t="shared" si="1282"/>
        <v>2.7618929133858276E-2</v>
      </c>
      <c r="J1177" s="4">
        <f t="shared" si="1283"/>
        <v>7.3224685866141725E-2</v>
      </c>
      <c r="K1177" s="4">
        <f t="shared" si="1284"/>
        <v>0.100843615</v>
      </c>
      <c r="L1177" s="13">
        <f t="shared" si="1285"/>
        <v>0.37718057520037734</v>
      </c>
      <c r="M1177" s="3">
        <f t="shared" ref="M1177" si="1308">AVERAGE(I1177:I1178)</f>
        <v>3.1071295275590556E-2</v>
      </c>
      <c r="N1177" s="3">
        <f t="shared" ref="N1177" si="1309">AVERAGE(J1177:J1178)</f>
        <v>7.4156824724409459E-2</v>
      </c>
    </row>
    <row r="1178" spans="1:14" x14ac:dyDescent="0.2">
      <c r="A1178" s="4"/>
      <c r="B1178" s="4">
        <v>100</v>
      </c>
      <c r="C1178" s="4">
        <v>8</v>
      </c>
      <c r="D1178" s="33">
        <v>1.75</v>
      </c>
      <c r="E1178" s="23">
        <v>1.25</v>
      </c>
      <c r="F1178" s="23">
        <f t="shared" si="1279"/>
        <v>1.75</v>
      </c>
      <c r="G1178" s="23">
        <f t="shared" si="1280"/>
        <v>1.25</v>
      </c>
      <c r="H1178" s="4">
        <f t="shared" si="1281"/>
        <v>3.8630000000000001E-3</v>
      </c>
      <c r="I1178" s="2">
        <f t="shared" si="1282"/>
        <v>3.452366141732284E-2</v>
      </c>
      <c r="J1178" s="4">
        <f t="shared" si="1283"/>
        <v>7.5088963582677193E-2</v>
      </c>
      <c r="K1178" s="4">
        <f t="shared" si="1284"/>
        <v>0.10961262500000003</v>
      </c>
      <c r="L1178" s="13">
        <f t="shared" si="1285"/>
        <v>0.45977011494252862</v>
      </c>
      <c r="M1178" s="3"/>
      <c r="N1178" s="3"/>
    </row>
    <row r="1179" spans="1:14" x14ac:dyDescent="0.2">
      <c r="A1179" s="4">
        <v>489150</v>
      </c>
      <c r="B1179" s="4">
        <v>100</v>
      </c>
      <c r="C1179" s="4">
        <v>8</v>
      </c>
      <c r="D1179" s="33">
        <v>2.65</v>
      </c>
      <c r="E1179" s="23">
        <v>1.65</v>
      </c>
      <c r="F1179" s="23">
        <f t="shared" si="1279"/>
        <v>2.65</v>
      </c>
      <c r="G1179" s="23">
        <f t="shared" si="1280"/>
        <v>1.65</v>
      </c>
      <c r="H1179" s="4">
        <f t="shared" si="1281"/>
        <v>3.8630000000000001E-3</v>
      </c>
      <c r="I1179" s="2">
        <f t="shared" si="1282"/>
        <v>6.904732283464568E-2</v>
      </c>
      <c r="J1179" s="4">
        <f t="shared" si="1283"/>
        <v>7.5641342165354328E-2</v>
      </c>
      <c r="K1179" s="4">
        <f t="shared" si="1284"/>
        <v>0.14468866499999999</v>
      </c>
      <c r="L1179" s="13">
        <f t="shared" si="1285"/>
        <v>0.91282519397535389</v>
      </c>
      <c r="M1179" s="3">
        <f t="shared" ref="M1179" si="1310">AVERAGE(I1179:I1180)</f>
        <v>7.2499688976377957E-2</v>
      </c>
      <c r="N1179" s="3">
        <f t="shared" ref="N1179" si="1311">AVERAGE(J1179:J1180)</f>
        <v>8.5342491023622041E-2</v>
      </c>
    </row>
    <row r="1180" spans="1:14" x14ac:dyDescent="0.2">
      <c r="A1180" s="4"/>
      <c r="B1180" s="4">
        <v>100</v>
      </c>
      <c r="C1180" s="4">
        <v>8</v>
      </c>
      <c r="D1180" s="33">
        <v>3.05</v>
      </c>
      <c r="E1180" s="23">
        <v>1.95</v>
      </c>
      <c r="F1180" s="23">
        <f t="shared" si="1279"/>
        <v>3.05</v>
      </c>
      <c r="G1180" s="23">
        <f t="shared" si="1280"/>
        <v>1.95</v>
      </c>
      <c r="H1180" s="4">
        <f t="shared" si="1281"/>
        <v>3.8630000000000001E-3</v>
      </c>
      <c r="I1180" s="2">
        <f t="shared" si="1282"/>
        <v>7.5952055118110234E-2</v>
      </c>
      <c r="J1180" s="4">
        <f t="shared" si="1283"/>
        <v>9.5043639881889769E-2</v>
      </c>
      <c r="K1180" s="4">
        <f t="shared" si="1284"/>
        <v>0.170995695</v>
      </c>
      <c r="L1180" s="13">
        <f t="shared" si="1285"/>
        <v>0.79912822375590264</v>
      </c>
      <c r="M1180" s="3"/>
      <c r="N1180" s="3"/>
    </row>
    <row r="1181" spans="1:14" x14ac:dyDescent="0.2">
      <c r="A1181" s="4">
        <v>489151</v>
      </c>
      <c r="B1181" s="4">
        <v>100</v>
      </c>
      <c r="C1181" s="4">
        <v>8</v>
      </c>
      <c r="D1181" s="33">
        <v>4.8499999999999996</v>
      </c>
      <c r="E1181" s="23">
        <v>2.95</v>
      </c>
      <c r="F1181" s="23">
        <f t="shared" si="1279"/>
        <v>4.8499999999999996</v>
      </c>
      <c r="G1181" s="23">
        <f t="shared" si="1280"/>
        <v>2.95</v>
      </c>
      <c r="H1181" s="4">
        <f t="shared" si="1281"/>
        <v>3.8630000000000001E-3</v>
      </c>
      <c r="I1181" s="2">
        <f t="shared" si="1282"/>
        <v>0.13118991338582675</v>
      </c>
      <c r="J1181" s="4">
        <f t="shared" si="1283"/>
        <v>0.12749588161417333</v>
      </c>
      <c r="K1181" s="4">
        <f t="shared" si="1284"/>
        <v>0.25868579500000011</v>
      </c>
      <c r="L1181" s="13">
        <f t="shared" si="1285"/>
        <v>1.0289737340915235</v>
      </c>
      <c r="M1181" s="3">
        <f t="shared" ref="M1181" si="1312">AVERAGE(I1181:I1182)</f>
        <v>0.12601136417322834</v>
      </c>
      <c r="N1181" s="3">
        <f t="shared" ref="N1181" si="1313">AVERAGE(J1181:J1182)</f>
        <v>0.13486668332677171</v>
      </c>
    </row>
    <row r="1182" spans="1:14" x14ac:dyDescent="0.2">
      <c r="A1182" s="4"/>
      <c r="B1182" s="4">
        <v>100</v>
      </c>
      <c r="C1182" s="4">
        <v>8</v>
      </c>
      <c r="D1182" s="33">
        <v>4.75</v>
      </c>
      <c r="E1182" s="23">
        <v>3</v>
      </c>
      <c r="F1182" s="23">
        <f t="shared" si="1279"/>
        <v>4.75</v>
      </c>
      <c r="G1182" s="23">
        <f t="shared" si="1280"/>
        <v>3</v>
      </c>
      <c r="H1182" s="4">
        <f t="shared" si="1281"/>
        <v>3.8630000000000001E-3</v>
      </c>
      <c r="I1182" s="2">
        <f t="shared" si="1282"/>
        <v>0.12083281496062993</v>
      </c>
      <c r="J1182" s="4">
        <f t="shared" si="1283"/>
        <v>0.14223748503937006</v>
      </c>
      <c r="K1182" s="4">
        <f t="shared" si="1284"/>
        <v>0.26307029999999998</v>
      </c>
      <c r="L1182" s="13">
        <f t="shared" si="1285"/>
        <v>0.84951456310679629</v>
      </c>
      <c r="M1182" s="3"/>
      <c r="N1182" s="3"/>
    </row>
    <row r="1183" spans="1:14" x14ac:dyDescent="0.2">
      <c r="A1183" s="4">
        <v>489152</v>
      </c>
      <c r="B1183" s="4">
        <v>100</v>
      </c>
      <c r="C1183" s="4">
        <v>7</v>
      </c>
      <c r="D1183" s="33">
        <v>3.25</v>
      </c>
      <c r="E1183" s="23">
        <v>1.95</v>
      </c>
      <c r="F1183" s="23">
        <f t="shared" si="1279"/>
        <v>3.25</v>
      </c>
      <c r="G1183" s="23">
        <f t="shared" si="1280"/>
        <v>1.95</v>
      </c>
      <c r="H1183" s="4">
        <f t="shared" si="1281"/>
        <v>9.7450000000000002E-3</v>
      </c>
      <c r="I1183" s="2">
        <f t="shared" si="1282"/>
        <v>0.22643696850393705</v>
      </c>
      <c r="J1183" s="4">
        <f t="shared" si="1283"/>
        <v>0.20492545649606295</v>
      </c>
      <c r="K1183" s="4">
        <f t="shared" si="1284"/>
        <v>0.43136242499999999</v>
      </c>
      <c r="L1183" s="13">
        <f t="shared" si="1285"/>
        <v>1.1049723756906082</v>
      </c>
      <c r="M1183" s="3">
        <f t="shared" ref="M1183" si="1314">AVERAGE(I1183:I1184)</f>
        <v>0.23079152559055122</v>
      </c>
      <c r="N1183" s="3">
        <f t="shared" ref="N1183" si="1315">AVERAGE(J1183:J1184)</f>
        <v>0.20610118690944881</v>
      </c>
    </row>
    <row r="1184" spans="1:14" x14ac:dyDescent="0.2">
      <c r="A1184" s="4"/>
      <c r="B1184" s="4">
        <v>100</v>
      </c>
      <c r="C1184" s="4">
        <v>7</v>
      </c>
      <c r="D1184" s="33">
        <v>3.35</v>
      </c>
      <c r="E1184" s="23">
        <v>2</v>
      </c>
      <c r="F1184" s="23">
        <f t="shared" si="1279"/>
        <v>3.35</v>
      </c>
      <c r="G1184" s="23">
        <f t="shared" si="1280"/>
        <v>2</v>
      </c>
      <c r="H1184" s="4">
        <f t="shared" si="1281"/>
        <v>9.7450000000000002E-3</v>
      </c>
      <c r="I1184" s="2">
        <f t="shared" si="1282"/>
        <v>0.23514608267716539</v>
      </c>
      <c r="J1184" s="4">
        <f t="shared" si="1283"/>
        <v>0.20727691732283468</v>
      </c>
      <c r="K1184" s="4">
        <f t="shared" si="1284"/>
        <v>0.44242300000000007</v>
      </c>
      <c r="L1184" s="13">
        <f t="shared" si="1285"/>
        <v>1.134453781512605</v>
      </c>
      <c r="M1184" s="3"/>
      <c r="N1184" s="3"/>
    </row>
    <row r="1185" spans="1:14" x14ac:dyDescent="0.2">
      <c r="A1185" s="4">
        <v>489153</v>
      </c>
      <c r="B1185" s="4">
        <v>100</v>
      </c>
      <c r="C1185" s="4">
        <v>6</v>
      </c>
      <c r="D1185" s="33">
        <v>2.35</v>
      </c>
      <c r="E1185" s="23">
        <v>1.35</v>
      </c>
      <c r="F1185" s="23">
        <f t="shared" si="1279"/>
        <v>2.35</v>
      </c>
      <c r="G1185" s="23">
        <f t="shared" si="1280"/>
        <v>1.35</v>
      </c>
      <c r="H1185" s="4">
        <f t="shared" si="1281"/>
        <v>3.5767E-2</v>
      </c>
      <c r="I1185" s="2">
        <f t="shared" si="1282"/>
        <v>0.63929992125984259</v>
      </c>
      <c r="J1185" s="4">
        <f t="shared" si="1283"/>
        <v>0.45677979374015754</v>
      </c>
      <c r="K1185" s="4">
        <f t="shared" si="1284"/>
        <v>1.0960797150000001</v>
      </c>
      <c r="L1185" s="13">
        <f t="shared" si="1285"/>
        <v>1.3995801259622114</v>
      </c>
      <c r="M1185" s="3">
        <f t="shared" ref="M1185" si="1316">AVERAGE(I1185:I1186)</f>
        <v>0.65528241929133868</v>
      </c>
      <c r="N1185" s="3">
        <f t="shared" ref="N1185" si="1317">AVERAGE(J1185:J1186)</f>
        <v>0.42049952320866146</v>
      </c>
    </row>
    <row r="1186" spans="1:14" x14ac:dyDescent="0.2">
      <c r="A1186" s="4"/>
      <c r="B1186" s="4">
        <v>100</v>
      </c>
      <c r="C1186" s="4">
        <v>6</v>
      </c>
      <c r="D1186" s="33">
        <v>2.35</v>
      </c>
      <c r="E1186" s="23">
        <v>1.3</v>
      </c>
      <c r="F1186" s="23">
        <f t="shared" si="1279"/>
        <v>2.35</v>
      </c>
      <c r="G1186" s="23">
        <f t="shared" si="1280"/>
        <v>1.3</v>
      </c>
      <c r="H1186" s="4">
        <f t="shared" si="1281"/>
        <v>3.5767E-2</v>
      </c>
      <c r="I1186" s="2">
        <f t="shared" si="1282"/>
        <v>0.67126491732283466</v>
      </c>
      <c r="J1186" s="4">
        <f t="shared" si="1283"/>
        <v>0.38421925267716533</v>
      </c>
      <c r="K1186" s="4">
        <f t="shared" si="1284"/>
        <v>1.0554841699999999</v>
      </c>
      <c r="L1186" s="13">
        <f t="shared" si="1285"/>
        <v>1.7470881863560734</v>
      </c>
      <c r="M1186" s="3"/>
      <c r="N1186" s="3"/>
    </row>
    <row r="1187" spans="1:14" x14ac:dyDescent="0.2">
      <c r="A1187" s="4">
        <v>489154</v>
      </c>
      <c r="B1187" s="4">
        <v>100</v>
      </c>
      <c r="C1187" s="4">
        <v>7</v>
      </c>
      <c r="D1187" s="33">
        <v>6.5</v>
      </c>
      <c r="E1187" s="23">
        <v>3.5</v>
      </c>
      <c r="F1187" s="23">
        <f t="shared" si="1279"/>
        <v>6.5</v>
      </c>
      <c r="G1187" s="23">
        <f t="shared" si="1280"/>
        <v>3.5</v>
      </c>
      <c r="H1187" s="4">
        <f t="shared" si="1281"/>
        <v>9.7450000000000002E-3</v>
      </c>
      <c r="I1187" s="2">
        <f t="shared" si="1282"/>
        <v>0.52254685039370086</v>
      </c>
      <c r="J1187" s="4">
        <f t="shared" si="1283"/>
        <v>0.25169339960629922</v>
      </c>
      <c r="K1187" s="4">
        <f t="shared" si="1284"/>
        <v>0.77424025000000007</v>
      </c>
      <c r="L1187" s="13">
        <f t="shared" si="1285"/>
        <v>2.0761245674740487</v>
      </c>
      <c r="M1187" s="3">
        <f t="shared" ref="M1187" si="1318">AVERAGE(I1187:I1188)</f>
        <v>0.52254685039370097</v>
      </c>
      <c r="N1187" s="3">
        <f t="shared" ref="N1187" si="1319">AVERAGE(J1187:J1188)</f>
        <v>0.26828426210629919</v>
      </c>
    </row>
    <row r="1188" spans="1:14" x14ac:dyDescent="0.2">
      <c r="A1188" s="4"/>
      <c r="B1188" s="4">
        <v>100</v>
      </c>
      <c r="C1188" s="4">
        <v>7</v>
      </c>
      <c r="D1188" s="33">
        <v>6.65</v>
      </c>
      <c r="E1188" s="23">
        <v>3.65</v>
      </c>
      <c r="F1188" s="23">
        <f t="shared" si="1279"/>
        <v>6.65</v>
      </c>
      <c r="G1188" s="23">
        <f t="shared" si="1280"/>
        <v>3.65</v>
      </c>
      <c r="H1188" s="4">
        <f t="shared" si="1281"/>
        <v>9.7450000000000002E-3</v>
      </c>
      <c r="I1188" s="2">
        <f t="shared" si="1282"/>
        <v>0.52254685039370097</v>
      </c>
      <c r="J1188" s="4">
        <f t="shared" si="1283"/>
        <v>0.28487512460629921</v>
      </c>
      <c r="K1188" s="4">
        <f t="shared" si="1284"/>
        <v>0.80742197500000024</v>
      </c>
      <c r="L1188" s="13">
        <f t="shared" si="1285"/>
        <v>1.8343014368694595</v>
      </c>
      <c r="M1188" s="3"/>
      <c r="N1188" s="3"/>
    </row>
    <row r="1189" spans="1:14" x14ac:dyDescent="0.2">
      <c r="A1189" s="4">
        <v>489155</v>
      </c>
      <c r="B1189" s="4">
        <v>100</v>
      </c>
      <c r="C1189" s="4">
        <v>7</v>
      </c>
      <c r="D1189" s="33">
        <v>7.25</v>
      </c>
      <c r="E1189" s="23">
        <v>3.85</v>
      </c>
      <c r="F1189" s="23">
        <f t="shared" si="1279"/>
        <v>7.25</v>
      </c>
      <c r="G1189" s="23">
        <f t="shared" si="1280"/>
        <v>3.85</v>
      </c>
      <c r="H1189" s="4">
        <f t="shared" si="1281"/>
        <v>9.7450000000000002E-3</v>
      </c>
      <c r="I1189" s="2">
        <f t="shared" si="1282"/>
        <v>0.59221976377952756</v>
      </c>
      <c r="J1189" s="4">
        <f t="shared" si="1283"/>
        <v>0.25944451122047246</v>
      </c>
      <c r="K1189" s="4">
        <f t="shared" si="1284"/>
        <v>0.85166427500000008</v>
      </c>
      <c r="L1189" s="13">
        <f t="shared" si="1285"/>
        <v>2.2826451829472978</v>
      </c>
      <c r="M1189" s="3">
        <f t="shared" ref="M1189" si="1320">AVERAGE(I1189:I1190)</f>
        <v>0.6052834350393701</v>
      </c>
      <c r="N1189" s="3">
        <f t="shared" ref="N1189" si="1321">AVERAGE(J1189:J1190)</f>
        <v>0.27956256496063003</v>
      </c>
    </row>
    <row r="1190" spans="1:14" x14ac:dyDescent="0.2">
      <c r="A1190" s="4"/>
      <c r="B1190" s="4">
        <v>100</v>
      </c>
      <c r="C1190" s="4">
        <v>7</v>
      </c>
      <c r="D1190" s="33">
        <v>7.7</v>
      </c>
      <c r="E1190" s="23">
        <v>4.1500000000000004</v>
      </c>
      <c r="F1190" s="23">
        <f t="shared" si="1279"/>
        <v>7.7</v>
      </c>
      <c r="G1190" s="23">
        <f t="shared" si="1280"/>
        <v>4.1500000000000004</v>
      </c>
      <c r="H1190" s="4">
        <f t="shared" si="1281"/>
        <v>9.7450000000000002E-3</v>
      </c>
      <c r="I1190" s="2">
        <f t="shared" si="1282"/>
        <v>0.61834710629921263</v>
      </c>
      <c r="J1190" s="4">
        <f t="shared" si="1283"/>
        <v>0.29968061870078766</v>
      </c>
      <c r="K1190" s="4">
        <f t="shared" si="1284"/>
        <v>0.91802772500000029</v>
      </c>
      <c r="L1190" s="13">
        <f t="shared" si="1285"/>
        <v>2.0633536762569005</v>
      </c>
      <c r="M1190" s="3"/>
      <c r="N1190" s="3"/>
    </row>
    <row r="1191" spans="1:14" x14ac:dyDescent="0.2">
      <c r="A1191" s="4">
        <v>489159</v>
      </c>
      <c r="B1191" s="4">
        <v>100</v>
      </c>
      <c r="C1191" s="4">
        <v>8</v>
      </c>
      <c r="D1191" s="33">
        <v>3.75</v>
      </c>
      <c r="E1191" s="23">
        <v>2.4500000000000002</v>
      </c>
      <c r="F1191" s="23">
        <f t="shared" si="1279"/>
        <v>3.75</v>
      </c>
      <c r="G1191" s="23">
        <f t="shared" si="1280"/>
        <v>2.4500000000000002</v>
      </c>
      <c r="H1191" s="4">
        <f t="shared" si="1281"/>
        <v>3.8630000000000001E-3</v>
      </c>
      <c r="I1191" s="2">
        <f t="shared" si="1282"/>
        <v>8.976151968503937E-2</v>
      </c>
      <c r="J1191" s="4">
        <f t="shared" si="1283"/>
        <v>0.12507922531496071</v>
      </c>
      <c r="K1191" s="4">
        <f t="shared" si="1284"/>
        <v>0.21484074500000008</v>
      </c>
      <c r="L1191" s="13">
        <f t="shared" si="1285"/>
        <v>0.71763731714049084</v>
      </c>
      <c r="M1191" s="3">
        <f t="shared" ref="M1191" si="1322">AVERAGE(I1191:I1192)</f>
        <v>8.976151968503937E-2</v>
      </c>
      <c r="N1191" s="3">
        <f t="shared" ref="N1191" si="1323">AVERAGE(J1191:J1192)</f>
        <v>0.12288697281496067</v>
      </c>
    </row>
    <row r="1192" spans="1:14" x14ac:dyDescent="0.2">
      <c r="A1192" s="4"/>
      <c r="B1192" s="4">
        <v>100</v>
      </c>
      <c r="C1192" s="4">
        <v>8</v>
      </c>
      <c r="D1192" s="33">
        <v>3.7</v>
      </c>
      <c r="E1192" s="23">
        <v>2.4</v>
      </c>
      <c r="F1192" s="23">
        <f t="shared" si="1279"/>
        <v>3.7</v>
      </c>
      <c r="G1192" s="23">
        <f t="shared" si="1280"/>
        <v>2.4</v>
      </c>
      <c r="H1192" s="4">
        <f t="shared" si="1281"/>
        <v>3.8630000000000001E-3</v>
      </c>
      <c r="I1192" s="2">
        <f t="shared" si="1282"/>
        <v>8.9761519685039384E-2</v>
      </c>
      <c r="J1192" s="4">
        <f t="shared" si="1283"/>
        <v>0.12069472031496062</v>
      </c>
      <c r="K1192" s="4">
        <f t="shared" si="1284"/>
        <v>0.21045624000000002</v>
      </c>
      <c r="L1192" s="13">
        <f t="shared" si="1285"/>
        <v>0.74370709382151046</v>
      </c>
      <c r="M1192" s="3"/>
      <c r="N1192" s="3"/>
    </row>
    <row r="1193" spans="1:14" x14ac:dyDescent="0.2">
      <c r="A1193" s="4">
        <v>489160</v>
      </c>
      <c r="B1193" s="4">
        <v>100</v>
      </c>
      <c r="C1193" s="4">
        <v>8</v>
      </c>
      <c r="D1193" s="33">
        <v>5.7</v>
      </c>
      <c r="E1193" s="23">
        <v>3.55</v>
      </c>
      <c r="F1193" s="23">
        <f t="shared" si="1279"/>
        <v>5.7</v>
      </c>
      <c r="G1193" s="23">
        <f t="shared" si="1280"/>
        <v>3.55</v>
      </c>
      <c r="H1193" s="4">
        <f t="shared" si="1281"/>
        <v>3.8630000000000001E-3</v>
      </c>
      <c r="I1193" s="2">
        <f t="shared" si="1282"/>
        <v>0.14845174409448822</v>
      </c>
      <c r="J1193" s="4">
        <f t="shared" si="1283"/>
        <v>0.16284811090551177</v>
      </c>
      <c r="K1193" s="4">
        <f t="shared" si="1284"/>
        <v>0.31129985500000001</v>
      </c>
      <c r="L1193" s="13">
        <f t="shared" si="1285"/>
        <v>0.91159635361458602</v>
      </c>
      <c r="M1193" s="3">
        <f t="shared" ref="M1193" si="1324">AVERAGE(I1193:I1194)</f>
        <v>0.15535647637795275</v>
      </c>
      <c r="N1193" s="3">
        <f t="shared" ref="N1193" si="1325">AVERAGE(J1193:J1194)</f>
        <v>0.16252013612204724</v>
      </c>
    </row>
    <row r="1194" spans="1:14" x14ac:dyDescent="0.2">
      <c r="A1194" s="4"/>
      <c r="B1194" s="4">
        <v>100</v>
      </c>
      <c r="C1194" s="4">
        <v>8</v>
      </c>
      <c r="D1194" s="22">
        <v>6.05</v>
      </c>
      <c r="E1194" s="23">
        <v>3.7</v>
      </c>
      <c r="F1194" s="23">
        <f t="shared" si="1279"/>
        <v>6.05</v>
      </c>
      <c r="G1194" s="23">
        <f t="shared" si="1280"/>
        <v>3.7</v>
      </c>
      <c r="H1194" s="4">
        <f t="shared" si="1281"/>
        <v>3.8630000000000001E-3</v>
      </c>
      <c r="I1194" s="2">
        <f t="shared" si="1282"/>
        <v>0.1622612086614173</v>
      </c>
      <c r="J1194" s="4">
        <f t="shared" si="1283"/>
        <v>0.16219216133858275</v>
      </c>
      <c r="K1194" s="4">
        <f t="shared" si="1284"/>
        <v>0.32445337000000007</v>
      </c>
      <c r="L1194" s="13">
        <f t="shared" si="1285"/>
        <v>1.0004257130693908</v>
      </c>
      <c r="M1194" s="3"/>
      <c r="N1194" s="3"/>
    </row>
    <row r="1195" spans="1:14" x14ac:dyDescent="0.2">
      <c r="A1195" s="4">
        <v>489161</v>
      </c>
      <c r="B1195" s="4">
        <v>100</v>
      </c>
      <c r="C1195" s="4">
        <v>7</v>
      </c>
      <c r="D1195" s="33">
        <v>3</v>
      </c>
      <c r="E1195" s="23">
        <v>1.75</v>
      </c>
      <c r="F1195" s="23">
        <f t="shared" si="1279"/>
        <v>3</v>
      </c>
      <c r="G1195" s="23">
        <f t="shared" si="1280"/>
        <v>1.75</v>
      </c>
      <c r="H1195" s="4">
        <f t="shared" si="1281"/>
        <v>9.7450000000000002E-3</v>
      </c>
      <c r="I1195" s="2">
        <f t="shared" si="1282"/>
        <v>0.21772785433070865</v>
      </c>
      <c r="J1195" s="4">
        <f t="shared" si="1283"/>
        <v>0.16939227066929136</v>
      </c>
      <c r="K1195" s="4">
        <f t="shared" si="1284"/>
        <v>0.38712012500000004</v>
      </c>
      <c r="L1195" s="13">
        <f t="shared" si="1285"/>
        <v>1.2853470437017993</v>
      </c>
      <c r="M1195" s="3">
        <f t="shared" ref="M1195" si="1326">AVERAGE(I1195:I1196)</f>
        <v>0.21337329724409448</v>
      </c>
      <c r="N1195" s="3">
        <f t="shared" ref="N1195" si="1327">AVERAGE(J1195:J1196)</f>
        <v>0.18480740275590557</v>
      </c>
    </row>
    <row r="1196" spans="1:14" x14ac:dyDescent="0.2">
      <c r="A1196" s="4"/>
      <c r="B1196" s="4">
        <v>100</v>
      </c>
      <c r="C1196" s="4">
        <v>7</v>
      </c>
      <c r="D1196" s="33">
        <v>3.05</v>
      </c>
      <c r="E1196" s="23">
        <v>1.85</v>
      </c>
      <c r="F1196" s="23">
        <f t="shared" si="1279"/>
        <v>3.05</v>
      </c>
      <c r="G1196" s="23">
        <f t="shared" si="1280"/>
        <v>1.85</v>
      </c>
      <c r="H1196" s="4">
        <f t="shared" si="1281"/>
        <v>9.7450000000000002E-3</v>
      </c>
      <c r="I1196" s="2">
        <f t="shared" si="1282"/>
        <v>0.20901874015748029</v>
      </c>
      <c r="J1196" s="4">
        <f t="shared" si="1283"/>
        <v>0.20022253484251981</v>
      </c>
      <c r="K1196" s="4">
        <f t="shared" si="1284"/>
        <v>0.40924127500000007</v>
      </c>
      <c r="L1196" s="13">
        <f t="shared" si="1285"/>
        <v>1.0439321444106124</v>
      </c>
      <c r="M1196" s="3"/>
      <c r="N1196" s="3"/>
    </row>
    <row r="1197" spans="1:14" x14ac:dyDescent="0.2">
      <c r="A1197" s="4">
        <v>489162</v>
      </c>
      <c r="B1197" s="4">
        <v>100</v>
      </c>
      <c r="C1197" s="4">
        <v>7</v>
      </c>
      <c r="D1197" s="33">
        <v>2.95</v>
      </c>
      <c r="E1197" s="23">
        <v>1.75</v>
      </c>
      <c r="F1197" s="23">
        <f t="shared" si="1279"/>
        <v>2.95</v>
      </c>
      <c r="G1197" s="23">
        <f t="shared" si="1280"/>
        <v>1.75</v>
      </c>
      <c r="H1197" s="4">
        <f t="shared" si="1281"/>
        <v>9.7450000000000002E-3</v>
      </c>
      <c r="I1197" s="2">
        <f t="shared" si="1282"/>
        <v>0.20901874015748034</v>
      </c>
      <c r="J1197" s="4">
        <f t="shared" si="1283"/>
        <v>0.17810138484251969</v>
      </c>
      <c r="K1197" s="4">
        <f t="shared" si="1284"/>
        <v>0.38712012500000004</v>
      </c>
      <c r="L1197" s="13">
        <f t="shared" si="1285"/>
        <v>1.1735941320293399</v>
      </c>
      <c r="M1197" s="3">
        <f t="shared" ref="M1197" si="1328">AVERAGE(I1197:I1198)</f>
        <v>0.21337329724409448</v>
      </c>
      <c r="N1197" s="3">
        <f t="shared" ref="N1197" si="1329">AVERAGE(J1197:J1198)</f>
        <v>0.16268625275590551</v>
      </c>
    </row>
    <row r="1198" spans="1:14" x14ac:dyDescent="0.2">
      <c r="A1198" s="4"/>
      <c r="B1198" s="4">
        <v>100</v>
      </c>
      <c r="C1198" s="4">
        <v>7</v>
      </c>
      <c r="D1198" s="33">
        <v>2.9</v>
      </c>
      <c r="E1198" s="23">
        <v>1.65</v>
      </c>
      <c r="F1198" s="23">
        <f t="shared" si="1279"/>
        <v>2.9</v>
      </c>
      <c r="G1198" s="23">
        <f t="shared" si="1280"/>
        <v>1.65</v>
      </c>
      <c r="H1198" s="4">
        <f t="shared" si="1281"/>
        <v>9.7450000000000002E-3</v>
      </c>
      <c r="I1198" s="2">
        <f t="shared" si="1282"/>
        <v>0.21772785433070865</v>
      </c>
      <c r="J1198" s="4">
        <f t="shared" si="1283"/>
        <v>0.14727112066929132</v>
      </c>
      <c r="K1198" s="4">
        <f t="shared" si="1284"/>
        <v>0.364998975</v>
      </c>
      <c r="L1198" s="13">
        <f t="shared" si="1285"/>
        <v>1.4784151389710232</v>
      </c>
      <c r="M1198" s="3"/>
      <c r="N1198" s="3"/>
    </row>
    <row r="1199" spans="1:14" x14ac:dyDescent="0.2">
      <c r="A1199" s="4">
        <v>489163</v>
      </c>
      <c r="B1199" s="4">
        <v>100</v>
      </c>
      <c r="C1199" s="4">
        <v>7</v>
      </c>
      <c r="D1199" s="33">
        <v>3.5</v>
      </c>
      <c r="E1199" s="23">
        <v>2.15</v>
      </c>
      <c r="F1199" s="23">
        <f t="shared" si="1279"/>
        <v>3.5</v>
      </c>
      <c r="G1199" s="23">
        <f t="shared" si="1280"/>
        <v>2.15</v>
      </c>
      <c r="H1199" s="4">
        <f t="shared" si="1281"/>
        <v>9.7450000000000002E-3</v>
      </c>
      <c r="I1199" s="2">
        <f t="shared" si="1282"/>
        <v>0.23514608267716539</v>
      </c>
      <c r="J1199" s="4">
        <f t="shared" si="1283"/>
        <v>0.24045864232283468</v>
      </c>
      <c r="K1199" s="4">
        <f t="shared" si="1284"/>
        <v>0.47560472500000006</v>
      </c>
      <c r="L1199" s="13">
        <f t="shared" si="1285"/>
        <v>0.97790655559579864</v>
      </c>
      <c r="M1199" s="3">
        <f t="shared" ref="M1199" si="1330">AVERAGE(I1199:I1200)</f>
        <v>0.21337329724409454</v>
      </c>
      <c r="N1199" s="3">
        <f t="shared" ref="N1199" si="1331">AVERAGE(J1199:J1200)</f>
        <v>0.27329200275590548</v>
      </c>
    </row>
    <row r="1200" spans="1:14" x14ac:dyDescent="0.2">
      <c r="A1200" s="4"/>
      <c r="B1200" s="4">
        <v>100</v>
      </c>
      <c r="C1200" s="4">
        <v>7</v>
      </c>
      <c r="D1200" s="23">
        <v>3.35</v>
      </c>
      <c r="E1200" s="23">
        <v>2.25</v>
      </c>
      <c r="F1200" s="23">
        <f t="shared" si="1279"/>
        <v>3.35</v>
      </c>
      <c r="G1200" s="23">
        <f t="shared" si="1280"/>
        <v>2.25</v>
      </c>
      <c r="H1200" s="4">
        <f t="shared" si="1281"/>
        <v>9.7450000000000002E-3</v>
      </c>
      <c r="I1200" s="2">
        <f t="shared" si="1282"/>
        <v>0.19160051181102367</v>
      </c>
      <c r="J1200" s="4">
        <f t="shared" si="1283"/>
        <v>0.30612536318897632</v>
      </c>
      <c r="K1200" s="4">
        <f t="shared" si="1284"/>
        <v>0.49772587499999998</v>
      </c>
      <c r="L1200" s="13">
        <f t="shared" si="1285"/>
        <v>0.62588904694167879</v>
      </c>
      <c r="M1200" s="3"/>
      <c r="N1200" s="3"/>
    </row>
    <row r="1201" spans="1:14" x14ac:dyDescent="0.2">
      <c r="A1201" s="4">
        <v>489164</v>
      </c>
      <c r="B1201" s="4">
        <v>100</v>
      </c>
      <c r="C1201" s="4">
        <v>7</v>
      </c>
      <c r="D1201" s="23">
        <v>3.95</v>
      </c>
      <c r="E1201" s="23">
        <v>2.6</v>
      </c>
      <c r="F1201" s="23">
        <f t="shared" si="1279"/>
        <v>3.95</v>
      </c>
      <c r="G1201" s="23">
        <f t="shared" si="1280"/>
        <v>2.6</v>
      </c>
      <c r="H1201" s="4">
        <f t="shared" si="1281"/>
        <v>9.7450000000000002E-3</v>
      </c>
      <c r="I1201" s="2">
        <f t="shared" si="1282"/>
        <v>0.23514608267716539</v>
      </c>
      <c r="J1201" s="4">
        <f t="shared" si="1283"/>
        <v>0.34000381732283458</v>
      </c>
      <c r="K1201" s="4">
        <f t="shared" si="1284"/>
        <v>0.57514989999999999</v>
      </c>
      <c r="L1201" s="13">
        <f t="shared" si="1285"/>
        <v>0.69159836065573799</v>
      </c>
      <c r="M1201" s="3">
        <f t="shared" ref="M1201" si="1332">AVERAGE(I1201:I1202)</f>
        <v>0.23950063976377955</v>
      </c>
      <c r="N1201" s="3">
        <f t="shared" ref="N1201" si="1333">AVERAGE(J1201:J1202)</f>
        <v>0.29693724773622043</v>
      </c>
    </row>
    <row r="1202" spans="1:14" x14ac:dyDescent="0.2">
      <c r="A1202" s="4"/>
      <c r="B1202" s="4">
        <v>100</v>
      </c>
      <c r="C1202" s="4">
        <v>7</v>
      </c>
      <c r="D1202" s="23">
        <v>3.65</v>
      </c>
      <c r="E1202" s="23">
        <v>2.25</v>
      </c>
      <c r="F1202" s="23">
        <f t="shared" si="1279"/>
        <v>3.65</v>
      </c>
      <c r="G1202" s="23">
        <f t="shared" si="1280"/>
        <v>2.25</v>
      </c>
      <c r="H1202" s="4">
        <f t="shared" si="1281"/>
        <v>9.7450000000000002E-3</v>
      </c>
      <c r="I1202" s="2">
        <f t="shared" si="1282"/>
        <v>0.2438551968503937</v>
      </c>
      <c r="J1202" s="4">
        <f t="shared" si="1283"/>
        <v>0.25387067814960623</v>
      </c>
      <c r="K1202" s="4">
        <f t="shared" si="1284"/>
        <v>0.49772587499999993</v>
      </c>
      <c r="L1202" s="13">
        <f t="shared" si="1285"/>
        <v>0.96054888507718716</v>
      </c>
      <c r="M1202" s="3"/>
      <c r="N1202" s="3"/>
    </row>
    <row r="1203" spans="1:14" x14ac:dyDescent="0.2">
      <c r="A1203" s="4">
        <v>489165</v>
      </c>
      <c r="B1203" s="4">
        <v>100</v>
      </c>
      <c r="C1203" s="4">
        <v>7</v>
      </c>
      <c r="D1203" s="23">
        <v>8</v>
      </c>
      <c r="E1203" s="23">
        <v>4.4000000000000004</v>
      </c>
      <c r="F1203" s="23">
        <f t="shared" si="1279"/>
        <v>8</v>
      </c>
      <c r="G1203" s="23">
        <f t="shared" si="1280"/>
        <v>4.4000000000000004</v>
      </c>
      <c r="H1203" s="4">
        <f t="shared" si="1281"/>
        <v>9.7450000000000002E-3</v>
      </c>
      <c r="I1203" s="2">
        <f t="shared" si="1282"/>
        <v>0.62705622047244081</v>
      </c>
      <c r="J1203" s="4">
        <f t="shared" si="1283"/>
        <v>0.34627437952755924</v>
      </c>
      <c r="K1203" s="4">
        <f t="shared" si="1284"/>
        <v>0.97333060000000005</v>
      </c>
      <c r="L1203" s="13">
        <f t="shared" si="1285"/>
        <v>1.8108651911468798</v>
      </c>
      <c r="M1203" s="3">
        <f t="shared" ref="M1203" si="1334">AVERAGE(I1203:I1204)</f>
        <v>0.61834710629921252</v>
      </c>
      <c r="N1203" s="3">
        <f t="shared" ref="N1203" si="1335">AVERAGE(J1203:J1204)</f>
        <v>0.34392291870078739</v>
      </c>
    </row>
    <row r="1204" spans="1:14" x14ac:dyDescent="0.2">
      <c r="A1204" s="4"/>
      <c r="B1204" s="4">
        <v>100</v>
      </c>
      <c r="C1204" s="4">
        <v>7</v>
      </c>
      <c r="D1204" s="23">
        <v>7.8</v>
      </c>
      <c r="E1204" s="23">
        <v>4.3</v>
      </c>
      <c r="F1204" s="23">
        <f t="shared" si="1279"/>
        <v>7.8</v>
      </c>
      <c r="G1204" s="23">
        <f t="shared" si="1280"/>
        <v>4.3</v>
      </c>
      <c r="H1204" s="4">
        <f t="shared" si="1281"/>
        <v>9.7450000000000002E-3</v>
      </c>
      <c r="I1204" s="2">
        <f t="shared" si="1282"/>
        <v>0.60963799212598435</v>
      </c>
      <c r="J1204" s="4">
        <f t="shared" si="1283"/>
        <v>0.3415714578740156</v>
      </c>
      <c r="K1204" s="4">
        <f t="shared" si="1284"/>
        <v>0.9512094499999999</v>
      </c>
      <c r="L1204" s="13">
        <f t="shared" si="1285"/>
        <v>1.7848036715961255</v>
      </c>
      <c r="M1204" s="3"/>
      <c r="N1204" s="3"/>
    </row>
    <row r="1205" spans="1:14" x14ac:dyDescent="0.2">
      <c r="A1205" s="4">
        <v>489166</v>
      </c>
      <c r="B1205" s="4">
        <v>100</v>
      </c>
      <c r="C1205" s="4">
        <v>6</v>
      </c>
      <c r="D1205" s="23">
        <v>2.5499999999999998</v>
      </c>
      <c r="E1205" s="23">
        <v>1.4</v>
      </c>
      <c r="F1205" s="23">
        <f t="shared" si="1279"/>
        <v>2.5499999999999998</v>
      </c>
      <c r="G1205" s="23">
        <f t="shared" si="1280"/>
        <v>1.4</v>
      </c>
      <c r="H1205" s="4">
        <f t="shared" si="1281"/>
        <v>3.5767E-2</v>
      </c>
      <c r="I1205" s="2">
        <f t="shared" si="1282"/>
        <v>0.73519490944881893</v>
      </c>
      <c r="J1205" s="4">
        <f t="shared" si="1283"/>
        <v>0.40148035055118131</v>
      </c>
      <c r="K1205" s="4">
        <f t="shared" si="1284"/>
        <v>1.1366752600000003</v>
      </c>
      <c r="L1205" s="13">
        <f t="shared" si="1285"/>
        <v>1.8312101910828018</v>
      </c>
      <c r="M1205" s="3">
        <f t="shared" ref="M1205" si="1336">AVERAGE(I1205:I1206)</f>
        <v>0.75117740748031503</v>
      </c>
      <c r="N1205" s="3">
        <f t="shared" ref="N1205" si="1337">AVERAGE(J1205:J1206)</f>
        <v>0.3854978525196851</v>
      </c>
    </row>
    <row r="1206" spans="1:14" x14ac:dyDescent="0.2">
      <c r="A1206" s="4"/>
      <c r="B1206" s="4">
        <v>100</v>
      </c>
      <c r="C1206" s="4">
        <v>6</v>
      </c>
      <c r="D1206" s="23">
        <v>2.6</v>
      </c>
      <c r="E1206" s="23">
        <v>1.4</v>
      </c>
      <c r="F1206" s="23">
        <f t="shared" si="1279"/>
        <v>2.6</v>
      </c>
      <c r="G1206" s="23">
        <f t="shared" si="1280"/>
        <v>1.4</v>
      </c>
      <c r="H1206" s="4">
        <f t="shared" si="1281"/>
        <v>3.5767E-2</v>
      </c>
      <c r="I1206" s="2">
        <f t="shared" si="1282"/>
        <v>0.76715990551181112</v>
      </c>
      <c r="J1206" s="4">
        <f t="shared" si="1283"/>
        <v>0.3695153544881889</v>
      </c>
      <c r="K1206" s="4">
        <f t="shared" si="1284"/>
        <v>1.1366752600000001</v>
      </c>
      <c r="L1206" s="13">
        <f t="shared" si="1285"/>
        <v>2.0761245674740492</v>
      </c>
      <c r="M1206" s="3"/>
      <c r="N1206" s="3"/>
    </row>
    <row r="1207" spans="1:14" x14ac:dyDescent="0.2">
      <c r="A1207" s="4">
        <v>489167</v>
      </c>
      <c r="B1207" s="4">
        <v>100</v>
      </c>
      <c r="C1207" s="4">
        <v>6</v>
      </c>
      <c r="D1207" s="23">
        <v>2.5</v>
      </c>
      <c r="E1207" s="23">
        <v>1.3</v>
      </c>
      <c r="F1207" s="23">
        <f t="shared" si="1279"/>
        <v>2.5</v>
      </c>
      <c r="G1207" s="23">
        <f t="shared" si="1280"/>
        <v>1.3</v>
      </c>
      <c r="H1207" s="4">
        <f t="shared" si="1281"/>
        <v>3.5767E-2</v>
      </c>
      <c r="I1207" s="2">
        <f t="shared" si="1282"/>
        <v>0.7671599055118109</v>
      </c>
      <c r="J1207" s="4">
        <f t="shared" si="1283"/>
        <v>0.28832426448818893</v>
      </c>
      <c r="K1207" s="4">
        <f t="shared" si="1284"/>
        <v>1.0554841699999997</v>
      </c>
      <c r="L1207" s="13">
        <f t="shared" si="1285"/>
        <v>2.6607538802660753</v>
      </c>
      <c r="M1207" s="3">
        <f t="shared" ref="M1207" si="1338">AVERAGE(I1207:I1208)</f>
        <v>0.75117740748031492</v>
      </c>
      <c r="N1207" s="3">
        <f t="shared" ref="N1207" si="1339">AVERAGE(J1207:J1208)</f>
        <v>0.30430676251968503</v>
      </c>
    </row>
    <row r="1208" spans="1:14" x14ac:dyDescent="0.2">
      <c r="A1208" s="4"/>
      <c r="B1208" s="4">
        <v>100</v>
      </c>
      <c r="C1208" s="4">
        <v>6</v>
      </c>
      <c r="D1208" s="23">
        <v>2.4500000000000002</v>
      </c>
      <c r="E1208" s="23">
        <v>1.3</v>
      </c>
      <c r="F1208" s="23">
        <f t="shared" si="1279"/>
        <v>2.4500000000000002</v>
      </c>
      <c r="G1208" s="23">
        <f t="shared" si="1280"/>
        <v>1.3</v>
      </c>
      <c r="H1208" s="4">
        <f t="shared" si="1281"/>
        <v>3.5767E-2</v>
      </c>
      <c r="I1208" s="2">
        <f t="shared" si="1282"/>
        <v>0.73519490944881893</v>
      </c>
      <c r="J1208" s="4">
        <f t="shared" si="1283"/>
        <v>0.32028926055118107</v>
      </c>
      <c r="K1208" s="4">
        <f t="shared" si="1284"/>
        <v>1.0554841699999999</v>
      </c>
      <c r="L1208" s="13">
        <f t="shared" si="1285"/>
        <v>2.2954091816367268</v>
      </c>
      <c r="M1208" s="3"/>
      <c r="N1208" s="3"/>
    </row>
    <row r="1209" spans="1:14" x14ac:dyDescent="0.2">
      <c r="A1209" s="4">
        <v>489172</v>
      </c>
      <c r="B1209" s="4">
        <v>100</v>
      </c>
      <c r="C1209" s="4">
        <v>8</v>
      </c>
      <c r="D1209" s="23">
        <v>2.5499999999999998</v>
      </c>
      <c r="E1209" s="23">
        <v>1.6</v>
      </c>
      <c r="F1209" s="23">
        <f t="shared" si="1279"/>
        <v>2.5499999999999998</v>
      </c>
      <c r="G1209" s="23">
        <f t="shared" si="1280"/>
        <v>1.6</v>
      </c>
      <c r="H1209" s="4">
        <f t="shared" si="1281"/>
        <v>3.8630000000000001E-3</v>
      </c>
      <c r="I1209" s="2">
        <f t="shared" si="1282"/>
        <v>6.5594956692913375E-2</v>
      </c>
      <c r="J1209" s="4">
        <f t="shared" si="1283"/>
        <v>7.4709203307086677E-2</v>
      </c>
      <c r="K1209" s="4">
        <f t="shared" si="1284"/>
        <v>0.14030416000000007</v>
      </c>
      <c r="L1209" s="13">
        <f t="shared" si="1285"/>
        <v>0.8780036968576701</v>
      </c>
      <c r="M1209" s="3">
        <f t="shared" ref="M1209" si="1340">AVERAGE(I1209:I1210)</f>
        <v>6.3868773622047237E-2</v>
      </c>
      <c r="N1209" s="3">
        <f t="shared" ref="N1209" si="1341">AVERAGE(J1209:J1210)</f>
        <v>8.0819891377952799E-2</v>
      </c>
    </row>
    <row r="1210" spans="1:14" x14ac:dyDescent="0.2">
      <c r="A1210" s="4"/>
      <c r="B1210" s="4">
        <v>100</v>
      </c>
      <c r="C1210" s="4">
        <v>8</v>
      </c>
      <c r="D1210" s="23">
        <v>2.6</v>
      </c>
      <c r="E1210" s="23">
        <v>1.7</v>
      </c>
      <c r="F1210" s="23">
        <f t="shared" si="1279"/>
        <v>2.6</v>
      </c>
      <c r="G1210" s="23">
        <f t="shared" si="1280"/>
        <v>1.7</v>
      </c>
      <c r="H1210" s="4">
        <f t="shared" si="1281"/>
        <v>3.8630000000000001E-3</v>
      </c>
      <c r="I1210" s="2">
        <f t="shared" si="1282"/>
        <v>6.2142590551181112E-2</v>
      </c>
      <c r="J1210" s="4">
        <f t="shared" si="1283"/>
        <v>8.693057944881892E-2</v>
      </c>
      <c r="K1210" s="4">
        <f t="shared" si="1284"/>
        <v>0.14907317000000003</v>
      </c>
      <c r="L1210" s="13">
        <f t="shared" si="1285"/>
        <v>0.71485305798252574</v>
      </c>
      <c r="M1210" s="3"/>
      <c r="N1210" s="3"/>
    </row>
    <row r="1211" spans="1:14" x14ac:dyDescent="0.2">
      <c r="A1211" s="4">
        <v>489173</v>
      </c>
      <c r="B1211" s="4">
        <v>100</v>
      </c>
      <c r="C1211" s="4">
        <v>8</v>
      </c>
      <c r="D1211" s="23">
        <v>4</v>
      </c>
      <c r="E1211" s="23">
        <v>2.4</v>
      </c>
      <c r="F1211" s="23">
        <f t="shared" si="1279"/>
        <v>4</v>
      </c>
      <c r="G1211" s="23">
        <f t="shared" si="1280"/>
        <v>2.4</v>
      </c>
      <c r="H1211" s="4">
        <f t="shared" si="1281"/>
        <v>3.8630000000000001E-3</v>
      </c>
      <c r="I1211" s="2">
        <f t="shared" si="1282"/>
        <v>0.11047571653543307</v>
      </c>
      <c r="J1211" s="4">
        <f t="shared" si="1283"/>
        <v>9.9980523464566942E-2</v>
      </c>
      <c r="K1211" s="4">
        <f t="shared" si="1284"/>
        <v>0.21045624000000002</v>
      </c>
      <c r="L1211" s="13">
        <f t="shared" si="1285"/>
        <v>1.1049723756906076</v>
      </c>
      <c r="M1211" s="3">
        <f t="shared" ref="M1211" si="1342">AVERAGE(I1211:I1212)</f>
        <v>0.11047571653543306</v>
      </c>
      <c r="N1211" s="3">
        <f t="shared" ref="N1211" si="1343">AVERAGE(J1211:J1212)</f>
        <v>0.10217277596456696</v>
      </c>
    </row>
    <row r="1212" spans="1:14" x14ac:dyDescent="0.2">
      <c r="A1212" s="4"/>
      <c r="B1212" s="4">
        <v>100</v>
      </c>
      <c r="C1212" s="4">
        <v>8</v>
      </c>
      <c r="D1212" s="23">
        <v>4.05</v>
      </c>
      <c r="E1212" s="23">
        <v>2.4500000000000002</v>
      </c>
      <c r="F1212" s="23">
        <f t="shared" si="1279"/>
        <v>4.05</v>
      </c>
      <c r="G1212" s="23">
        <f t="shared" si="1280"/>
        <v>2.4500000000000002</v>
      </c>
      <c r="H1212" s="4">
        <f t="shared" si="1281"/>
        <v>3.8630000000000001E-3</v>
      </c>
      <c r="I1212" s="2">
        <f t="shared" si="1282"/>
        <v>0.11047571653543306</v>
      </c>
      <c r="J1212" s="4">
        <f t="shared" si="1283"/>
        <v>0.10436502846456698</v>
      </c>
      <c r="K1212" s="4">
        <f t="shared" si="1284"/>
        <v>0.21484074500000006</v>
      </c>
      <c r="L1212" s="13">
        <f t="shared" si="1285"/>
        <v>1.0585511081706906</v>
      </c>
      <c r="M1212" s="3"/>
      <c r="N1212" s="3"/>
    </row>
    <row r="1213" spans="1:14" x14ac:dyDescent="0.2">
      <c r="A1213" s="4">
        <v>489174</v>
      </c>
      <c r="B1213" s="4">
        <v>100</v>
      </c>
      <c r="C1213" s="4">
        <v>8</v>
      </c>
      <c r="D1213" s="23">
        <v>4.3499999999999996</v>
      </c>
      <c r="E1213" s="23">
        <v>2.7</v>
      </c>
      <c r="F1213" s="23">
        <f t="shared" si="1279"/>
        <v>4.3499999999999996</v>
      </c>
      <c r="G1213" s="23">
        <f t="shared" si="1280"/>
        <v>2.7</v>
      </c>
      <c r="H1213" s="4">
        <f t="shared" si="1281"/>
        <v>3.8630000000000001E-3</v>
      </c>
      <c r="I1213" s="2">
        <f t="shared" si="1282"/>
        <v>0.11392808267716532</v>
      </c>
      <c r="J1213" s="4">
        <f t="shared" si="1283"/>
        <v>0.1228351873228347</v>
      </c>
      <c r="K1213" s="4">
        <f t="shared" si="1284"/>
        <v>0.23676327000000003</v>
      </c>
      <c r="L1213" s="13">
        <f t="shared" si="1285"/>
        <v>0.9274873524451932</v>
      </c>
      <c r="M1213" s="3">
        <f t="shared" ref="M1213" si="1344">AVERAGE(I1213:I1214)</f>
        <v>0.11392808267716537</v>
      </c>
      <c r="N1213" s="3">
        <f t="shared" ref="N1213" si="1345">AVERAGE(J1213:J1214)</f>
        <v>0.13598870232283464</v>
      </c>
    </row>
    <row r="1214" spans="1:14" x14ac:dyDescent="0.2">
      <c r="A1214" s="4"/>
      <c r="B1214" s="4">
        <v>100</v>
      </c>
      <c r="C1214" s="4">
        <v>8</v>
      </c>
      <c r="D1214" s="23">
        <v>4.6500000000000004</v>
      </c>
      <c r="E1214" s="23">
        <v>3</v>
      </c>
      <c r="F1214" s="23">
        <f t="shared" si="1279"/>
        <v>4.6500000000000004</v>
      </c>
      <c r="G1214" s="23">
        <f t="shared" si="1280"/>
        <v>3</v>
      </c>
      <c r="H1214" s="4">
        <f t="shared" si="1281"/>
        <v>3.8630000000000001E-3</v>
      </c>
      <c r="I1214" s="2">
        <f t="shared" si="1282"/>
        <v>0.11392808267716539</v>
      </c>
      <c r="J1214" s="4">
        <f t="shared" si="1283"/>
        <v>0.14914221732283459</v>
      </c>
      <c r="K1214" s="4">
        <f t="shared" si="1284"/>
        <v>0.26307029999999998</v>
      </c>
      <c r="L1214" s="13">
        <f t="shared" si="1285"/>
        <v>0.76388888888888951</v>
      </c>
      <c r="M1214" s="3"/>
      <c r="N1214" s="3"/>
    </row>
    <row r="1215" spans="1:14" x14ac:dyDescent="0.2">
      <c r="A1215" s="4">
        <v>489176</v>
      </c>
      <c r="B1215" s="4">
        <v>100</v>
      </c>
      <c r="C1215" s="4">
        <v>7</v>
      </c>
      <c r="D1215" s="23">
        <v>3.7</v>
      </c>
      <c r="E1215" s="23">
        <v>2.25</v>
      </c>
      <c r="F1215" s="23">
        <f t="shared" si="1279"/>
        <v>3.7</v>
      </c>
      <c r="G1215" s="23">
        <f t="shared" si="1280"/>
        <v>2.25</v>
      </c>
      <c r="H1215" s="4">
        <f t="shared" si="1281"/>
        <v>9.7450000000000002E-3</v>
      </c>
      <c r="I1215" s="2">
        <f t="shared" si="1282"/>
        <v>0.25256431102362209</v>
      </c>
      <c r="J1215" s="4">
        <f t="shared" si="1283"/>
        <v>0.24516156397637789</v>
      </c>
      <c r="K1215" s="4">
        <f t="shared" si="1284"/>
        <v>0.49772587499999998</v>
      </c>
      <c r="L1215" s="13">
        <f t="shared" si="1285"/>
        <v>1.0301953818827714</v>
      </c>
      <c r="M1215" s="3">
        <f t="shared" ref="M1215" si="1346">AVERAGE(I1215:I1216)</f>
        <v>0.25256431102362209</v>
      </c>
      <c r="N1215" s="3">
        <f t="shared" ref="N1215" si="1347">AVERAGE(J1215:J1216)</f>
        <v>0.22304041397637792</v>
      </c>
    </row>
    <row r="1216" spans="1:14" x14ac:dyDescent="0.2">
      <c r="A1216" s="4"/>
      <c r="B1216" s="4">
        <v>100</v>
      </c>
      <c r="C1216" s="4">
        <v>7</v>
      </c>
      <c r="D1216" s="23">
        <v>3.5</v>
      </c>
      <c r="E1216" s="23">
        <v>2.0499999999999998</v>
      </c>
      <c r="F1216" s="23">
        <f t="shared" si="1279"/>
        <v>3.5</v>
      </c>
      <c r="G1216" s="23">
        <f t="shared" si="1280"/>
        <v>2.0499999999999998</v>
      </c>
      <c r="H1216" s="4">
        <f t="shared" si="1281"/>
        <v>9.7450000000000002E-3</v>
      </c>
      <c r="I1216" s="2">
        <f t="shared" si="1282"/>
        <v>0.25256431102362209</v>
      </c>
      <c r="J1216" s="4">
        <f t="shared" si="1283"/>
        <v>0.20091926397637797</v>
      </c>
      <c r="K1216" s="4">
        <f t="shared" si="1284"/>
        <v>0.45348357500000003</v>
      </c>
      <c r="L1216" s="13">
        <f t="shared" si="1285"/>
        <v>1.2570437798006069</v>
      </c>
      <c r="M1216" s="3"/>
      <c r="N1216" s="3"/>
    </row>
    <row r="1217" spans="1:14" x14ac:dyDescent="0.2">
      <c r="A1217" s="4">
        <v>489177</v>
      </c>
      <c r="B1217" s="4">
        <v>100</v>
      </c>
      <c r="C1217" s="4">
        <v>7</v>
      </c>
      <c r="D1217" s="23">
        <v>7.15</v>
      </c>
      <c r="E1217" s="23">
        <v>4</v>
      </c>
      <c r="F1217" s="23">
        <f t="shared" ref="F1217:F1240" si="1348">IF($C1217=5,D1217-$D$5,IF($C1217=6,D1217-$D$6,IF($C1217=7,D1217-$D$7,IF($C1217=8,D1217-$D$8,D1217))))</f>
        <v>7.15</v>
      </c>
      <c r="G1217" s="23">
        <f t="shared" ref="G1217:G1240" si="1349">IF($C1217=5,E1217-$D$5,IF($C1217=6,E1217-$D$6,IF($C1217=7,E1217-$D$7,IF($C1217=8,E1217-$D$8,E1217))))</f>
        <v>4</v>
      </c>
      <c r="H1217" s="4">
        <f t="shared" ref="H1217:H1240" si="1350">IF(C1217=1,32.7101,IF(C1217=2,8.14893,IF(C1217=3,1.42818,IF(C1217=4,0.44041,IF(C1217=5,0.123026,IF(C1217=6,0.035767,IF(C1217=7,0.009745,0.003863)))))))</f>
        <v>9.7450000000000002E-3</v>
      </c>
      <c r="I1217" s="2">
        <f t="shared" ref="I1217:I1240" si="1351">H1217*$A$3*(F1217-G1217)*1000/B1217</f>
        <v>0.54867419291338593</v>
      </c>
      <c r="J1217" s="4">
        <f t="shared" ref="J1217:J1240" si="1352">2.27*($A$3*G1217-($A$3-1)*F1217)*H1217*1000/B1217</f>
        <v>0.33617180708661415</v>
      </c>
      <c r="K1217" s="4">
        <f t="shared" ref="K1217:K1240" si="1353">(I1217+J1217)</f>
        <v>0.88484600000000002</v>
      </c>
      <c r="L1217" s="13">
        <f t="shared" ref="L1217:L1240" si="1354">(I1217/J1217)</f>
        <v>1.6321243523316067</v>
      </c>
      <c r="M1217" s="3">
        <f t="shared" ref="M1217" si="1355">AVERAGE(I1217:I1218)</f>
        <v>0.54431963582677168</v>
      </c>
      <c r="N1217" s="3">
        <f t="shared" ref="N1217" si="1356">AVERAGE(J1217:J1218)</f>
        <v>0.36817780167322833</v>
      </c>
    </row>
    <row r="1218" spans="1:14" x14ac:dyDescent="0.2">
      <c r="B1218" s="4">
        <v>100</v>
      </c>
      <c r="C1218" s="4">
        <v>7</v>
      </c>
      <c r="D1218" s="23">
        <v>7.35</v>
      </c>
      <c r="E1218" s="23">
        <v>4.25</v>
      </c>
      <c r="F1218" s="23">
        <f t="shared" si="1348"/>
        <v>7.35</v>
      </c>
      <c r="G1218" s="23">
        <f t="shared" si="1349"/>
        <v>4.25</v>
      </c>
      <c r="H1218" s="4">
        <f t="shared" si="1350"/>
        <v>9.7450000000000002E-3</v>
      </c>
      <c r="I1218" s="2">
        <f t="shared" si="1351"/>
        <v>0.53996507874015753</v>
      </c>
      <c r="J1218" s="4">
        <f t="shared" si="1352"/>
        <v>0.40018379625984257</v>
      </c>
      <c r="K1218" s="4">
        <f t="shared" si="1353"/>
        <v>0.94014887500000011</v>
      </c>
      <c r="L1218" s="13">
        <f t="shared" si="1354"/>
        <v>1.3492927094668117</v>
      </c>
      <c r="M1218" s="3"/>
      <c r="N1218" s="3"/>
    </row>
    <row r="1219" spans="1:14" x14ac:dyDescent="0.2">
      <c r="A1219" s="4">
        <v>489178</v>
      </c>
      <c r="B1219" s="4">
        <v>100</v>
      </c>
      <c r="C1219" s="4">
        <v>6</v>
      </c>
      <c r="D1219" s="23">
        <v>4.0999999999999996</v>
      </c>
      <c r="E1219" s="23">
        <v>2.2000000000000002</v>
      </c>
      <c r="F1219" s="23">
        <f t="shared" si="1348"/>
        <v>4.0999999999999996</v>
      </c>
      <c r="G1219" s="23">
        <f t="shared" si="1349"/>
        <v>2.2000000000000002</v>
      </c>
      <c r="H1219" s="4">
        <f t="shared" si="1350"/>
        <v>3.5767E-2</v>
      </c>
      <c r="I1219" s="2">
        <f t="shared" si="1351"/>
        <v>1.2146698503937003</v>
      </c>
      <c r="J1219" s="4">
        <f t="shared" si="1352"/>
        <v>0.57153412960629968</v>
      </c>
      <c r="K1219" s="4">
        <f t="shared" si="1353"/>
        <v>1.78620398</v>
      </c>
      <c r="L1219" s="13">
        <f t="shared" si="1354"/>
        <v>2.125279642058163</v>
      </c>
      <c r="M1219" s="3">
        <f t="shared" ref="M1219" si="1357">AVERAGE(I1219:I1220)</f>
        <v>1.2306523484251966</v>
      </c>
      <c r="N1219" s="3">
        <f t="shared" ref="N1219" si="1358">AVERAGE(J1219:J1220)</f>
        <v>0.61644494907480341</v>
      </c>
    </row>
    <row r="1220" spans="1:14" x14ac:dyDescent="0.2">
      <c r="A1220" s="4"/>
      <c r="B1220" s="4">
        <v>100</v>
      </c>
      <c r="C1220" s="4">
        <v>6</v>
      </c>
      <c r="D1220" s="23">
        <v>4.3</v>
      </c>
      <c r="E1220" s="23">
        <v>2.35</v>
      </c>
      <c r="F1220" s="23">
        <f t="shared" si="1348"/>
        <v>4.3</v>
      </c>
      <c r="G1220" s="23">
        <f t="shared" si="1349"/>
        <v>2.35</v>
      </c>
      <c r="H1220" s="4">
        <f t="shared" si="1350"/>
        <v>3.5767E-2</v>
      </c>
      <c r="I1220" s="2">
        <f t="shared" si="1351"/>
        <v>1.2466348464566928</v>
      </c>
      <c r="J1220" s="4">
        <f t="shared" si="1352"/>
        <v>0.66135576854330724</v>
      </c>
      <c r="K1220" s="4">
        <f t="shared" si="1353"/>
        <v>1.9079906150000001</v>
      </c>
      <c r="L1220" s="13">
        <f t="shared" si="1354"/>
        <v>1.884968583856935</v>
      </c>
      <c r="M1220" s="3"/>
      <c r="N1220" s="3"/>
    </row>
    <row r="1221" spans="1:14" x14ac:dyDescent="0.2">
      <c r="A1221" s="4">
        <v>489180</v>
      </c>
      <c r="B1221" s="4">
        <v>100</v>
      </c>
      <c r="C1221" s="4">
        <v>7</v>
      </c>
      <c r="D1221" s="23">
        <v>4.3</v>
      </c>
      <c r="E1221" s="23">
        <v>2.25</v>
      </c>
      <c r="F1221" s="23">
        <f t="shared" si="1348"/>
        <v>4.3</v>
      </c>
      <c r="G1221" s="23">
        <f t="shared" si="1349"/>
        <v>2.25</v>
      </c>
      <c r="H1221" s="4">
        <f t="shared" si="1350"/>
        <v>9.7450000000000002E-3</v>
      </c>
      <c r="I1221" s="2">
        <f t="shared" si="1351"/>
        <v>0.35707368110236215</v>
      </c>
      <c r="J1221" s="4">
        <f t="shared" si="1352"/>
        <v>0.14065219389763775</v>
      </c>
      <c r="K1221" s="4">
        <f t="shared" si="1353"/>
        <v>0.49772587499999987</v>
      </c>
      <c r="L1221" s="13">
        <f t="shared" si="1354"/>
        <v>2.5386996904024772</v>
      </c>
      <c r="M1221" s="3">
        <f t="shared" ref="M1221" si="1359">AVERAGE(I1221:I1222)</f>
        <v>0.35707368110236215</v>
      </c>
      <c r="N1221" s="3">
        <f t="shared" ref="N1221" si="1360">AVERAGE(J1221:J1222)</f>
        <v>0.14065219389763775</v>
      </c>
    </row>
    <row r="1222" spans="1:14" x14ac:dyDescent="0.2">
      <c r="A1222" s="4"/>
      <c r="B1222" s="4">
        <v>100</v>
      </c>
      <c r="C1222" s="4">
        <v>7</v>
      </c>
      <c r="D1222" s="23">
        <v>4.3</v>
      </c>
      <c r="E1222" s="23">
        <v>2.25</v>
      </c>
      <c r="F1222" s="23">
        <f t="shared" si="1348"/>
        <v>4.3</v>
      </c>
      <c r="G1222" s="23">
        <f t="shared" si="1349"/>
        <v>2.25</v>
      </c>
      <c r="H1222" s="4">
        <f t="shared" si="1350"/>
        <v>9.7450000000000002E-3</v>
      </c>
      <c r="I1222" s="2">
        <f t="shared" si="1351"/>
        <v>0.35707368110236215</v>
      </c>
      <c r="J1222" s="4">
        <f t="shared" si="1352"/>
        <v>0.14065219389763775</v>
      </c>
      <c r="K1222" s="4">
        <f t="shared" si="1353"/>
        <v>0.49772587499999987</v>
      </c>
      <c r="L1222" s="13">
        <f t="shared" si="1354"/>
        <v>2.5386996904024772</v>
      </c>
      <c r="M1222" s="3"/>
      <c r="N1222" s="3"/>
    </row>
    <row r="1223" spans="1:14" x14ac:dyDescent="0.2">
      <c r="A1223" s="4">
        <v>489181</v>
      </c>
      <c r="B1223" s="4">
        <v>100</v>
      </c>
      <c r="C1223" s="4">
        <v>7</v>
      </c>
      <c r="D1223" s="23">
        <v>3.9</v>
      </c>
      <c r="E1223" s="23">
        <v>2.0499999999999998</v>
      </c>
      <c r="F1223" s="23">
        <f t="shared" si="1348"/>
        <v>3.9</v>
      </c>
      <c r="G1223" s="23">
        <f t="shared" si="1349"/>
        <v>2.0499999999999998</v>
      </c>
      <c r="H1223" s="4">
        <f t="shared" si="1350"/>
        <v>9.7450000000000002E-3</v>
      </c>
      <c r="I1223" s="2">
        <f t="shared" si="1351"/>
        <v>0.32223722440944891</v>
      </c>
      <c r="J1223" s="4">
        <f t="shared" si="1352"/>
        <v>0.13124635059055112</v>
      </c>
      <c r="K1223" s="4">
        <f t="shared" si="1353"/>
        <v>0.45348357500000003</v>
      </c>
      <c r="L1223" s="13">
        <f t="shared" si="1354"/>
        <v>2.4552090245520919</v>
      </c>
      <c r="M1223" s="3">
        <f t="shared" ref="M1223" si="1361">AVERAGE(I1223:I1224)</f>
        <v>0.32223722440944891</v>
      </c>
      <c r="N1223" s="3">
        <f t="shared" ref="N1223" si="1362">AVERAGE(J1223:J1224)</f>
        <v>0.11465548809055118</v>
      </c>
    </row>
    <row r="1224" spans="1:14" x14ac:dyDescent="0.2">
      <c r="A1224" s="4"/>
      <c r="B1224" s="4">
        <v>100</v>
      </c>
      <c r="C1224" s="4">
        <v>7</v>
      </c>
      <c r="D1224" s="23">
        <v>3.75</v>
      </c>
      <c r="E1224" s="23">
        <v>1.9</v>
      </c>
      <c r="F1224" s="23">
        <f t="shared" si="1348"/>
        <v>3.75</v>
      </c>
      <c r="G1224" s="23">
        <f t="shared" si="1349"/>
        <v>1.9</v>
      </c>
      <c r="H1224" s="4">
        <f t="shared" si="1350"/>
        <v>9.7450000000000002E-3</v>
      </c>
      <c r="I1224" s="2">
        <f t="shared" si="1351"/>
        <v>0.32223722440944891</v>
      </c>
      <c r="J1224" s="4">
        <f t="shared" si="1352"/>
        <v>9.8064625590551249E-2</v>
      </c>
      <c r="K1224" s="4">
        <f t="shared" si="1353"/>
        <v>0.42030185000000014</v>
      </c>
      <c r="L1224" s="13">
        <f t="shared" si="1354"/>
        <v>3.2859680284191817</v>
      </c>
      <c r="M1224" s="3"/>
      <c r="N1224" s="3"/>
    </row>
    <row r="1225" spans="1:14" x14ac:dyDescent="0.2">
      <c r="A1225" s="4">
        <v>489186</v>
      </c>
      <c r="B1225" s="4">
        <v>100</v>
      </c>
      <c r="C1225" s="4">
        <v>8</v>
      </c>
      <c r="D1225" s="23">
        <v>1.55</v>
      </c>
      <c r="E1225" s="23">
        <v>1.1000000000000001</v>
      </c>
      <c r="F1225" s="23">
        <f t="shared" si="1348"/>
        <v>1.55</v>
      </c>
      <c r="G1225" s="23">
        <f t="shared" si="1349"/>
        <v>1.1000000000000001</v>
      </c>
      <c r="H1225" s="4">
        <f t="shared" si="1350"/>
        <v>3.8630000000000001E-3</v>
      </c>
      <c r="I1225" s="2">
        <f t="shared" si="1351"/>
        <v>3.1071295275590546E-2</v>
      </c>
      <c r="J1225" s="4">
        <f t="shared" si="1352"/>
        <v>6.5387814724409465E-2</v>
      </c>
      <c r="K1225" s="4">
        <f t="shared" si="1353"/>
        <v>9.6459110000000015E-2</v>
      </c>
      <c r="L1225" s="13">
        <f t="shared" si="1354"/>
        <v>0.47518479408658904</v>
      </c>
      <c r="M1225" s="3">
        <f t="shared" ref="M1225" si="1363">AVERAGE(I1225:I1226)</f>
        <v>3.4523661417322833E-2</v>
      </c>
      <c r="N1225" s="3">
        <f t="shared" ref="N1225" si="1364">AVERAGE(J1225:J1226)</f>
        <v>5.9743196082677169E-2</v>
      </c>
    </row>
    <row r="1226" spans="1:14" x14ac:dyDescent="0.2">
      <c r="A1226" s="4"/>
      <c r="B1226" s="4">
        <v>100</v>
      </c>
      <c r="C1226" s="4">
        <v>8</v>
      </c>
      <c r="D1226" s="23">
        <v>1.6</v>
      </c>
      <c r="E1226" s="23">
        <v>1.05</v>
      </c>
      <c r="F1226" s="23">
        <f t="shared" si="1348"/>
        <v>1.6</v>
      </c>
      <c r="G1226" s="23">
        <f t="shared" si="1349"/>
        <v>1.05</v>
      </c>
      <c r="H1226" s="4">
        <f t="shared" si="1350"/>
        <v>3.8630000000000001E-3</v>
      </c>
      <c r="I1226" s="2">
        <f t="shared" si="1351"/>
        <v>3.7976027559055124E-2</v>
      </c>
      <c r="J1226" s="4">
        <f t="shared" si="1352"/>
        <v>5.4098577440944873E-2</v>
      </c>
      <c r="K1226" s="4">
        <f t="shared" si="1353"/>
        <v>9.2074605000000004E-2</v>
      </c>
      <c r="L1226" s="13">
        <f t="shared" si="1354"/>
        <v>0.70197830248883242</v>
      </c>
      <c r="M1226" s="3"/>
      <c r="N1226" s="3"/>
    </row>
    <row r="1227" spans="1:14" x14ac:dyDescent="0.2">
      <c r="A1227" s="4">
        <v>489187</v>
      </c>
      <c r="B1227" s="4">
        <v>100</v>
      </c>
      <c r="C1227" s="4">
        <v>8</v>
      </c>
      <c r="D1227" s="23">
        <v>1.35</v>
      </c>
      <c r="E1227" s="23">
        <v>1</v>
      </c>
      <c r="F1227" s="23">
        <f t="shared" si="1348"/>
        <v>1.35</v>
      </c>
      <c r="G1227" s="23">
        <f t="shared" si="1349"/>
        <v>1</v>
      </c>
      <c r="H1227" s="4">
        <f t="shared" si="1350"/>
        <v>3.8630000000000001E-3</v>
      </c>
      <c r="I1227" s="2">
        <f t="shared" si="1351"/>
        <v>2.4166562992125992E-2</v>
      </c>
      <c r="J1227" s="4">
        <f t="shared" si="1352"/>
        <v>6.3523537007874026E-2</v>
      </c>
      <c r="K1227" s="4">
        <f t="shared" si="1353"/>
        <v>8.7690100000000021E-2</v>
      </c>
      <c r="L1227" s="13">
        <f t="shared" si="1354"/>
        <v>0.38043478260869573</v>
      </c>
      <c r="M1227" s="3">
        <f t="shared" ref="M1227" si="1365">AVERAGE(I1227:I1228)</f>
        <v>2.244037992125985E-2</v>
      </c>
      <c r="N1227" s="3">
        <f t="shared" ref="N1227" si="1366">AVERAGE(J1227:J1228)</f>
        <v>6.3057467578740159E-2</v>
      </c>
    </row>
    <row r="1228" spans="1:14" x14ac:dyDescent="0.2">
      <c r="A1228" s="4"/>
      <c r="B1228" s="4">
        <v>100</v>
      </c>
      <c r="C1228" s="4">
        <v>8</v>
      </c>
      <c r="D1228" s="23">
        <v>1.25</v>
      </c>
      <c r="E1228" s="23">
        <v>0.95</v>
      </c>
      <c r="F1228" s="23">
        <f t="shared" si="1348"/>
        <v>1.25</v>
      </c>
      <c r="G1228" s="23">
        <f t="shared" si="1349"/>
        <v>0.95</v>
      </c>
      <c r="H1228" s="4">
        <f t="shared" si="1350"/>
        <v>3.8630000000000001E-3</v>
      </c>
      <c r="I1228" s="2">
        <f t="shared" si="1351"/>
        <v>2.0714196850393704E-2</v>
      </c>
      <c r="J1228" s="4">
        <f t="shared" si="1352"/>
        <v>6.2591398149606292E-2</v>
      </c>
      <c r="K1228" s="4">
        <f t="shared" si="1353"/>
        <v>8.3305594999999996E-2</v>
      </c>
      <c r="L1228" s="13">
        <f t="shared" si="1354"/>
        <v>0.33094318808604534</v>
      </c>
      <c r="M1228" s="3"/>
      <c r="N1228" s="3"/>
    </row>
    <row r="1229" spans="1:14" x14ac:dyDescent="0.2">
      <c r="A1229" s="4">
        <v>489188</v>
      </c>
      <c r="B1229" s="4">
        <v>100</v>
      </c>
      <c r="C1229" s="4">
        <v>8</v>
      </c>
      <c r="D1229" s="23">
        <v>3.55</v>
      </c>
      <c r="E1229" s="23">
        <v>2.25</v>
      </c>
      <c r="F1229" s="23">
        <f t="shared" si="1348"/>
        <v>3.55</v>
      </c>
      <c r="G1229" s="23">
        <f t="shared" si="1349"/>
        <v>2.25</v>
      </c>
      <c r="H1229" s="4">
        <f t="shared" si="1350"/>
        <v>3.8630000000000001E-3</v>
      </c>
      <c r="I1229" s="2">
        <f t="shared" si="1351"/>
        <v>8.976151968503937E-2</v>
      </c>
      <c r="J1229" s="4">
        <f t="shared" si="1352"/>
        <v>0.10754120531496064</v>
      </c>
      <c r="K1229" s="4">
        <f t="shared" si="1353"/>
        <v>0.19730272500000001</v>
      </c>
      <c r="L1229" s="13">
        <f t="shared" si="1354"/>
        <v>0.83467094703049749</v>
      </c>
      <c r="M1229" s="3">
        <f t="shared" ref="M1229" si="1367">AVERAGE(I1229:I1230)</f>
        <v>8.6309153543307093E-2</v>
      </c>
      <c r="N1229" s="3">
        <f t="shared" ref="N1229" si="1368">AVERAGE(J1229:J1230)</f>
        <v>0.10660906645669291</v>
      </c>
    </row>
    <row r="1230" spans="1:14" x14ac:dyDescent="0.2">
      <c r="A1230" s="4"/>
      <c r="B1230" s="4">
        <v>100</v>
      </c>
      <c r="C1230" s="4">
        <v>8</v>
      </c>
      <c r="D1230" s="23">
        <v>3.35</v>
      </c>
      <c r="E1230" s="23">
        <v>2.15</v>
      </c>
      <c r="F1230" s="23">
        <f t="shared" si="1348"/>
        <v>3.35</v>
      </c>
      <c r="G1230" s="23">
        <f t="shared" si="1349"/>
        <v>2.15</v>
      </c>
      <c r="H1230" s="4">
        <f t="shared" si="1350"/>
        <v>3.8630000000000001E-3</v>
      </c>
      <c r="I1230" s="2">
        <f t="shared" si="1351"/>
        <v>8.2856787401574816E-2</v>
      </c>
      <c r="J1230" s="4">
        <f t="shared" si="1352"/>
        <v>0.10567692759842519</v>
      </c>
      <c r="K1230" s="4">
        <f t="shared" si="1353"/>
        <v>0.18853371499999999</v>
      </c>
      <c r="L1230" s="13">
        <f t="shared" si="1354"/>
        <v>0.78405749754982046</v>
      </c>
      <c r="M1230" s="3"/>
      <c r="N1230" s="3"/>
    </row>
    <row r="1231" spans="1:14" x14ac:dyDescent="0.2">
      <c r="A1231" s="4">
        <v>489189</v>
      </c>
      <c r="B1231" s="4">
        <v>100</v>
      </c>
      <c r="C1231" s="4">
        <v>8</v>
      </c>
      <c r="D1231" s="23">
        <v>4.1500000000000004</v>
      </c>
      <c r="E1231" s="23">
        <v>2.6</v>
      </c>
      <c r="F1231" s="23">
        <f t="shared" si="1348"/>
        <v>4.1500000000000004</v>
      </c>
      <c r="G1231" s="23">
        <f t="shared" si="1349"/>
        <v>2.6</v>
      </c>
      <c r="H1231" s="4">
        <f t="shared" si="1350"/>
        <v>3.8630000000000001E-3</v>
      </c>
      <c r="I1231" s="2">
        <f t="shared" si="1351"/>
        <v>0.1070233503937008</v>
      </c>
      <c r="J1231" s="4">
        <f t="shared" si="1352"/>
        <v>0.12097090960629917</v>
      </c>
      <c r="K1231" s="4">
        <f t="shared" si="1353"/>
        <v>0.22799425999999995</v>
      </c>
      <c r="L1231" s="13">
        <f t="shared" si="1354"/>
        <v>0.88470319634703243</v>
      </c>
      <c r="M1231" s="3">
        <f t="shared" ref="M1231" si="1369">AVERAGE(I1231:I1232)</f>
        <v>0.10702335039370078</v>
      </c>
      <c r="N1231" s="3">
        <f t="shared" ref="N1231" si="1370">AVERAGE(J1231:J1232)</f>
        <v>0.12535541460629918</v>
      </c>
    </row>
    <row r="1232" spans="1:14" x14ac:dyDescent="0.2">
      <c r="A1232" s="4"/>
      <c r="B1232" s="4">
        <v>100</v>
      </c>
      <c r="C1232" s="4">
        <v>8</v>
      </c>
      <c r="D1232" s="23">
        <v>4.25</v>
      </c>
      <c r="E1232" s="23">
        <v>2.7</v>
      </c>
      <c r="F1232" s="23">
        <f t="shared" si="1348"/>
        <v>4.25</v>
      </c>
      <c r="G1232" s="23">
        <f t="shared" si="1349"/>
        <v>2.7</v>
      </c>
      <c r="H1232" s="4">
        <f t="shared" si="1350"/>
        <v>3.8630000000000001E-3</v>
      </c>
      <c r="I1232" s="2">
        <f t="shared" si="1351"/>
        <v>0.10702335039370078</v>
      </c>
      <c r="J1232" s="4">
        <f t="shared" si="1352"/>
        <v>0.12973991960629921</v>
      </c>
      <c r="K1232" s="4">
        <f t="shared" si="1353"/>
        <v>0.23676327</v>
      </c>
      <c r="L1232" s="13">
        <f t="shared" si="1354"/>
        <v>0.82490686535391167</v>
      </c>
      <c r="M1232" s="3"/>
      <c r="N1232" s="3"/>
    </row>
    <row r="1233" spans="1:14" x14ac:dyDescent="0.2">
      <c r="A1233" s="4">
        <v>489191</v>
      </c>
      <c r="B1233" s="4">
        <v>100</v>
      </c>
      <c r="C1233" s="4">
        <v>6</v>
      </c>
      <c r="D1233" s="23">
        <v>3.95</v>
      </c>
      <c r="E1233" s="23">
        <v>2.0499999999999998</v>
      </c>
      <c r="F1233" s="23">
        <f t="shared" si="1348"/>
        <v>3.95</v>
      </c>
      <c r="G1233" s="23">
        <f t="shared" si="1349"/>
        <v>2.0499999999999998</v>
      </c>
      <c r="H1233" s="4">
        <f t="shared" si="1350"/>
        <v>3.5767E-2</v>
      </c>
      <c r="I1233" s="2">
        <f t="shared" si="1351"/>
        <v>1.214669850393701</v>
      </c>
      <c r="J1233" s="4">
        <f t="shared" si="1352"/>
        <v>0.44974749460629909</v>
      </c>
      <c r="K1233" s="4">
        <f t="shared" si="1353"/>
        <v>1.6644173450000002</v>
      </c>
      <c r="L1233" s="13">
        <f t="shared" si="1354"/>
        <v>2.7007818052594184</v>
      </c>
      <c r="M1233" s="3">
        <f t="shared" ref="M1233" si="1371">AVERAGE(I1233:I1234)</f>
        <v>1.1667223562992128</v>
      </c>
      <c r="N1233" s="3">
        <f t="shared" ref="N1233" si="1372">AVERAGE(J1233:J1234)</f>
        <v>0.47739721620078746</v>
      </c>
    </row>
    <row r="1234" spans="1:14" x14ac:dyDescent="0.2">
      <c r="A1234" s="4"/>
      <c r="B1234" s="4">
        <v>100</v>
      </c>
      <c r="C1234" s="4">
        <v>6</v>
      </c>
      <c r="D1234" s="23">
        <v>3.75</v>
      </c>
      <c r="E1234" s="23">
        <v>2</v>
      </c>
      <c r="F1234" s="23">
        <f t="shared" si="1348"/>
        <v>3.75</v>
      </c>
      <c r="G1234" s="23">
        <f t="shared" si="1349"/>
        <v>2</v>
      </c>
      <c r="H1234" s="4">
        <f t="shared" si="1350"/>
        <v>3.5767E-2</v>
      </c>
      <c r="I1234" s="2">
        <f t="shared" si="1351"/>
        <v>1.1187748622047244</v>
      </c>
      <c r="J1234" s="4">
        <f t="shared" si="1352"/>
        <v>0.50504693779527576</v>
      </c>
      <c r="K1234" s="4">
        <f t="shared" si="1353"/>
        <v>1.6238218000000002</v>
      </c>
      <c r="L1234" s="13">
        <f t="shared" si="1354"/>
        <v>2.2151898734177209</v>
      </c>
      <c r="M1234" s="3"/>
      <c r="N1234" s="3"/>
    </row>
    <row r="1235" spans="1:14" x14ac:dyDescent="0.2">
      <c r="A1235" s="4">
        <v>489192</v>
      </c>
      <c r="B1235" s="4">
        <v>100</v>
      </c>
      <c r="C1235" s="4">
        <v>6</v>
      </c>
      <c r="D1235" s="23">
        <v>2.4500000000000002</v>
      </c>
      <c r="E1235" s="23">
        <v>1.25</v>
      </c>
      <c r="F1235" s="23">
        <f t="shared" si="1348"/>
        <v>2.4500000000000002</v>
      </c>
      <c r="G1235" s="23">
        <f t="shared" si="1349"/>
        <v>1.25</v>
      </c>
      <c r="H1235" s="4">
        <f t="shared" si="1350"/>
        <v>3.5767E-2</v>
      </c>
      <c r="I1235" s="2">
        <f t="shared" si="1351"/>
        <v>0.76715990551181112</v>
      </c>
      <c r="J1235" s="4">
        <f t="shared" si="1352"/>
        <v>0.24772871948818906</v>
      </c>
      <c r="K1235" s="4">
        <f t="shared" si="1353"/>
        <v>1.0148886250000002</v>
      </c>
      <c r="L1235" s="13">
        <f t="shared" si="1354"/>
        <v>3.0967741935483866</v>
      </c>
      <c r="M1235" s="3">
        <f t="shared" ref="M1235" si="1373">AVERAGE(I1235:I1236)</f>
        <v>0.75117740748031503</v>
      </c>
      <c r="N1235" s="3">
        <f t="shared" ref="N1235" si="1374">AVERAGE(J1235:J1236)</f>
        <v>0.28400899001968505</v>
      </c>
    </row>
    <row r="1236" spans="1:14" x14ac:dyDescent="0.2">
      <c r="A1236" s="4"/>
      <c r="B1236" s="4">
        <v>100</v>
      </c>
      <c r="C1236" s="4">
        <v>6</v>
      </c>
      <c r="D1236" s="23">
        <v>2.4500000000000002</v>
      </c>
      <c r="E1236" s="23">
        <v>1.3</v>
      </c>
      <c r="F1236" s="23">
        <f t="shared" si="1348"/>
        <v>2.4500000000000002</v>
      </c>
      <c r="G1236" s="23">
        <f t="shared" si="1349"/>
        <v>1.3</v>
      </c>
      <c r="H1236" s="4">
        <f t="shared" si="1350"/>
        <v>3.5767E-2</v>
      </c>
      <c r="I1236" s="2">
        <f t="shared" si="1351"/>
        <v>0.73519490944881893</v>
      </c>
      <c r="J1236" s="4">
        <f t="shared" si="1352"/>
        <v>0.32028926055118107</v>
      </c>
      <c r="K1236" s="4">
        <f t="shared" si="1353"/>
        <v>1.0554841699999999</v>
      </c>
      <c r="L1236" s="13">
        <f t="shared" si="1354"/>
        <v>2.2954091816367268</v>
      </c>
      <c r="M1236" s="3"/>
      <c r="N1236" s="3"/>
    </row>
    <row r="1237" spans="1:14" x14ac:dyDescent="0.2">
      <c r="A1237" s="4">
        <v>489193</v>
      </c>
      <c r="B1237" s="4">
        <v>100</v>
      </c>
      <c r="C1237" s="4">
        <v>7</v>
      </c>
      <c r="D1237" s="23">
        <v>5.15</v>
      </c>
      <c r="E1237" s="23">
        <v>2.7</v>
      </c>
      <c r="F1237" s="23">
        <f t="shared" si="1348"/>
        <v>5.15</v>
      </c>
      <c r="G1237" s="23">
        <f t="shared" si="1349"/>
        <v>2.7</v>
      </c>
      <c r="H1237" s="4">
        <f t="shared" si="1350"/>
        <v>9.7450000000000002E-3</v>
      </c>
      <c r="I1237" s="2">
        <f t="shared" si="1351"/>
        <v>0.42674659448818902</v>
      </c>
      <c r="J1237" s="4">
        <f t="shared" si="1352"/>
        <v>0.17052445551181106</v>
      </c>
      <c r="K1237" s="4">
        <f t="shared" si="1353"/>
        <v>0.59727105000000003</v>
      </c>
      <c r="L1237" s="13">
        <f t="shared" si="1354"/>
        <v>2.5025536261491315</v>
      </c>
      <c r="M1237" s="3">
        <f t="shared" ref="M1237" si="1375">AVERAGE(I1237:I1238)</f>
        <v>0.42239203740157483</v>
      </c>
      <c r="N1237" s="3">
        <f t="shared" ref="N1237" si="1376">AVERAGE(J1237:J1238)</f>
        <v>0.15275786259842525</v>
      </c>
    </row>
    <row r="1238" spans="1:14" x14ac:dyDescent="0.2">
      <c r="A1238" s="4"/>
      <c r="B1238" s="4">
        <v>100</v>
      </c>
      <c r="C1238" s="4">
        <v>7</v>
      </c>
      <c r="D1238" s="23">
        <v>4.9000000000000004</v>
      </c>
      <c r="E1238" s="23">
        <v>2.5</v>
      </c>
      <c r="F1238" s="23">
        <f t="shared" si="1348"/>
        <v>4.9000000000000004</v>
      </c>
      <c r="G1238" s="23">
        <f t="shared" si="1349"/>
        <v>2.5</v>
      </c>
      <c r="H1238" s="4">
        <f t="shared" si="1350"/>
        <v>9.7450000000000002E-3</v>
      </c>
      <c r="I1238" s="2">
        <f t="shared" si="1351"/>
        <v>0.41803748031496069</v>
      </c>
      <c r="J1238" s="4">
        <f t="shared" si="1352"/>
        <v>0.13499126968503944</v>
      </c>
      <c r="K1238" s="4">
        <f t="shared" si="1353"/>
        <v>0.55302875000000018</v>
      </c>
      <c r="L1238" s="13">
        <f t="shared" si="1354"/>
        <v>3.0967741935483861</v>
      </c>
      <c r="M1238" s="3"/>
      <c r="N1238" s="3"/>
    </row>
    <row r="1239" spans="1:14" x14ac:dyDescent="0.2">
      <c r="A1239" s="4">
        <v>489194</v>
      </c>
      <c r="B1239" s="4">
        <v>100</v>
      </c>
      <c r="C1239" s="4">
        <v>7</v>
      </c>
      <c r="D1239" s="23">
        <v>5.3</v>
      </c>
      <c r="E1239" s="23">
        <v>2.75</v>
      </c>
      <c r="F1239" s="23">
        <f t="shared" si="1348"/>
        <v>5.3</v>
      </c>
      <c r="G1239" s="23">
        <f t="shared" si="1349"/>
        <v>2.75</v>
      </c>
      <c r="H1239" s="4">
        <f t="shared" si="1350"/>
        <v>9.7450000000000002E-3</v>
      </c>
      <c r="I1239" s="2">
        <f t="shared" si="1351"/>
        <v>0.4441648228346457</v>
      </c>
      <c r="J1239" s="4">
        <f t="shared" si="1352"/>
        <v>0.16416680216535437</v>
      </c>
      <c r="K1239" s="4">
        <f t="shared" si="1353"/>
        <v>0.60833162500000004</v>
      </c>
      <c r="L1239" s="13">
        <f t="shared" si="1354"/>
        <v>2.705570291777188</v>
      </c>
      <c r="M1239" s="3">
        <f t="shared" ref="M1239" si="1377">AVERAGE(I1239:I1240)</f>
        <v>0.44416482283464576</v>
      </c>
      <c r="N1239" s="3">
        <f t="shared" ref="N1239" si="1378">AVERAGE(J1239:J1240)</f>
        <v>0.14757593966535432</v>
      </c>
    </row>
    <row r="1240" spans="1:14" x14ac:dyDescent="0.2">
      <c r="A1240" s="4"/>
      <c r="B1240" s="4">
        <v>100</v>
      </c>
      <c r="C1240" s="4">
        <v>7</v>
      </c>
      <c r="D1240" s="23">
        <v>5.15</v>
      </c>
      <c r="E1240" s="23">
        <v>2.6</v>
      </c>
      <c r="F1240" s="23">
        <f t="shared" si="1348"/>
        <v>5.15</v>
      </c>
      <c r="G1240" s="23">
        <f t="shared" si="1349"/>
        <v>2.6</v>
      </c>
      <c r="H1240" s="4">
        <f t="shared" si="1350"/>
        <v>9.7450000000000002E-3</v>
      </c>
      <c r="I1240" s="2">
        <f t="shared" si="1351"/>
        <v>0.44416482283464576</v>
      </c>
      <c r="J1240" s="4">
        <f t="shared" si="1352"/>
        <v>0.13098507716535424</v>
      </c>
      <c r="K1240" s="4">
        <f t="shared" si="1353"/>
        <v>0.57514989999999999</v>
      </c>
      <c r="L1240" s="13">
        <f t="shared" si="1354"/>
        <v>3.390957446808514</v>
      </c>
      <c r="M1240" s="3"/>
      <c r="N1240" s="3"/>
    </row>
    <row r="1241" spans="1:14" x14ac:dyDescent="0.2">
      <c r="A1241" s="4">
        <v>489196</v>
      </c>
      <c r="B1241" s="4">
        <v>100</v>
      </c>
      <c r="C1241" s="4">
        <v>8</v>
      </c>
      <c r="D1241" s="23">
        <v>2.15</v>
      </c>
      <c r="E1241" s="23">
        <v>1.4</v>
      </c>
      <c r="F1241" s="23">
        <f t="shared" ref="F1241:F1304" si="1379">IF($C1241=5,D1241-$D$5,IF($C1241=6,D1241-$D$6,IF($C1241=7,D1241-$D$7,IF($C1241=8,D1241-$D$8,D1241))))</f>
        <v>2.15</v>
      </c>
      <c r="G1241" s="23">
        <f t="shared" ref="G1241:G1304" si="1380">IF($C1241=5,E1241-$D$5,IF($C1241=6,E1241-$D$6,IF($C1241=7,E1241-$D$7,IF($C1241=8,E1241-$D$8,E1241))))</f>
        <v>1.4</v>
      </c>
      <c r="H1241" s="4">
        <f t="shared" ref="H1241:H1304" si="1381">IF(C1241=1,32.7101,IF(C1241=2,8.14893,IF(C1241=3,1.42818,IF(C1241=4,0.44041,IF(C1241=5,0.123026,IF(C1241=6,0.035767,IF(C1241=7,0.009745,0.003863)))))))</f>
        <v>3.8630000000000001E-3</v>
      </c>
      <c r="I1241" s="2">
        <f t="shared" ref="I1241:I1304" si="1382">H1241*$A$3*(F1241-G1241)*1000/B1241</f>
        <v>5.1785492125984253E-2</v>
      </c>
      <c r="J1241" s="4">
        <f t="shared" ref="J1241:J1304" si="1383">2.27*($A$3*G1241-($A$3-1)*F1241)*H1241*1000/B1241</f>
        <v>7.0980647874015743E-2</v>
      </c>
      <c r="K1241" s="4">
        <f t="shared" ref="K1241:K1304" si="1384">(I1241+J1241)</f>
        <v>0.12276614</v>
      </c>
      <c r="L1241" s="13">
        <f t="shared" ref="L1241:L1304" si="1385">(I1241/J1241)</f>
        <v>0.72957198443579774</v>
      </c>
      <c r="M1241" s="3">
        <f t="shared" ref="M1241" si="1386">AVERAGE(I1241:I1242)</f>
        <v>5.1785492125984253E-2</v>
      </c>
      <c r="N1241" s="3">
        <f t="shared" ref="N1241" si="1387">AVERAGE(J1241:J1242)</f>
        <v>6.4403890374015754E-2</v>
      </c>
    </row>
    <row r="1242" spans="1:14" x14ac:dyDescent="0.2">
      <c r="A1242" s="4"/>
      <c r="B1242" s="4">
        <v>100</v>
      </c>
      <c r="C1242" s="4">
        <v>8</v>
      </c>
      <c r="D1242" s="23">
        <v>2</v>
      </c>
      <c r="E1242" s="23">
        <v>1.25</v>
      </c>
      <c r="F1242" s="23">
        <f t="shared" si="1379"/>
        <v>2</v>
      </c>
      <c r="G1242" s="23">
        <f t="shared" si="1380"/>
        <v>1.25</v>
      </c>
      <c r="H1242" s="4">
        <f t="shared" si="1381"/>
        <v>3.8630000000000001E-3</v>
      </c>
      <c r="I1242" s="2">
        <f t="shared" si="1382"/>
        <v>5.1785492125984253E-2</v>
      </c>
      <c r="J1242" s="4">
        <f t="shared" si="1383"/>
        <v>5.7827132874015759E-2</v>
      </c>
      <c r="K1242" s="4">
        <f t="shared" si="1384"/>
        <v>0.10961262500000002</v>
      </c>
      <c r="L1242" s="13">
        <f t="shared" si="1385"/>
        <v>0.8955223880597013</v>
      </c>
      <c r="M1242" s="3"/>
      <c r="N1242" s="3"/>
    </row>
    <row r="1243" spans="1:14" x14ac:dyDescent="0.2">
      <c r="A1243" s="4">
        <v>489197</v>
      </c>
      <c r="B1243" s="4">
        <v>100</v>
      </c>
      <c r="C1243" s="4">
        <v>8</v>
      </c>
      <c r="D1243" s="23">
        <v>2.95</v>
      </c>
      <c r="E1243" s="23">
        <v>1.85</v>
      </c>
      <c r="F1243" s="23">
        <f t="shared" si="1379"/>
        <v>2.95</v>
      </c>
      <c r="G1243" s="23">
        <f t="shared" si="1380"/>
        <v>1.85</v>
      </c>
      <c r="H1243" s="4">
        <f t="shared" si="1381"/>
        <v>3.8630000000000001E-3</v>
      </c>
      <c r="I1243" s="2">
        <f t="shared" si="1382"/>
        <v>7.5952055118110248E-2</v>
      </c>
      <c r="J1243" s="4">
        <f t="shared" si="1383"/>
        <v>8.6274629881889789E-2</v>
      </c>
      <c r="K1243" s="4">
        <f t="shared" si="1384"/>
        <v>0.16222668500000004</v>
      </c>
      <c r="L1243" s="13">
        <f t="shared" si="1385"/>
        <v>0.88035214085634239</v>
      </c>
      <c r="M1243" s="3">
        <f t="shared" ref="M1243" si="1388">AVERAGE(I1243:I1244)</f>
        <v>8.1130604330708678E-2</v>
      </c>
      <c r="N1243" s="3">
        <f t="shared" ref="N1243" si="1389">AVERAGE(J1243:J1244)</f>
        <v>0.12055662566929135</v>
      </c>
    </row>
    <row r="1244" spans="1:14" x14ac:dyDescent="0.2">
      <c r="A1244" s="4"/>
      <c r="B1244" s="4">
        <v>100</v>
      </c>
      <c r="C1244" s="4">
        <v>8</v>
      </c>
      <c r="D1244" s="23">
        <v>4</v>
      </c>
      <c r="E1244" s="23">
        <v>2.75</v>
      </c>
      <c r="F1244" s="23">
        <f t="shared" si="1379"/>
        <v>4</v>
      </c>
      <c r="G1244" s="23">
        <f t="shared" si="1380"/>
        <v>2.75</v>
      </c>
      <c r="H1244" s="4">
        <f t="shared" si="1381"/>
        <v>3.8630000000000001E-3</v>
      </c>
      <c r="I1244" s="2">
        <f t="shared" si="1382"/>
        <v>8.6309153543307093E-2</v>
      </c>
      <c r="J1244" s="4">
        <f t="shared" si="1383"/>
        <v>0.15483862145669292</v>
      </c>
      <c r="K1244" s="4">
        <f t="shared" si="1384"/>
        <v>0.24114777500000001</v>
      </c>
      <c r="L1244" s="13">
        <f t="shared" si="1385"/>
        <v>0.55741360089186176</v>
      </c>
      <c r="M1244" s="3"/>
      <c r="N1244" s="3"/>
    </row>
    <row r="1245" spans="1:14" x14ac:dyDescent="0.2">
      <c r="A1245" s="4">
        <v>489198</v>
      </c>
      <c r="B1245" s="4">
        <v>100</v>
      </c>
      <c r="C1245" s="4">
        <v>8</v>
      </c>
      <c r="D1245" s="23">
        <v>4.3499999999999996</v>
      </c>
      <c r="E1245" s="23">
        <v>2.85</v>
      </c>
      <c r="F1245" s="23">
        <f t="shared" si="1379"/>
        <v>4.3499999999999996</v>
      </c>
      <c r="G1245" s="23">
        <f t="shared" si="1380"/>
        <v>2.85</v>
      </c>
      <c r="H1245" s="4">
        <f t="shared" si="1381"/>
        <v>3.8630000000000001E-3</v>
      </c>
      <c r="I1245" s="2">
        <f t="shared" si="1382"/>
        <v>0.10357098425196848</v>
      </c>
      <c r="J1245" s="4">
        <f t="shared" si="1383"/>
        <v>0.14634580074803158</v>
      </c>
      <c r="K1245" s="4">
        <f t="shared" si="1384"/>
        <v>0.24991678500000006</v>
      </c>
      <c r="L1245" s="13">
        <f t="shared" si="1385"/>
        <v>0.70771408351026133</v>
      </c>
      <c r="M1245" s="3">
        <f t="shared" ref="M1245" si="1390">AVERAGE(I1245:I1246)</f>
        <v>0.1001186181102362</v>
      </c>
      <c r="N1245" s="3">
        <f t="shared" ref="N1245" si="1391">AVERAGE(J1245:J1246)</f>
        <v>0.13226014688976384</v>
      </c>
    </row>
    <row r="1246" spans="1:14" x14ac:dyDescent="0.2">
      <c r="A1246" s="4"/>
      <c r="B1246" s="4">
        <v>100</v>
      </c>
      <c r="C1246" s="4">
        <v>8</v>
      </c>
      <c r="D1246" s="23">
        <v>3.85</v>
      </c>
      <c r="E1246" s="23">
        <v>2.4500000000000002</v>
      </c>
      <c r="F1246" s="23">
        <f t="shared" si="1379"/>
        <v>3.85</v>
      </c>
      <c r="G1246" s="23">
        <f t="shared" si="1380"/>
        <v>2.4500000000000002</v>
      </c>
      <c r="H1246" s="4">
        <f t="shared" si="1381"/>
        <v>3.8630000000000001E-3</v>
      </c>
      <c r="I1246" s="2">
        <f t="shared" si="1382"/>
        <v>9.6666251968503938E-2</v>
      </c>
      <c r="J1246" s="4">
        <f t="shared" si="1383"/>
        <v>0.1181744930314961</v>
      </c>
      <c r="K1246" s="4">
        <f t="shared" si="1384"/>
        <v>0.21484074500000006</v>
      </c>
      <c r="L1246" s="13">
        <f t="shared" si="1385"/>
        <v>0.81799591002044958</v>
      </c>
      <c r="M1246" s="3"/>
      <c r="N1246" s="3"/>
    </row>
    <row r="1247" spans="1:14" x14ac:dyDescent="0.2">
      <c r="A1247" s="4">
        <v>489199</v>
      </c>
      <c r="B1247" s="4">
        <v>100</v>
      </c>
      <c r="C1247" s="4">
        <v>8</v>
      </c>
      <c r="D1247" s="23">
        <v>4.1500000000000004</v>
      </c>
      <c r="E1247" s="23">
        <v>2.7</v>
      </c>
      <c r="F1247" s="23">
        <f t="shared" si="1379"/>
        <v>4.1500000000000004</v>
      </c>
      <c r="G1247" s="23">
        <f t="shared" si="1380"/>
        <v>2.7</v>
      </c>
      <c r="H1247" s="4">
        <f t="shared" si="1381"/>
        <v>3.8630000000000001E-3</v>
      </c>
      <c r="I1247" s="2">
        <f t="shared" si="1382"/>
        <v>0.10011861811023623</v>
      </c>
      <c r="J1247" s="4">
        <f t="shared" si="1383"/>
        <v>0.1366446518897638</v>
      </c>
      <c r="K1247" s="4">
        <f t="shared" si="1384"/>
        <v>0.23676327000000003</v>
      </c>
      <c r="L1247" s="13">
        <f t="shared" si="1385"/>
        <v>0.7326932794340576</v>
      </c>
      <c r="M1247" s="3">
        <f t="shared" ref="M1247" si="1392">AVERAGE(I1247:I1248)</f>
        <v>9.49400688976378E-2</v>
      </c>
      <c r="N1247" s="3">
        <f t="shared" ref="N1247" si="1393">AVERAGE(J1247:J1248)</f>
        <v>0.13086193860236225</v>
      </c>
    </row>
    <row r="1248" spans="1:14" x14ac:dyDescent="0.2">
      <c r="B1248" s="4">
        <v>100</v>
      </c>
      <c r="C1248" s="4">
        <v>8</v>
      </c>
      <c r="D1248" s="23">
        <v>3.75</v>
      </c>
      <c r="E1248" s="23">
        <v>2.4500000000000002</v>
      </c>
      <c r="F1248" s="23">
        <f t="shared" si="1379"/>
        <v>3.75</v>
      </c>
      <c r="G1248" s="23">
        <f t="shared" si="1380"/>
        <v>2.4500000000000002</v>
      </c>
      <c r="H1248" s="4">
        <f t="shared" si="1381"/>
        <v>3.8630000000000001E-3</v>
      </c>
      <c r="I1248" s="2">
        <f t="shared" si="1382"/>
        <v>8.976151968503937E-2</v>
      </c>
      <c r="J1248" s="4">
        <f t="shared" si="1383"/>
        <v>0.12507922531496071</v>
      </c>
      <c r="K1248" s="4">
        <f t="shared" si="1384"/>
        <v>0.21484074500000008</v>
      </c>
      <c r="L1248" s="13">
        <f t="shared" si="1385"/>
        <v>0.71763731714049084</v>
      </c>
      <c r="M1248" s="3"/>
      <c r="N1248" s="3"/>
    </row>
    <row r="1249" spans="1:14" x14ac:dyDescent="0.2">
      <c r="A1249" s="31">
        <v>488263</v>
      </c>
      <c r="B1249" s="4">
        <v>100</v>
      </c>
      <c r="C1249" s="4">
        <v>6</v>
      </c>
      <c r="D1249" s="23">
        <v>3.7</v>
      </c>
      <c r="E1249" s="23">
        <v>1.75</v>
      </c>
      <c r="F1249" s="23">
        <f t="shared" si="1379"/>
        <v>3.7</v>
      </c>
      <c r="G1249" s="23">
        <f t="shared" si="1380"/>
        <v>1.75</v>
      </c>
      <c r="H1249" s="4">
        <f t="shared" si="1381"/>
        <v>3.5767E-2</v>
      </c>
      <c r="I1249" s="2">
        <f t="shared" si="1382"/>
        <v>1.2466348464566932</v>
      </c>
      <c r="J1249" s="4">
        <f t="shared" si="1383"/>
        <v>0.17420922854330712</v>
      </c>
      <c r="K1249" s="4">
        <f t="shared" si="1384"/>
        <v>1.4208440750000002</v>
      </c>
      <c r="L1249" s="13">
        <f t="shared" si="1385"/>
        <v>7.1559633027522942</v>
      </c>
      <c r="M1249" s="3">
        <f t="shared" ref="M1249" si="1394">AVERAGE(I1249:I1250)</f>
        <v>1.214669850393701</v>
      </c>
      <c r="N1249" s="3">
        <f t="shared" ref="N1249" si="1395">AVERAGE(J1249:J1250)</f>
        <v>0.18587645210629944</v>
      </c>
    </row>
    <row r="1250" spans="1:14" x14ac:dyDescent="0.2">
      <c r="A1250" s="4"/>
      <c r="B1250" s="4">
        <v>100</v>
      </c>
      <c r="C1250" s="4">
        <v>6</v>
      </c>
      <c r="D1250" s="23">
        <v>3.55</v>
      </c>
      <c r="E1250" s="23">
        <v>1.7</v>
      </c>
      <c r="F1250" s="23">
        <f t="shared" si="1379"/>
        <v>3.55</v>
      </c>
      <c r="G1250" s="23">
        <f t="shared" si="1380"/>
        <v>1.7</v>
      </c>
      <c r="H1250" s="4">
        <f t="shared" si="1381"/>
        <v>3.5767E-2</v>
      </c>
      <c r="I1250" s="2">
        <f t="shared" si="1382"/>
        <v>1.1827048543307086</v>
      </c>
      <c r="J1250" s="4">
        <f t="shared" si="1383"/>
        <v>0.19754367566929179</v>
      </c>
      <c r="K1250" s="4">
        <f t="shared" si="1384"/>
        <v>1.3802485300000005</v>
      </c>
      <c r="L1250" s="13">
        <f t="shared" si="1385"/>
        <v>5.9870550161812162</v>
      </c>
      <c r="M1250" s="3"/>
      <c r="N1250" s="3"/>
    </row>
    <row r="1251" spans="1:14" x14ac:dyDescent="0.2">
      <c r="A1251" s="4">
        <v>489200</v>
      </c>
      <c r="B1251" s="4">
        <v>100</v>
      </c>
      <c r="C1251" s="4">
        <v>7</v>
      </c>
      <c r="D1251" s="23">
        <v>2.75</v>
      </c>
      <c r="E1251" s="23">
        <v>1.55</v>
      </c>
      <c r="F1251" s="23">
        <f t="shared" si="1379"/>
        <v>2.75</v>
      </c>
      <c r="G1251" s="23">
        <f t="shared" si="1380"/>
        <v>1.55</v>
      </c>
      <c r="H1251" s="4">
        <f t="shared" si="1381"/>
        <v>9.7450000000000002E-3</v>
      </c>
      <c r="I1251" s="2">
        <f t="shared" si="1382"/>
        <v>0.20901874015748031</v>
      </c>
      <c r="J1251" s="4">
        <f t="shared" si="1383"/>
        <v>0.13385908484251974</v>
      </c>
      <c r="K1251" s="4">
        <f t="shared" si="1384"/>
        <v>0.34287782500000008</v>
      </c>
      <c r="L1251" s="13">
        <f t="shared" si="1385"/>
        <v>1.5614834092387762</v>
      </c>
      <c r="M1251" s="3">
        <f t="shared" ref="M1251" si="1396">AVERAGE(I1251:I1252)</f>
        <v>0.21337329724409448</v>
      </c>
      <c r="N1251" s="3">
        <f t="shared" ref="N1251" si="1397">AVERAGE(J1251:J1252)</f>
        <v>0.14056510275590553</v>
      </c>
    </row>
    <row r="1252" spans="1:14" x14ac:dyDescent="0.2">
      <c r="A1252" s="4"/>
      <c r="B1252" s="4">
        <v>100</v>
      </c>
      <c r="C1252" s="4">
        <v>7</v>
      </c>
      <c r="D1252" s="23">
        <v>2.9</v>
      </c>
      <c r="E1252" s="23">
        <v>1.65</v>
      </c>
      <c r="F1252" s="23">
        <f t="shared" si="1379"/>
        <v>2.9</v>
      </c>
      <c r="G1252" s="23">
        <f t="shared" si="1380"/>
        <v>1.65</v>
      </c>
      <c r="H1252" s="4">
        <f t="shared" si="1381"/>
        <v>9.7450000000000002E-3</v>
      </c>
      <c r="I1252" s="2">
        <f t="shared" si="1382"/>
        <v>0.21772785433070865</v>
      </c>
      <c r="J1252" s="4">
        <f t="shared" si="1383"/>
        <v>0.14727112066929132</v>
      </c>
      <c r="K1252" s="4">
        <f t="shared" si="1384"/>
        <v>0.364998975</v>
      </c>
      <c r="L1252" s="13">
        <f t="shared" si="1385"/>
        <v>1.4784151389710232</v>
      </c>
      <c r="M1252" s="3"/>
      <c r="N1252" s="3"/>
    </row>
    <row r="1253" spans="1:14" x14ac:dyDescent="0.2">
      <c r="A1253" s="4">
        <v>489201</v>
      </c>
      <c r="B1253" s="4">
        <v>100</v>
      </c>
      <c r="C1253" s="4">
        <v>6</v>
      </c>
      <c r="D1253" s="23">
        <v>2.6</v>
      </c>
      <c r="E1253" s="23">
        <v>1.3</v>
      </c>
      <c r="F1253" s="23">
        <f t="shared" si="1379"/>
        <v>2.6</v>
      </c>
      <c r="G1253" s="23">
        <f t="shared" si="1380"/>
        <v>1.3</v>
      </c>
      <c r="H1253" s="4">
        <f t="shared" si="1381"/>
        <v>3.5767E-2</v>
      </c>
      <c r="I1253" s="2">
        <f t="shared" si="1382"/>
        <v>0.83108989763779528</v>
      </c>
      <c r="J1253" s="4">
        <f t="shared" si="1383"/>
        <v>0.22439427236220463</v>
      </c>
      <c r="K1253" s="4">
        <f t="shared" si="1384"/>
        <v>1.0554841699999999</v>
      </c>
      <c r="L1253" s="13">
        <f t="shared" si="1385"/>
        <v>3.7037037037037051</v>
      </c>
      <c r="M1253" s="3">
        <f t="shared" ref="M1253" si="1398">AVERAGE(I1253:I1254)</f>
        <v>0.83108989763779517</v>
      </c>
      <c r="N1253" s="3">
        <f t="shared" ref="N1253" si="1399">AVERAGE(J1253:J1254)</f>
        <v>0.24469204486220475</v>
      </c>
    </row>
    <row r="1254" spans="1:14" x14ac:dyDescent="0.2">
      <c r="A1254" s="4"/>
      <c r="B1254" s="4">
        <v>100</v>
      </c>
      <c r="C1254" s="4">
        <v>6</v>
      </c>
      <c r="D1254" s="23">
        <v>2.65</v>
      </c>
      <c r="E1254" s="23">
        <v>1.35</v>
      </c>
      <c r="F1254" s="23">
        <f t="shared" si="1379"/>
        <v>2.65</v>
      </c>
      <c r="G1254" s="23">
        <f t="shared" si="1380"/>
        <v>1.35</v>
      </c>
      <c r="H1254" s="4">
        <f t="shared" si="1381"/>
        <v>3.5767E-2</v>
      </c>
      <c r="I1254" s="2">
        <f t="shared" si="1382"/>
        <v>0.83108989763779517</v>
      </c>
      <c r="J1254" s="4">
        <f t="shared" si="1383"/>
        <v>0.26498981736220484</v>
      </c>
      <c r="K1254" s="4">
        <f t="shared" si="1384"/>
        <v>1.0960797150000001</v>
      </c>
      <c r="L1254" s="13">
        <f t="shared" si="1385"/>
        <v>3.1363088057901067</v>
      </c>
      <c r="M1254" s="3"/>
      <c r="N1254" s="3"/>
    </row>
    <row r="1255" spans="1:14" x14ac:dyDescent="0.2">
      <c r="A1255" s="4">
        <v>489202</v>
      </c>
      <c r="B1255" s="4">
        <v>100</v>
      </c>
      <c r="C1255" s="4">
        <v>6</v>
      </c>
      <c r="D1255" s="23">
        <v>2.2000000000000002</v>
      </c>
      <c r="E1255" s="23">
        <v>1.1000000000000001</v>
      </c>
      <c r="F1255" s="23">
        <f t="shared" si="1379"/>
        <v>2.2000000000000002</v>
      </c>
      <c r="G1255" s="23">
        <f t="shared" si="1380"/>
        <v>1.1000000000000001</v>
      </c>
      <c r="H1255" s="4">
        <f t="shared" si="1381"/>
        <v>3.5767E-2</v>
      </c>
      <c r="I1255" s="2">
        <f t="shared" si="1382"/>
        <v>0.70322991338582697</v>
      </c>
      <c r="J1255" s="4">
        <f t="shared" si="1383"/>
        <v>0.18987207661417327</v>
      </c>
      <c r="K1255" s="4">
        <f t="shared" si="1384"/>
        <v>0.89310199000000023</v>
      </c>
      <c r="L1255" s="13">
        <f t="shared" si="1385"/>
        <v>3.7037037037037037</v>
      </c>
      <c r="M1255" s="3">
        <f t="shared" ref="M1255" si="1400">AVERAGE(I1255:I1256)</f>
        <v>0.67126491732283466</v>
      </c>
      <c r="N1255" s="3">
        <f t="shared" ref="N1255" si="1401">AVERAGE(J1255:J1256)</f>
        <v>0.20153930017716543</v>
      </c>
    </row>
    <row r="1256" spans="1:14" x14ac:dyDescent="0.2">
      <c r="A1256" s="4"/>
      <c r="B1256" s="4">
        <v>100</v>
      </c>
      <c r="C1256" s="4">
        <v>6</v>
      </c>
      <c r="D1256" s="23">
        <v>2.0499999999999998</v>
      </c>
      <c r="E1256" s="23">
        <v>1.05</v>
      </c>
      <c r="F1256" s="23">
        <f t="shared" si="1379"/>
        <v>2.0499999999999998</v>
      </c>
      <c r="G1256" s="23">
        <f t="shared" si="1380"/>
        <v>1.05</v>
      </c>
      <c r="H1256" s="4">
        <f t="shared" si="1381"/>
        <v>3.5767E-2</v>
      </c>
      <c r="I1256" s="2">
        <f t="shared" si="1382"/>
        <v>0.63929992125984247</v>
      </c>
      <c r="J1256" s="4">
        <f t="shared" si="1383"/>
        <v>0.21320652374015758</v>
      </c>
      <c r="K1256" s="4">
        <f t="shared" si="1384"/>
        <v>0.85250644500000006</v>
      </c>
      <c r="L1256" s="13">
        <f t="shared" si="1385"/>
        <v>2.9985007496251859</v>
      </c>
      <c r="M1256" s="3"/>
      <c r="N1256" s="3"/>
    </row>
    <row r="1257" spans="1:14" x14ac:dyDescent="0.2">
      <c r="A1257" s="4">
        <v>489203</v>
      </c>
      <c r="B1257" s="4">
        <v>100</v>
      </c>
      <c r="C1257" s="4">
        <v>6</v>
      </c>
      <c r="D1257" s="23">
        <v>3.4</v>
      </c>
      <c r="E1257" s="23">
        <v>1.6</v>
      </c>
      <c r="F1257" s="23">
        <f t="shared" si="1379"/>
        <v>3.4</v>
      </c>
      <c r="G1257" s="23">
        <f t="shared" si="1380"/>
        <v>1.6</v>
      </c>
      <c r="H1257" s="4">
        <f t="shared" si="1381"/>
        <v>3.5767E-2</v>
      </c>
      <c r="I1257" s="2">
        <f t="shared" si="1382"/>
        <v>1.1507398582677166</v>
      </c>
      <c r="J1257" s="4">
        <f t="shared" si="1383"/>
        <v>0.14831758173228379</v>
      </c>
      <c r="K1257" s="4">
        <f t="shared" si="1384"/>
        <v>1.2990574400000003</v>
      </c>
      <c r="L1257" s="13">
        <f t="shared" si="1385"/>
        <v>7.7586206896551557</v>
      </c>
      <c r="M1257" s="3">
        <f t="shared" ref="M1257" si="1402">AVERAGE(I1257:I1258)</f>
        <v>1.1187748622047247</v>
      </c>
      <c r="N1257" s="3">
        <f t="shared" ref="N1257" si="1403">AVERAGE(J1257:J1258)</f>
        <v>0.20058035029527577</v>
      </c>
    </row>
    <row r="1258" spans="1:14" x14ac:dyDescent="0.2">
      <c r="A1258" s="4"/>
      <c r="B1258" s="4">
        <v>100</v>
      </c>
      <c r="C1258" s="4">
        <v>6</v>
      </c>
      <c r="D1258" s="23">
        <v>3.35</v>
      </c>
      <c r="E1258" s="23">
        <v>1.65</v>
      </c>
      <c r="F1258" s="23">
        <f t="shared" si="1379"/>
        <v>3.35</v>
      </c>
      <c r="G1258" s="23">
        <f t="shared" si="1380"/>
        <v>1.65</v>
      </c>
      <c r="H1258" s="4">
        <f t="shared" si="1381"/>
        <v>3.5767E-2</v>
      </c>
      <c r="I1258" s="2">
        <f t="shared" si="1382"/>
        <v>1.0868098661417325</v>
      </c>
      <c r="J1258" s="4">
        <f t="shared" si="1383"/>
        <v>0.25284311885826777</v>
      </c>
      <c r="K1258" s="4">
        <f t="shared" si="1384"/>
        <v>1.3396529850000003</v>
      </c>
      <c r="L1258" s="13">
        <f t="shared" si="1385"/>
        <v>4.298356510745891</v>
      </c>
      <c r="M1258" s="3"/>
      <c r="N1258" s="3"/>
    </row>
    <row r="1259" spans="1:14" x14ac:dyDescent="0.2">
      <c r="A1259" s="4">
        <v>489204</v>
      </c>
      <c r="B1259" s="4">
        <v>100</v>
      </c>
      <c r="C1259" s="4">
        <v>6</v>
      </c>
      <c r="D1259" s="23">
        <v>4</v>
      </c>
      <c r="E1259" s="23">
        <v>1.8</v>
      </c>
      <c r="F1259" s="23">
        <f t="shared" si="1379"/>
        <v>4</v>
      </c>
      <c r="G1259" s="23">
        <f t="shared" si="1380"/>
        <v>1.8</v>
      </c>
      <c r="H1259" s="4">
        <f t="shared" si="1381"/>
        <v>3.5767E-2</v>
      </c>
      <c r="I1259" s="2">
        <f t="shared" si="1382"/>
        <v>1.4064598267716539</v>
      </c>
      <c r="J1259" s="4">
        <f t="shared" si="1383"/>
        <v>5.4979793228346646E-2</v>
      </c>
      <c r="K1259" s="4">
        <f t="shared" si="1384"/>
        <v>1.4614396200000006</v>
      </c>
      <c r="L1259" s="13">
        <f t="shared" si="1385"/>
        <v>25.581395348837127</v>
      </c>
      <c r="M1259" s="3">
        <f t="shared" ref="M1259" si="1404">AVERAGE(I1259:I1260)</f>
        <v>1.3585123326771655</v>
      </c>
      <c r="N1259" s="3">
        <f t="shared" ref="N1259" si="1405">AVERAGE(J1259:J1260)</f>
        <v>8.2629514822834815E-2</v>
      </c>
    </row>
    <row r="1260" spans="1:14" x14ac:dyDescent="0.2">
      <c r="A1260" s="4"/>
      <c r="B1260" s="4">
        <v>100</v>
      </c>
      <c r="C1260" s="4">
        <v>6</v>
      </c>
      <c r="D1260" s="23">
        <v>3.8</v>
      </c>
      <c r="E1260" s="23">
        <v>1.75</v>
      </c>
      <c r="F1260" s="23">
        <f t="shared" si="1379"/>
        <v>3.8</v>
      </c>
      <c r="G1260" s="23">
        <f t="shared" si="1380"/>
        <v>1.75</v>
      </c>
      <c r="H1260" s="4">
        <f t="shared" si="1381"/>
        <v>3.5767E-2</v>
      </c>
      <c r="I1260" s="2">
        <f t="shared" si="1382"/>
        <v>1.3105648385826771</v>
      </c>
      <c r="J1260" s="4">
        <f t="shared" si="1383"/>
        <v>0.11027923641732298</v>
      </c>
      <c r="K1260" s="4">
        <f t="shared" si="1384"/>
        <v>1.4208440750000002</v>
      </c>
      <c r="L1260" s="13">
        <f t="shared" si="1385"/>
        <v>11.884057971014476</v>
      </c>
      <c r="M1260" s="3"/>
      <c r="N1260" s="3"/>
    </row>
    <row r="1261" spans="1:14" x14ac:dyDescent="0.2">
      <c r="A1261" s="4">
        <v>489205</v>
      </c>
      <c r="B1261" s="4">
        <v>100</v>
      </c>
      <c r="C1261" s="4">
        <v>8</v>
      </c>
      <c r="D1261" s="23">
        <v>1.35</v>
      </c>
      <c r="E1261" s="23">
        <v>1</v>
      </c>
      <c r="F1261" s="23">
        <f t="shared" si="1379"/>
        <v>1.35</v>
      </c>
      <c r="G1261" s="23">
        <f t="shared" si="1380"/>
        <v>1</v>
      </c>
      <c r="H1261" s="4">
        <f t="shared" si="1381"/>
        <v>3.8630000000000001E-3</v>
      </c>
      <c r="I1261" s="2">
        <f t="shared" si="1382"/>
        <v>2.4166562992125992E-2</v>
      </c>
      <c r="J1261" s="4">
        <f t="shared" si="1383"/>
        <v>6.3523537007874026E-2</v>
      </c>
      <c r="K1261" s="4">
        <f t="shared" si="1384"/>
        <v>8.7690100000000021E-2</v>
      </c>
      <c r="L1261" s="13">
        <f t="shared" si="1385"/>
        <v>0.38043478260869573</v>
      </c>
      <c r="M1261" s="3">
        <f t="shared" ref="M1261" si="1406">AVERAGE(I1261:I1262)</f>
        <v>3.1071295275590556E-2</v>
      </c>
      <c r="N1261" s="3">
        <f t="shared" ref="N1261" si="1407">AVERAGE(J1261:J1262)</f>
        <v>8.0733582224409461E-2</v>
      </c>
    </row>
    <row r="1262" spans="1:14" x14ac:dyDescent="0.2">
      <c r="A1262" s="4"/>
      <c r="B1262" s="4">
        <v>100</v>
      </c>
      <c r="C1262" s="4">
        <v>8</v>
      </c>
      <c r="D1262" s="23">
        <v>2.1</v>
      </c>
      <c r="E1262" s="23">
        <v>1.55</v>
      </c>
      <c r="F1262" s="23">
        <f t="shared" si="1379"/>
        <v>2.1</v>
      </c>
      <c r="G1262" s="23">
        <f t="shared" si="1380"/>
        <v>1.55</v>
      </c>
      <c r="H1262" s="4">
        <f t="shared" si="1381"/>
        <v>3.8630000000000001E-3</v>
      </c>
      <c r="I1262" s="2">
        <f t="shared" si="1382"/>
        <v>3.7976027559055124E-2</v>
      </c>
      <c r="J1262" s="4">
        <f t="shared" si="1383"/>
        <v>9.7943627440944883E-2</v>
      </c>
      <c r="K1262" s="4">
        <f t="shared" si="1384"/>
        <v>0.135919655</v>
      </c>
      <c r="L1262" s="13">
        <f t="shared" si="1385"/>
        <v>0.38773352132534372</v>
      </c>
      <c r="M1262" s="3"/>
      <c r="N1262" s="3"/>
    </row>
    <row r="1263" spans="1:14" x14ac:dyDescent="0.2">
      <c r="A1263" s="4">
        <v>489206</v>
      </c>
      <c r="B1263" s="4">
        <v>100</v>
      </c>
      <c r="C1263" s="4">
        <v>8</v>
      </c>
      <c r="D1263" s="23">
        <v>1.65</v>
      </c>
      <c r="E1263" s="23">
        <v>1.1499999999999999</v>
      </c>
      <c r="F1263" s="23">
        <f t="shared" si="1379"/>
        <v>1.65</v>
      </c>
      <c r="G1263" s="23">
        <f t="shared" si="1380"/>
        <v>1.1499999999999999</v>
      </c>
      <c r="H1263" s="4">
        <f t="shared" si="1381"/>
        <v>3.8630000000000001E-3</v>
      </c>
      <c r="I1263" s="2">
        <f t="shared" si="1382"/>
        <v>3.452366141732284E-2</v>
      </c>
      <c r="J1263" s="4">
        <f t="shared" si="1383"/>
        <v>6.6319953582677144E-2</v>
      </c>
      <c r="K1263" s="4">
        <f t="shared" si="1384"/>
        <v>0.10084361499999998</v>
      </c>
      <c r="L1263" s="13">
        <f t="shared" si="1385"/>
        <v>0.52056220718375867</v>
      </c>
      <c r="M1263" s="3">
        <f t="shared" ref="M1263" si="1408">AVERAGE(I1263:I1264)</f>
        <v>3.1071295275590553E-2</v>
      </c>
      <c r="N1263" s="3">
        <f t="shared" ref="N1263" si="1409">AVERAGE(J1263:J1264)</f>
        <v>7.6349077224409437E-2</v>
      </c>
    </row>
    <row r="1264" spans="1:14" x14ac:dyDescent="0.2">
      <c r="A1264" s="4"/>
      <c r="B1264" s="4">
        <v>100</v>
      </c>
      <c r="C1264" s="4">
        <v>8</v>
      </c>
      <c r="D1264" s="23">
        <v>1.7</v>
      </c>
      <c r="E1264" s="23">
        <v>1.3</v>
      </c>
      <c r="F1264" s="23">
        <f t="shared" si="1379"/>
        <v>1.7</v>
      </c>
      <c r="G1264" s="23">
        <f t="shared" si="1380"/>
        <v>1.3</v>
      </c>
      <c r="H1264" s="4">
        <f t="shared" si="1381"/>
        <v>3.8630000000000001E-3</v>
      </c>
      <c r="I1264" s="2">
        <f t="shared" si="1382"/>
        <v>2.7618929133858265E-2</v>
      </c>
      <c r="J1264" s="4">
        <f t="shared" si="1383"/>
        <v>8.637820086614173E-2</v>
      </c>
      <c r="K1264" s="4">
        <f t="shared" si="1384"/>
        <v>0.11399713</v>
      </c>
      <c r="L1264" s="13">
        <f t="shared" si="1385"/>
        <v>0.31974420463629094</v>
      </c>
      <c r="M1264" s="3"/>
      <c r="N1264" s="3"/>
    </row>
    <row r="1265" spans="1:14" x14ac:dyDescent="0.2">
      <c r="A1265" s="4">
        <v>489208</v>
      </c>
      <c r="B1265" s="4">
        <v>100</v>
      </c>
      <c r="C1265" s="4">
        <v>8</v>
      </c>
      <c r="D1265" s="23">
        <v>3.3</v>
      </c>
      <c r="E1265" s="23">
        <v>2.15</v>
      </c>
      <c r="F1265" s="23">
        <f t="shared" si="1379"/>
        <v>3.3</v>
      </c>
      <c r="G1265" s="23">
        <f t="shared" si="1380"/>
        <v>2.15</v>
      </c>
      <c r="H1265" s="4">
        <f t="shared" si="1381"/>
        <v>3.8630000000000001E-3</v>
      </c>
      <c r="I1265" s="2">
        <f t="shared" si="1382"/>
        <v>7.9404421259842511E-2</v>
      </c>
      <c r="J1265" s="4">
        <f t="shared" si="1383"/>
        <v>0.10912929374015747</v>
      </c>
      <c r="K1265" s="4">
        <f t="shared" si="1384"/>
        <v>0.18853371499999999</v>
      </c>
      <c r="L1265" s="13">
        <f t="shared" si="1385"/>
        <v>0.72761784245491934</v>
      </c>
      <c r="M1265" s="3">
        <f t="shared" ref="M1265" si="1410">AVERAGE(I1265:I1266)</f>
        <v>7.9404421259842539E-2</v>
      </c>
      <c r="N1265" s="3">
        <f t="shared" ref="N1265" si="1411">AVERAGE(J1265:J1266)</f>
        <v>0.11570605124015744</v>
      </c>
    </row>
    <row r="1266" spans="1:14" x14ac:dyDescent="0.2">
      <c r="A1266" s="4"/>
      <c r="B1266" s="4">
        <v>100</v>
      </c>
      <c r="C1266" s="4">
        <v>8</v>
      </c>
      <c r="D1266" s="23">
        <v>3.45</v>
      </c>
      <c r="E1266" s="23">
        <v>2.2999999999999998</v>
      </c>
      <c r="F1266" s="23">
        <f t="shared" si="1379"/>
        <v>3.45</v>
      </c>
      <c r="G1266" s="23">
        <f t="shared" si="1380"/>
        <v>2.2999999999999998</v>
      </c>
      <c r="H1266" s="4">
        <f t="shared" si="1381"/>
        <v>3.8630000000000001E-3</v>
      </c>
      <c r="I1266" s="2">
        <f t="shared" si="1382"/>
        <v>7.9404421259842553E-2</v>
      </c>
      <c r="J1266" s="4">
        <f t="shared" si="1383"/>
        <v>0.12228280874015741</v>
      </c>
      <c r="K1266" s="4">
        <f t="shared" si="1384"/>
        <v>0.20168722999999997</v>
      </c>
      <c r="L1266" s="13">
        <f t="shared" si="1385"/>
        <v>0.64935064935065001</v>
      </c>
      <c r="M1266" s="3"/>
      <c r="N1266" s="3"/>
    </row>
    <row r="1267" spans="1:14" x14ac:dyDescent="0.2">
      <c r="A1267" s="4">
        <v>489209</v>
      </c>
      <c r="B1267" s="4">
        <v>100</v>
      </c>
      <c r="C1267" s="4">
        <v>8</v>
      </c>
      <c r="D1267" s="23">
        <v>7.55</v>
      </c>
      <c r="E1267" s="23">
        <v>4.6500000000000004</v>
      </c>
      <c r="F1267" s="23">
        <f t="shared" si="1379"/>
        <v>7.55</v>
      </c>
      <c r="G1267" s="23">
        <f t="shared" si="1380"/>
        <v>4.6500000000000004</v>
      </c>
      <c r="H1267" s="4">
        <f t="shared" si="1381"/>
        <v>3.8630000000000001E-3</v>
      </c>
      <c r="I1267" s="2">
        <f t="shared" si="1382"/>
        <v>0.2002372362204724</v>
      </c>
      <c r="J1267" s="4">
        <f t="shared" si="1383"/>
        <v>0.20752172877952774</v>
      </c>
      <c r="K1267" s="4">
        <f t="shared" si="1384"/>
        <v>0.40775896500000014</v>
      </c>
      <c r="L1267" s="13">
        <f t="shared" si="1385"/>
        <v>0.96489768757278227</v>
      </c>
      <c r="M1267" s="3">
        <f t="shared" ref="M1267" si="1412">AVERAGE(I1267:I1268)</f>
        <v>0.20023723622047243</v>
      </c>
      <c r="N1267" s="3">
        <f t="shared" ref="N1267" si="1413">AVERAGE(J1267:J1268)</f>
        <v>0.20313722377952767</v>
      </c>
    </row>
    <row r="1268" spans="1:14" x14ac:dyDescent="0.2">
      <c r="A1268" s="4"/>
      <c r="B1268" s="4">
        <v>100</v>
      </c>
      <c r="C1268" s="4">
        <v>8</v>
      </c>
      <c r="D1268" s="23">
        <v>7.45</v>
      </c>
      <c r="E1268" s="23">
        <v>4.55</v>
      </c>
      <c r="F1268" s="23">
        <f t="shared" si="1379"/>
        <v>7.45</v>
      </c>
      <c r="G1268" s="23">
        <f t="shared" si="1380"/>
        <v>4.55</v>
      </c>
      <c r="H1268" s="4">
        <f t="shared" si="1381"/>
        <v>3.8630000000000001E-3</v>
      </c>
      <c r="I1268" s="2">
        <f t="shared" si="1382"/>
        <v>0.20023723622047246</v>
      </c>
      <c r="J1268" s="4">
        <f t="shared" si="1383"/>
        <v>0.1987527187795276</v>
      </c>
      <c r="K1268" s="4">
        <f t="shared" si="1384"/>
        <v>0.39898995500000006</v>
      </c>
      <c r="L1268" s="13">
        <f t="shared" si="1385"/>
        <v>1.0074691679694283</v>
      </c>
      <c r="M1268" s="3"/>
      <c r="N1268" s="3"/>
    </row>
    <row r="1269" spans="1:14" x14ac:dyDescent="0.2">
      <c r="A1269" s="4">
        <v>489210</v>
      </c>
      <c r="B1269" s="4">
        <v>100</v>
      </c>
      <c r="C1269" s="4">
        <v>7</v>
      </c>
      <c r="D1269" s="23">
        <v>4.05</v>
      </c>
      <c r="E1269" s="23">
        <v>2.4</v>
      </c>
      <c r="F1269" s="23">
        <f t="shared" si="1379"/>
        <v>4.05</v>
      </c>
      <c r="G1269" s="23">
        <f t="shared" si="1380"/>
        <v>2.4</v>
      </c>
      <c r="H1269" s="4">
        <f t="shared" si="1381"/>
        <v>9.7450000000000002E-3</v>
      </c>
      <c r="I1269" s="2">
        <f t="shared" si="1382"/>
        <v>0.28740076771653539</v>
      </c>
      <c r="J1269" s="4">
        <f t="shared" si="1383"/>
        <v>0.24350683228346459</v>
      </c>
      <c r="K1269" s="4">
        <f t="shared" si="1384"/>
        <v>0.53090759999999992</v>
      </c>
      <c r="L1269" s="13">
        <f t="shared" si="1385"/>
        <v>1.1802575107296134</v>
      </c>
      <c r="M1269" s="3">
        <f t="shared" ref="M1269" si="1414">AVERAGE(I1269:I1270)</f>
        <v>0.30046443897637798</v>
      </c>
      <c r="N1269" s="3">
        <f t="shared" ref="N1269" si="1415">AVERAGE(J1269:J1270)</f>
        <v>0.22491287352362205</v>
      </c>
    </row>
    <row r="1270" spans="1:14" x14ac:dyDescent="0.2">
      <c r="A1270" s="4"/>
      <c r="B1270" s="4">
        <v>100</v>
      </c>
      <c r="C1270" s="4">
        <v>7</v>
      </c>
      <c r="D1270" s="23">
        <v>4.1500000000000004</v>
      </c>
      <c r="E1270" s="23">
        <v>2.35</v>
      </c>
      <c r="F1270" s="23">
        <f t="shared" si="1379"/>
        <v>4.1500000000000004</v>
      </c>
      <c r="G1270" s="23">
        <f t="shared" si="1380"/>
        <v>2.35</v>
      </c>
      <c r="H1270" s="4">
        <f t="shared" si="1381"/>
        <v>9.7450000000000002E-3</v>
      </c>
      <c r="I1270" s="2">
        <f t="shared" si="1382"/>
        <v>0.31352811023622057</v>
      </c>
      <c r="J1270" s="4">
        <f t="shared" si="1383"/>
        <v>0.2063189147637795</v>
      </c>
      <c r="K1270" s="4">
        <f t="shared" si="1384"/>
        <v>0.51984702500000002</v>
      </c>
      <c r="L1270" s="13">
        <f t="shared" si="1385"/>
        <v>1.5196285352469403</v>
      </c>
      <c r="M1270" s="3"/>
      <c r="N1270" s="3"/>
    </row>
    <row r="1271" spans="1:14" x14ac:dyDescent="0.2">
      <c r="A1271" s="4">
        <v>489211</v>
      </c>
      <c r="B1271" s="4">
        <v>100</v>
      </c>
      <c r="C1271" s="4">
        <v>7</v>
      </c>
      <c r="D1271" s="23">
        <v>4.1500000000000004</v>
      </c>
      <c r="E1271" s="23">
        <v>2.2999999999999998</v>
      </c>
      <c r="F1271" s="23">
        <f t="shared" si="1379"/>
        <v>4.1500000000000004</v>
      </c>
      <c r="G1271" s="23">
        <f t="shared" si="1380"/>
        <v>2.2999999999999998</v>
      </c>
      <c r="H1271" s="4">
        <f t="shared" si="1381"/>
        <v>9.7450000000000002E-3</v>
      </c>
      <c r="I1271" s="2">
        <f t="shared" si="1382"/>
        <v>0.32223722440944896</v>
      </c>
      <c r="J1271" s="4">
        <f t="shared" si="1383"/>
        <v>0.18654922559055101</v>
      </c>
      <c r="K1271" s="4">
        <f t="shared" si="1384"/>
        <v>0.50878645</v>
      </c>
      <c r="L1271" s="13">
        <f t="shared" si="1385"/>
        <v>1.7273576097105532</v>
      </c>
      <c r="M1271" s="3">
        <f t="shared" ref="M1271" si="1416">AVERAGE(I1271:I1272)</f>
        <v>0.30481899606299218</v>
      </c>
      <c r="N1271" s="3">
        <f t="shared" ref="N1271" si="1417">AVERAGE(J1271:J1272)</f>
        <v>0.19290687893700784</v>
      </c>
    </row>
    <row r="1272" spans="1:14" x14ac:dyDescent="0.2">
      <c r="A1272" s="4"/>
      <c r="B1272" s="4">
        <v>100</v>
      </c>
      <c r="C1272" s="4">
        <v>7</v>
      </c>
      <c r="D1272" s="23">
        <v>3.85</v>
      </c>
      <c r="E1272" s="23">
        <v>2.2000000000000002</v>
      </c>
      <c r="F1272" s="23">
        <f t="shared" si="1379"/>
        <v>3.85</v>
      </c>
      <c r="G1272" s="23">
        <f t="shared" si="1380"/>
        <v>2.2000000000000002</v>
      </c>
      <c r="H1272" s="4">
        <f t="shared" si="1381"/>
        <v>9.7450000000000002E-3</v>
      </c>
      <c r="I1272" s="2">
        <f t="shared" si="1382"/>
        <v>0.28740076771653539</v>
      </c>
      <c r="J1272" s="4">
        <f t="shared" si="1383"/>
        <v>0.19926453228346466</v>
      </c>
      <c r="K1272" s="4">
        <f t="shared" si="1384"/>
        <v>0.48666530000000008</v>
      </c>
      <c r="L1272" s="13">
        <f t="shared" si="1385"/>
        <v>1.4423076923076914</v>
      </c>
      <c r="M1272" s="3"/>
      <c r="N1272" s="3"/>
    </row>
    <row r="1273" spans="1:14" x14ac:dyDescent="0.2">
      <c r="A1273" s="4">
        <v>489212</v>
      </c>
      <c r="B1273" s="4">
        <v>100</v>
      </c>
      <c r="C1273" s="4">
        <v>7</v>
      </c>
      <c r="D1273" s="23">
        <v>5.35</v>
      </c>
      <c r="E1273" s="23">
        <v>2.8</v>
      </c>
      <c r="F1273" s="23">
        <f t="shared" si="1379"/>
        <v>5.35</v>
      </c>
      <c r="G1273" s="23">
        <f t="shared" si="1380"/>
        <v>2.8</v>
      </c>
      <c r="H1273" s="4">
        <f t="shared" si="1381"/>
        <v>9.7450000000000002E-3</v>
      </c>
      <c r="I1273" s="2">
        <f t="shared" si="1382"/>
        <v>0.4441648228346457</v>
      </c>
      <c r="J1273" s="4">
        <f t="shared" si="1383"/>
        <v>0.17522737716535428</v>
      </c>
      <c r="K1273" s="4">
        <f t="shared" si="1384"/>
        <v>0.61939219999999995</v>
      </c>
      <c r="L1273" s="13">
        <f t="shared" si="1385"/>
        <v>2.5347912524850904</v>
      </c>
      <c r="M1273" s="3">
        <f t="shared" ref="M1273" si="1418">AVERAGE(I1273:I1274)</f>
        <v>0.4441648228346457</v>
      </c>
      <c r="N1273" s="3">
        <f t="shared" ref="N1273" si="1419">AVERAGE(J1273:J1274)</f>
        <v>0.19181823966535441</v>
      </c>
    </row>
    <row r="1274" spans="1:14" x14ac:dyDescent="0.2">
      <c r="A1274" s="4"/>
      <c r="B1274" s="4">
        <v>100</v>
      </c>
      <c r="C1274" s="4">
        <v>7</v>
      </c>
      <c r="D1274" s="23">
        <v>5.5</v>
      </c>
      <c r="E1274" s="23">
        <v>2.95</v>
      </c>
      <c r="F1274" s="23">
        <f t="shared" si="1379"/>
        <v>5.5</v>
      </c>
      <c r="G1274" s="23">
        <f t="shared" si="1380"/>
        <v>2.95</v>
      </c>
      <c r="H1274" s="4">
        <f t="shared" si="1381"/>
        <v>9.7450000000000002E-3</v>
      </c>
      <c r="I1274" s="2">
        <f t="shared" si="1382"/>
        <v>0.4441648228346457</v>
      </c>
      <c r="J1274" s="4">
        <f t="shared" si="1383"/>
        <v>0.20840910216535455</v>
      </c>
      <c r="K1274" s="4">
        <f t="shared" si="1384"/>
        <v>0.65257392500000022</v>
      </c>
      <c r="L1274" s="13">
        <f t="shared" si="1385"/>
        <v>2.131216046803174</v>
      </c>
      <c r="M1274" s="3"/>
      <c r="N1274" s="3"/>
    </row>
    <row r="1275" spans="1:14" x14ac:dyDescent="0.2">
      <c r="A1275" s="4">
        <v>489213</v>
      </c>
      <c r="B1275" s="4">
        <v>100</v>
      </c>
      <c r="C1275" s="4">
        <v>6</v>
      </c>
      <c r="D1275" s="23">
        <v>2.4</v>
      </c>
      <c r="E1275" s="23">
        <v>1.1499999999999999</v>
      </c>
      <c r="F1275" s="23">
        <f t="shared" si="1379"/>
        <v>2.4</v>
      </c>
      <c r="G1275" s="23">
        <f t="shared" si="1380"/>
        <v>1.1499999999999999</v>
      </c>
      <c r="H1275" s="4">
        <f t="shared" si="1381"/>
        <v>3.5767E-2</v>
      </c>
      <c r="I1275" s="2">
        <f t="shared" si="1382"/>
        <v>0.7991249015748032</v>
      </c>
      <c r="J1275" s="4">
        <f t="shared" si="1383"/>
        <v>0.13457263342519676</v>
      </c>
      <c r="K1275" s="4">
        <f t="shared" si="1384"/>
        <v>0.93369753499999997</v>
      </c>
      <c r="L1275" s="13">
        <f t="shared" si="1385"/>
        <v>5.9382422802850394</v>
      </c>
      <c r="M1275" s="3">
        <f t="shared" ref="M1275" si="1420">AVERAGE(I1275:I1276)</f>
        <v>0.81510739960629919</v>
      </c>
      <c r="N1275" s="3">
        <f t="shared" ref="N1275" si="1421">AVERAGE(J1275:J1276)</f>
        <v>9.8292362893700885E-2</v>
      </c>
    </row>
    <row r="1276" spans="1:14" x14ac:dyDescent="0.2">
      <c r="A1276" s="4"/>
      <c r="B1276" s="4">
        <v>100</v>
      </c>
      <c r="C1276" s="4">
        <v>6</v>
      </c>
      <c r="D1276" s="23">
        <v>2.4</v>
      </c>
      <c r="E1276" s="23">
        <v>1.1000000000000001</v>
      </c>
      <c r="F1276" s="23">
        <f t="shared" si="1379"/>
        <v>2.4</v>
      </c>
      <c r="G1276" s="23">
        <f t="shared" si="1380"/>
        <v>1.1000000000000001</v>
      </c>
      <c r="H1276" s="4">
        <f t="shared" si="1381"/>
        <v>3.5767E-2</v>
      </c>
      <c r="I1276" s="2">
        <f t="shared" si="1382"/>
        <v>0.83108989763779517</v>
      </c>
      <c r="J1276" s="4">
        <f t="shared" si="1383"/>
        <v>6.2012092362205007E-2</v>
      </c>
      <c r="K1276" s="4">
        <f t="shared" si="1384"/>
        <v>0.89310199000000012</v>
      </c>
      <c r="L1276" s="13">
        <f t="shared" si="1385"/>
        <v>13.402061855670039</v>
      </c>
      <c r="M1276" s="3"/>
      <c r="N1276" s="3"/>
    </row>
    <row r="1277" spans="1:14" x14ac:dyDescent="0.2">
      <c r="A1277" s="4">
        <v>489214</v>
      </c>
      <c r="B1277" s="4">
        <v>100</v>
      </c>
      <c r="C1277" s="4">
        <v>8</v>
      </c>
      <c r="D1277" s="23">
        <v>2.9</v>
      </c>
      <c r="E1277" s="23">
        <v>1.95</v>
      </c>
      <c r="F1277" s="23">
        <f t="shared" si="1379"/>
        <v>2.9</v>
      </c>
      <c r="G1277" s="23">
        <f t="shared" si="1380"/>
        <v>1.95</v>
      </c>
      <c r="H1277" s="4">
        <f t="shared" si="1381"/>
        <v>3.8630000000000001E-3</v>
      </c>
      <c r="I1277" s="2">
        <f t="shared" si="1382"/>
        <v>6.5594956692913389E-2</v>
      </c>
      <c r="J1277" s="4">
        <f t="shared" si="1383"/>
        <v>0.10540073830708659</v>
      </c>
      <c r="K1277" s="4">
        <f t="shared" si="1384"/>
        <v>0.17099569499999998</v>
      </c>
      <c r="L1277" s="13">
        <f t="shared" si="1385"/>
        <v>0.62233868326236508</v>
      </c>
      <c r="M1277" s="3">
        <f t="shared" ref="M1277" si="1422">AVERAGE(I1277:I1278)</f>
        <v>6.2142590551181098E-2</v>
      </c>
      <c r="N1277" s="3">
        <f t="shared" ref="N1277" si="1423">AVERAGE(J1277:J1278)</f>
        <v>0.10227634694881889</v>
      </c>
    </row>
    <row r="1278" spans="1:14" x14ac:dyDescent="0.2">
      <c r="A1278" s="4"/>
      <c r="B1278" s="4">
        <v>100</v>
      </c>
      <c r="C1278" s="4">
        <v>8</v>
      </c>
      <c r="D1278" s="23">
        <v>2.65</v>
      </c>
      <c r="E1278" s="23">
        <v>1.8</v>
      </c>
      <c r="F1278" s="23">
        <f t="shared" si="1379"/>
        <v>2.65</v>
      </c>
      <c r="G1278" s="23">
        <f t="shared" si="1380"/>
        <v>1.8</v>
      </c>
      <c r="H1278" s="4">
        <f t="shared" si="1381"/>
        <v>3.8630000000000001E-3</v>
      </c>
      <c r="I1278" s="2">
        <f t="shared" si="1382"/>
        <v>5.8690224409448807E-2</v>
      </c>
      <c r="J1278" s="4">
        <f t="shared" si="1383"/>
        <v>9.9151955590551191E-2</v>
      </c>
      <c r="K1278" s="4">
        <f t="shared" si="1384"/>
        <v>0.15784218</v>
      </c>
      <c r="L1278" s="13">
        <f t="shared" si="1385"/>
        <v>0.59192200557103047</v>
      </c>
      <c r="M1278" s="3"/>
      <c r="N1278" s="3"/>
    </row>
    <row r="1279" spans="1:14" x14ac:dyDescent="0.2">
      <c r="A1279" s="4">
        <v>489215</v>
      </c>
      <c r="B1279" s="4">
        <v>100</v>
      </c>
      <c r="C1279" s="4">
        <v>8</v>
      </c>
      <c r="D1279" s="23">
        <v>2.8</v>
      </c>
      <c r="E1279" s="23">
        <v>1.8</v>
      </c>
      <c r="F1279" s="23">
        <f t="shared" si="1379"/>
        <v>2.8</v>
      </c>
      <c r="G1279" s="23">
        <f t="shared" si="1380"/>
        <v>1.8</v>
      </c>
      <c r="H1279" s="4">
        <f t="shared" si="1381"/>
        <v>3.8630000000000001E-3</v>
      </c>
      <c r="I1279" s="2">
        <f t="shared" si="1382"/>
        <v>6.9047322834645652E-2</v>
      </c>
      <c r="J1279" s="4">
        <f t="shared" si="1383"/>
        <v>8.879485716535436E-2</v>
      </c>
      <c r="K1279" s="4">
        <f t="shared" si="1384"/>
        <v>0.15784218</v>
      </c>
      <c r="L1279" s="13">
        <f t="shared" si="1385"/>
        <v>0.77760497667185025</v>
      </c>
      <c r="M1279" s="3">
        <f t="shared" ref="M1279" si="1424">AVERAGE(I1279:I1280)</f>
        <v>6.904732283464568E-2</v>
      </c>
      <c r="N1279" s="3">
        <f t="shared" ref="N1279" si="1425">AVERAGE(J1279:J1280)</f>
        <v>9.5371614665354335E-2</v>
      </c>
    </row>
    <row r="1280" spans="1:14" x14ac:dyDescent="0.2">
      <c r="A1280" s="4"/>
      <c r="B1280" s="4">
        <v>100</v>
      </c>
      <c r="C1280" s="4">
        <v>8</v>
      </c>
      <c r="D1280" s="23">
        <v>2.95</v>
      </c>
      <c r="E1280" s="23">
        <v>1.95</v>
      </c>
      <c r="F1280" s="23">
        <f t="shared" si="1379"/>
        <v>2.95</v>
      </c>
      <c r="G1280" s="23">
        <f t="shared" si="1380"/>
        <v>1.95</v>
      </c>
      <c r="H1280" s="4">
        <f t="shared" si="1381"/>
        <v>3.8630000000000001E-3</v>
      </c>
      <c r="I1280" s="2">
        <f t="shared" si="1382"/>
        <v>6.9047322834645694E-2</v>
      </c>
      <c r="J1280" s="4">
        <f t="shared" si="1383"/>
        <v>0.10194837216535431</v>
      </c>
      <c r="K1280" s="4">
        <f t="shared" si="1384"/>
        <v>0.170995695</v>
      </c>
      <c r="L1280" s="13">
        <f t="shared" si="1385"/>
        <v>0.67727734507280768</v>
      </c>
      <c r="M1280" s="3"/>
      <c r="N1280" s="3"/>
    </row>
    <row r="1281" spans="1:14" x14ac:dyDescent="0.2">
      <c r="A1281" s="4">
        <v>489216</v>
      </c>
      <c r="B1281" s="4">
        <v>100</v>
      </c>
      <c r="C1281" s="4">
        <v>8</v>
      </c>
      <c r="D1281" s="23">
        <v>7.45</v>
      </c>
      <c r="E1281" s="23">
        <v>4.3499999999999996</v>
      </c>
      <c r="F1281" s="23">
        <f t="shared" si="1379"/>
        <v>7.45</v>
      </c>
      <c r="G1281" s="23">
        <f t="shared" si="1380"/>
        <v>4.3499999999999996</v>
      </c>
      <c r="H1281" s="4">
        <f t="shared" si="1381"/>
        <v>3.8630000000000001E-3</v>
      </c>
      <c r="I1281" s="2">
        <f t="shared" si="1382"/>
        <v>0.21404670078740159</v>
      </c>
      <c r="J1281" s="4">
        <f t="shared" si="1383"/>
        <v>0.1674052342125984</v>
      </c>
      <c r="K1281" s="4">
        <f t="shared" si="1384"/>
        <v>0.38145193499999996</v>
      </c>
      <c r="L1281" s="13">
        <f t="shared" si="1385"/>
        <v>1.2786141472468553</v>
      </c>
      <c r="M1281" s="3">
        <f t="shared" ref="M1281" si="1426">AVERAGE(I1281:I1282)</f>
        <v>0.21404670078740157</v>
      </c>
      <c r="N1281" s="3">
        <f t="shared" ref="N1281" si="1427">AVERAGE(J1281:J1282)</f>
        <v>0.17398199171259843</v>
      </c>
    </row>
    <row r="1282" spans="1:14" x14ac:dyDescent="0.2">
      <c r="A1282" s="4"/>
      <c r="B1282" s="4">
        <v>100</v>
      </c>
      <c r="C1282" s="4">
        <v>8</v>
      </c>
      <c r="D1282" s="23">
        <v>7.6</v>
      </c>
      <c r="E1282" s="23">
        <v>4.5</v>
      </c>
      <c r="F1282" s="23">
        <f t="shared" si="1379"/>
        <v>7.6</v>
      </c>
      <c r="G1282" s="23">
        <f t="shared" si="1380"/>
        <v>4.5</v>
      </c>
      <c r="H1282" s="4">
        <f t="shared" si="1381"/>
        <v>3.8630000000000001E-3</v>
      </c>
      <c r="I1282" s="2">
        <f t="shared" si="1382"/>
        <v>0.21404670078740157</v>
      </c>
      <c r="J1282" s="4">
        <f t="shared" si="1383"/>
        <v>0.18055874921259843</v>
      </c>
      <c r="K1282" s="4">
        <f t="shared" si="1384"/>
        <v>0.39460545000000002</v>
      </c>
      <c r="L1282" s="13">
        <f t="shared" si="1385"/>
        <v>1.1854684512428297</v>
      </c>
      <c r="M1282" s="3"/>
      <c r="N1282" s="3"/>
    </row>
    <row r="1283" spans="1:14" x14ac:dyDescent="0.2">
      <c r="A1283" s="4">
        <v>489217</v>
      </c>
      <c r="B1283" s="4">
        <v>100</v>
      </c>
      <c r="C1283" s="4">
        <v>7</v>
      </c>
      <c r="D1283" s="23">
        <v>5.25</v>
      </c>
      <c r="E1283" s="23">
        <v>2.95</v>
      </c>
      <c r="F1283" s="23">
        <f t="shared" si="1379"/>
        <v>5.25</v>
      </c>
      <c r="G1283" s="23">
        <f t="shared" si="1380"/>
        <v>2.95</v>
      </c>
      <c r="H1283" s="4">
        <f t="shared" si="1381"/>
        <v>9.7450000000000002E-3</v>
      </c>
      <c r="I1283" s="2">
        <f t="shared" si="1382"/>
        <v>0.40061925196850395</v>
      </c>
      <c r="J1283" s="4">
        <f t="shared" si="1383"/>
        <v>0.25195467303149621</v>
      </c>
      <c r="K1283" s="4">
        <f t="shared" si="1384"/>
        <v>0.65257392500000022</v>
      </c>
      <c r="L1283" s="13">
        <f t="shared" si="1385"/>
        <v>1.5900449360525397</v>
      </c>
      <c r="M1283" s="3">
        <f t="shared" ref="M1283" si="1428">AVERAGE(I1283:I1284)</f>
        <v>0.40061925196850395</v>
      </c>
      <c r="N1283" s="3">
        <f t="shared" ref="N1283" si="1429">AVERAGE(J1283:J1284)</f>
        <v>0.25748496053149611</v>
      </c>
    </row>
    <row r="1284" spans="1:14" x14ac:dyDescent="0.2">
      <c r="A1284" s="4"/>
      <c r="B1284" s="4">
        <v>100</v>
      </c>
      <c r="C1284" s="4">
        <v>7</v>
      </c>
      <c r="D1284" s="23">
        <v>5.3</v>
      </c>
      <c r="E1284" s="23">
        <v>3</v>
      </c>
      <c r="F1284" s="23">
        <f t="shared" si="1379"/>
        <v>5.3</v>
      </c>
      <c r="G1284" s="23">
        <f t="shared" si="1380"/>
        <v>3</v>
      </c>
      <c r="H1284" s="4">
        <f t="shared" si="1381"/>
        <v>9.7450000000000002E-3</v>
      </c>
      <c r="I1284" s="2">
        <f t="shared" si="1382"/>
        <v>0.40061925196850395</v>
      </c>
      <c r="J1284" s="4">
        <f t="shared" si="1383"/>
        <v>0.26301524803149601</v>
      </c>
      <c r="K1284" s="4">
        <f t="shared" si="1384"/>
        <v>0.66363449999999991</v>
      </c>
      <c r="L1284" s="13">
        <f t="shared" si="1385"/>
        <v>1.5231788079470203</v>
      </c>
      <c r="M1284" s="3"/>
      <c r="N1284" s="3"/>
    </row>
    <row r="1285" spans="1:14" x14ac:dyDescent="0.2">
      <c r="A1285" s="4">
        <v>489218</v>
      </c>
      <c r="B1285" s="4">
        <v>100</v>
      </c>
      <c r="C1285" s="4">
        <v>6</v>
      </c>
      <c r="D1285" s="23">
        <v>2.35</v>
      </c>
      <c r="E1285" s="23">
        <v>1.2</v>
      </c>
      <c r="F1285" s="23">
        <f t="shared" si="1379"/>
        <v>2.35</v>
      </c>
      <c r="G1285" s="23">
        <f t="shared" si="1380"/>
        <v>1.2</v>
      </c>
      <c r="H1285" s="4">
        <f t="shared" si="1381"/>
        <v>3.5767E-2</v>
      </c>
      <c r="I1285" s="2">
        <f t="shared" si="1382"/>
        <v>0.73519490944881893</v>
      </c>
      <c r="J1285" s="4">
        <f t="shared" si="1383"/>
        <v>0.2390981705511811</v>
      </c>
      <c r="K1285" s="4">
        <f t="shared" si="1384"/>
        <v>0.97429308000000003</v>
      </c>
      <c r="L1285" s="13">
        <f t="shared" si="1385"/>
        <v>3.0748663101604281</v>
      </c>
      <c r="M1285" s="3">
        <f t="shared" ref="M1285" si="1430">AVERAGE(I1285:I1286)</f>
        <v>0.71921241141732284</v>
      </c>
      <c r="N1285" s="3">
        <f t="shared" ref="N1285" si="1431">AVERAGE(J1285:J1286)</f>
        <v>0.25508066858267725</v>
      </c>
    </row>
    <row r="1286" spans="1:14" x14ac:dyDescent="0.2">
      <c r="A1286" s="4"/>
      <c r="B1286" s="4">
        <v>100</v>
      </c>
      <c r="C1286" s="4">
        <v>6</v>
      </c>
      <c r="D1286" s="23">
        <v>2.2999999999999998</v>
      </c>
      <c r="E1286" s="23">
        <v>1.2</v>
      </c>
      <c r="F1286" s="23">
        <f t="shared" si="1379"/>
        <v>2.2999999999999998</v>
      </c>
      <c r="G1286" s="23">
        <f t="shared" si="1380"/>
        <v>1.2</v>
      </c>
      <c r="H1286" s="4">
        <f t="shared" si="1381"/>
        <v>3.5767E-2</v>
      </c>
      <c r="I1286" s="2">
        <f t="shared" si="1382"/>
        <v>0.70322991338582685</v>
      </c>
      <c r="J1286" s="4">
        <f t="shared" si="1383"/>
        <v>0.2710631666141734</v>
      </c>
      <c r="K1286" s="4">
        <f t="shared" si="1384"/>
        <v>0.97429308000000026</v>
      </c>
      <c r="L1286" s="13">
        <f t="shared" si="1385"/>
        <v>2.5943396226415083</v>
      </c>
      <c r="M1286" s="3"/>
      <c r="N1286" s="3"/>
    </row>
    <row r="1287" spans="1:14" x14ac:dyDescent="0.2">
      <c r="A1287" s="4">
        <v>489219</v>
      </c>
      <c r="B1287" s="4">
        <v>100</v>
      </c>
      <c r="C1287" s="4">
        <v>6</v>
      </c>
      <c r="D1287" s="23">
        <v>2.85</v>
      </c>
      <c r="E1287" s="23">
        <v>1.4</v>
      </c>
      <c r="F1287" s="23">
        <f t="shared" si="1379"/>
        <v>2.85</v>
      </c>
      <c r="G1287" s="23">
        <f t="shared" si="1380"/>
        <v>1.4</v>
      </c>
      <c r="H1287" s="4">
        <f t="shared" si="1381"/>
        <v>3.5767E-2</v>
      </c>
      <c r="I1287" s="2">
        <f t="shared" si="1382"/>
        <v>0.92698488582677185</v>
      </c>
      <c r="J1287" s="4">
        <f t="shared" si="1383"/>
        <v>0.20969037417322808</v>
      </c>
      <c r="K1287" s="4">
        <f t="shared" si="1384"/>
        <v>1.1366752599999999</v>
      </c>
      <c r="L1287" s="13">
        <f t="shared" si="1385"/>
        <v>4.4207317073170795</v>
      </c>
      <c r="M1287" s="3">
        <f t="shared" ref="M1287" si="1432">AVERAGE(I1287:I1288)</f>
        <v>0.91100238779527576</v>
      </c>
      <c r="N1287" s="3">
        <f t="shared" ref="N1287" si="1433">AVERAGE(J1287:J1288)</f>
        <v>0.18507732720472425</v>
      </c>
    </row>
    <row r="1288" spans="1:14" x14ac:dyDescent="0.2">
      <c r="A1288" s="4"/>
      <c r="B1288" s="4">
        <v>100</v>
      </c>
      <c r="C1288" s="4">
        <v>6</v>
      </c>
      <c r="D1288" s="23">
        <v>2.7</v>
      </c>
      <c r="E1288" s="23">
        <v>1.3</v>
      </c>
      <c r="F1288" s="23">
        <f t="shared" si="1379"/>
        <v>2.7</v>
      </c>
      <c r="G1288" s="23">
        <f t="shared" si="1380"/>
        <v>1.3</v>
      </c>
      <c r="H1288" s="4">
        <f t="shared" si="1381"/>
        <v>3.5767E-2</v>
      </c>
      <c r="I1288" s="2">
        <f t="shared" si="1382"/>
        <v>0.89501988976377977</v>
      </c>
      <c r="J1288" s="4">
        <f t="shared" si="1383"/>
        <v>0.16046428023622045</v>
      </c>
      <c r="K1288" s="4">
        <f t="shared" si="1384"/>
        <v>1.0554841700000002</v>
      </c>
      <c r="L1288" s="13">
        <f t="shared" si="1385"/>
        <v>5.5776892430278906</v>
      </c>
      <c r="M1288" s="3"/>
      <c r="N1288" s="3"/>
    </row>
    <row r="1289" spans="1:14" x14ac:dyDescent="0.2">
      <c r="A1289" s="4">
        <v>489220</v>
      </c>
      <c r="B1289" s="4">
        <v>100</v>
      </c>
      <c r="C1289" s="4">
        <v>6</v>
      </c>
      <c r="D1289" s="23">
        <v>2.1</v>
      </c>
      <c r="E1289" s="23">
        <v>1</v>
      </c>
      <c r="F1289" s="23">
        <f t="shared" si="1379"/>
        <v>2.1</v>
      </c>
      <c r="G1289" s="23">
        <f t="shared" si="1380"/>
        <v>1</v>
      </c>
      <c r="H1289" s="4">
        <f t="shared" si="1381"/>
        <v>3.5767E-2</v>
      </c>
      <c r="I1289" s="2">
        <f t="shared" si="1382"/>
        <v>0.70322991338582697</v>
      </c>
      <c r="J1289" s="4">
        <f t="shared" si="1383"/>
        <v>0.10868098661417321</v>
      </c>
      <c r="K1289" s="4">
        <f t="shared" si="1384"/>
        <v>0.81191090000000021</v>
      </c>
      <c r="L1289" s="13">
        <f t="shared" si="1385"/>
        <v>6.4705882352941204</v>
      </c>
      <c r="M1289" s="3">
        <f t="shared" ref="M1289" si="1434">AVERAGE(I1289:I1290)</f>
        <v>0.70322991338582685</v>
      </c>
      <c r="N1289" s="3">
        <f t="shared" ref="N1289" si="1435">AVERAGE(J1289:J1290)</f>
        <v>0.12897875911417322</v>
      </c>
    </row>
    <row r="1290" spans="1:14" x14ac:dyDescent="0.2">
      <c r="A1290" s="4"/>
      <c r="B1290" s="4">
        <v>100</v>
      </c>
      <c r="C1290" s="4">
        <v>6</v>
      </c>
      <c r="D1290" s="23">
        <v>2.15</v>
      </c>
      <c r="E1290" s="23">
        <v>1.05</v>
      </c>
      <c r="F1290" s="23">
        <f t="shared" si="1379"/>
        <v>2.15</v>
      </c>
      <c r="G1290" s="23">
        <f t="shared" si="1380"/>
        <v>1.05</v>
      </c>
      <c r="H1290" s="4">
        <f t="shared" si="1381"/>
        <v>3.5767E-2</v>
      </c>
      <c r="I1290" s="2">
        <f t="shared" si="1382"/>
        <v>0.70322991338582685</v>
      </c>
      <c r="J1290" s="4">
        <f t="shared" si="1383"/>
        <v>0.14927653161417326</v>
      </c>
      <c r="K1290" s="4">
        <f t="shared" si="1384"/>
        <v>0.85250644500000017</v>
      </c>
      <c r="L1290" s="13">
        <f t="shared" si="1385"/>
        <v>4.7109207708779444</v>
      </c>
      <c r="M1290" s="3"/>
      <c r="N1290" s="3"/>
    </row>
    <row r="1291" spans="1:14" x14ac:dyDescent="0.2">
      <c r="A1291" s="4">
        <v>489221</v>
      </c>
      <c r="B1291" s="4">
        <v>100</v>
      </c>
      <c r="C1291" s="4">
        <v>8</v>
      </c>
      <c r="D1291" s="23">
        <v>2.8</v>
      </c>
      <c r="E1291" s="23">
        <v>2.15</v>
      </c>
      <c r="F1291" s="23">
        <f t="shared" si="1379"/>
        <v>2.8</v>
      </c>
      <c r="G1291" s="23">
        <f t="shared" si="1380"/>
        <v>2.15</v>
      </c>
      <c r="H1291" s="4">
        <f t="shared" si="1381"/>
        <v>3.8630000000000001E-3</v>
      </c>
      <c r="I1291" s="2">
        <f t="shared" si="1382"/>
        <v>4.4880759842519685E-2</v>
      </c>
      <c r="J1291" s="4">
        <f t="shared" si="1383"/>
        <v>0.14365295515748031</v>
      </c>
      <c r="K1291" s="4">
        <f t="shared" si="1384"/>
        <v>0.18853371499999999</v>
      </c>
      <c r="L1291" s="13">
        <f t="shared" si="1385"/>
        <v>0.31242489786109112</v>
      </c>
      <c r="M1291" s="3">
        <f t="shared" ref="M1291" si="1436">AVERAGE(I1291:I1292)</f>
        <v>5.0059309055118108E-2</v>
      </c>
      <c r="N1291" s="3">
        <f t="shared" ref="N1291" si="1437">AVERAGE(J1291:J1292)</f>
        <v>0.1428589109448819</v>
      </c>
    </row>
    <row r="1292" spans="1:14" x14ac:dyDescent="0.2">
      <c r="A1292" s="4"/>
      <c r="B1292" s="4">
        <v>100</v>
      </c>
      <c r="C1292" s="4">
        <v>8</v>
      </c>
      <c r="D1292" s="23">
        <v>3.05</v>
      </c>
      <c r="E1292" s="23">
        <v>2.25</v>
      </c>
      <c r="F1292" s="23">
        <f t="shared" si="1379"/>
        <v>3.05</v>
      </c>
      <c r="G1292" s="23">
        <f t="shared" si="1380"/>
        <v>2.25</v>
      </c>
      <c r="H1292" s="4">
        <f t="shared" si="1381"/>
        <v>3.8630000000000001E-3</v>
      </c>
      <c r="I1292" s="2">
        <f t="shared" si="1382"/>
        <v>5.523785826771653E-2</v>
      </c>
      <c r="J1292" s="4">
        <f t="shared" si="1383"/>
        <v>0.14206486673228347</v>
      </c>
      <c r="K1292" s="4">
        <f t="shared" si="1384"/>
        <v>0.19730272500000001</v>
      </c>
      <c r="L1292" s="13">
        <f t="shared" si="1385"/>
        <v>0.38882138517618464</v>
      </c>
      <c r="M1292" s="3"/>
      <c r="N1292" s="3"/>
    </row>
    <row r="1293" spans="1:14" x14ac:dyDescent="0.2">
      <c r="A1293" s="4">
        <v>489222</v>
      </c>
      <c r="B1293" s="4">
        <v>100</v>
      </c>
      <c r="C1293" s="4">
        <v>8</v>
      </c>
      <c r="D1293" s="23">
        <v>2.7</v>
      </c>
      <c r="E1293" s="23">
        <v>2</v>
      </c>
      <c r="F1293" s="23">
        <f t="shared" si="1379"/>
        <v>2.7</v>
      </c>
      <c r="G1293" s="23">
        <f t="shared" si="1380"/>
        <v>2</v>
      </c>
      <c r="H1293" s="4">
        <f t="shared" si="1381"/>
        <v>3.8630000000000001E-3</v>
      </c>
      <c r="I1293" s="2">
        <f t="shared" si="1382"/>
        <v>4.8333125984251983E-2</v>
      </c>
      <c r="J1293" s="4">
        <f t="shared" si="1383"/>
        <v>0.12704707401574805</v>
      </c>
      <c r="K1293" s="4">
        <f t="shared" si="1384"/>
        <v>0.17538020000000004</v>
      </c>
      <c r="L1293" s="13">
        <f t="shared" si="1385"/>
        <v>0.38043478260869573</v>
      </c>
      <c r="M1293" s="3">
        <f t="shared" ref="M1293" si="1438">AVERAGE(I1293:I1294)</f>
        <v>4.8333125984251983E-2</v>
      </c>
      <c r="N1293" s="3">
        <f t="shared" ref="N1293" si="1439">AVERAGE(J1293:J1294)</f>
        <v>0.11608581151574804</v>
      </c>
    </row>
    <row r="1294" spans="1:14" x14ac:dyDescent="0.2">
      <c r="A1294" s="4"/>
      <c r="B1294" s="4">
        <v>100</v>
      </c>
      <c r="C1294" s="4">
        <v>8</v>
      </c>
      <c r="D1294" s="23">
        <v>2.4500000000000002</v>
      </c>
      <c r="E1294" s="23">
        <v>1.75</v>
      </c>
      <c r="F1294" s="23">
        <f t="shared" si="1379"/>
        <v>2.4500000000000002</v>
      </c>
      <c r="G1294" s="23">
        <f t="shared" si="1380"/>
        <v>1.75</v>
      </c>
      <c r="H1294" s="4">
        <f t="shared" si="1381"/>
        <v>3.8630000000000001E-3</v>
      </c>
      <c r="I1294" s="2">
        <f t="shared" si="1382"/>
        <v>4.8333125984251983E-2</v>
      </c>
      <c r="J1294" s="4">
        <f t="shared" si="1383"/>
        <v>0.10512454901574803</v>
      </c>
      <c r="K1294" s="4">
        <f t="shared" si="1384"/>
        <v>0.15345767500000002</v>
      </c>
      <c r="L1294" s="13">
        <f t="shared" si="1385"/>
        <v>0.4597701149425289</v>
      </c>
      <c r="M1294" s="3"/>
      <c r="N1294" s="3"/>
    </row>
    <row r="1295" spans="1:14" x14ac:dyDescent="0.2">
      <c r="A1295" s="4">
        <v>489223</v>
      </c>
      <c r="B1295" s="4">
        <v>100</v>
      </c>
      <c r="C1295" s="4">
        <v>8</v>
      </c>
      <c r="D1295" s="23">
        <v>2.4500000000000002</v>
      </c>
      <c r="E1295" s="23">
        <v>1.8</v>
      </c>
      <c r="F1295" s="23">
        <f t="shared" si="1379"/>
        <v>2.4500000000000002</v>
      </c>
      <c r="G1295" s="23">
        <f t="shared" si="1380"/>
        <v>1.8</v>
      </c>
      <c r="H1295" s="4">
        <f t="shared" si="1381"/>
        <v>3.8630000000000001E-3</v>
      </c>
      <c r="I1295" s="2">
        <f t="shared" si="1382"/>
        <v>4.4880759842519692E-2</v>
      </c>
      <c r="J1295" s="4">
        <f t="shared" si="1383"/>
        <v>0.11296142015748031</v>
      </c>
      <c r="K1295" s="4">
        <f t="shared" si="1384"/>
        <v>0.15784218</v>
      </c>
      <c r="L1295" s="13">
        <f t="shared" si="1385"/>
        <v>0.39731051344743284</v>
      </c>
      <c r="M1295" s="3">
        <f t="shared" ref="M1295" si="1440">AVERAGE(I1295:I1296)</f>
        <v>4.4880759842519692E-2</v>
      </c>
      <c r="N1295" s="3">
        <f t="shared" ref="N1295" si="1441">AVERAGE(J1295:J1296)</f>
        <v>0.1195381776574803</v>
      </c>
    </row>
    <row r="1296" spans="1:14" x14ac:dyDescent="0.2">
      <c r="A1296" s="4"/>
      <c r="B1296" s="4">
        <v>100</v>
      </c>
      <c r="C1296" s="4">
        <v>8</v>
      </c>
      <c r="D1296" s="23">
        <v>2.6</v>
      </c>
      <c r="E1296" s="23">
        <v>1.95</v>
      </c>
      <c r="F1296" s="23">
        <f t="shared" si="1379"/>
        <v>2.6</v>
      </c>
      <c r="G1296" s="23">
        <f t="shared" si="1380"/>
        <v>1.95</v>
      </c>
      <c r="H1296" s="4">
        <f t="shared" si="1381"/>
        <v>3.8630000000000001E-3</v>
      </c>
      <c r="I1296" s="2">
        <f t="shared" si="1382"/>
        <v>4.4880759842519692E-2</v>
      </c>
      <c r="J1296" s="4">
        <f t="shared" si="1383"/>
        <v>0.12611493515748029</v>
      </c>
      <c r="K1296" s="4">
        <f t="shared" si="1384"/>
        <v>0.17099569499999998</v>
      </c>
      <c r="L1296" s="13">
        <f t="shared" si="1385"/>
        <v>0.35587188612099657</v>
      </c>
      <c r="M1296" s="3"/>
      <c r="N1296" s="3"/>
    </row>
    <row r="1297" spans="1:14" x14ac:dyDescent="0.2">
      <c r="A1297" s="4">
        <v>489224</v>
      </c>
      <c r="B1297" s="4">
        <v>100</v>
      </c>
      <c r="C1297" s="4">
        <v>8</v>
      </c>
      <c r="D1297" s="23">
        <v>3.75</v>
      </c>
      <c r="E1297" s="23">
        <v>2.5499999999999998</v>
      </c>
      <c r="F1297" s="23">
        <f t="shared" si="1379"/>
        <v>3.75</v>
      </c>
      <c r="G1297" s="23">
        <f t="shared" si="1380"/>
        <v>2.5499999999999998</v>
      </c>
      <c r="H1297" s="4">
        <f t="shared" si="1381"/>
        <v>3.8630000000000001E-3</v>
      </c>
      <c r="I1297" s="2">
        <f t="shared" si="1382"/>
        <v>8.2856787401574816E-2</v>
      </c>
      <c r="J1297" s="4">
        <f t="shared" si="1383"/>
        <v>0.1407529675984252</v>
      </c>
      <c r="K1297" s="4">
        <f t="shared" si="1384"/>
        <v>0.22360975500000002</v>
      </c>
      <c r="L1297" s="13">
        <f t="shared" si="1385"/>
        <v>0.58866813833701259</v>
      </c>
      <c r="M1297" s="3">
        <f t="shared" ref="M1297" si="1442">AVERAGE(I1297:I1298)</f>
        <v>8.6309153543307093E-2</v>
      </c>
      <c r="N1297" s="3">
        <f t="shared" ref="N1297" si="1443">AVERAGE(J1297:J1298)</f>
        <v>0.13949285395669292</v>
      </c>
    </row>
    <row r="1298" spans="1:14" x14ac:dyDescent="0.2">
      <c r="A1298" s="4"/>
      <c r="B1298" s="4">
        <v>100</v>
      </c>
      <c r="C1298" s="4">
        <v>8</v>
      </c>
      <c r="D1298" s="23">
        <v>3.9</v>
      </c>
      <c r="E1298" s="23">
        <v>2.6</v>
      </c>
      <c r="F1298" s="23">
        <f t="shared" si="1379"/>
        <v>3.9</v>
      </c>
      <c r="G1298" s="23">
        <f t="shared" si="1380"/>
        <v>2.6</v>
      </c>
      <c r="H1298" s="4">
        <f t="shared" si="1381"/>
        <v>3.8630000000000001E-3</v>
      </c>
      <c r="I1298" s="2">
        <f t="shared" si="1382"/>
        <v>8.976151968503937E-2</v>
      </c>
      <c r="J1298" s="4">
        <f t="shared" si="1383"/>
        <v>0.13823274031496061</v>
      </c>
      <c r="K1298" s="4">
        <f t="shared" si="1384"/>
        <v>0.22799425999999998</v>
      </c>
      <c r="L1298" s="13">
        <f t="shared" si="1385"/>
        <v>0.64935064935064946</v>
      </c>
      <c r="M1298" s="3"/>
      <c r="N1298" s="3"/>
    </row>
    <row r="1299" spans="1:14" x14ac:dyDescent="0.2">
      <c r="A1299" s="4">
        <v>489225</v>
      </c>
      <c r="B1299" s="4">
        <v>100</v>
      </c>
      <c r="C1299" s="4">
        <v>7</v>
      </c>
      <c r="D1299" s="23">
        <v>6.3</v>
      </c>
      <c r="E1299" s="23">
        <v>3.5</v>
      </c>
      <c r="F1299" s="23">
        <f t="shared" si="1379"/>
        <v>6.3</v>
      </c>
      <c r="G1299" s="23">
        <f t="shared" si="1380"/>
        <v>3.5</v>
      </c>
      <c r="H1299" s="4">
        <f t="shared" si="1381"/>
        <v>9.7450000000000002E-3</v>
      </c>
      <c r="I1299" s="2">
        <f t="shared" si="1382"/>
        <v>0.48771039370078739</v>
      </c>
      <c r="J1299" s="4">
        <f t="shared" si="1383"/>
        <v>0.28652985629921268</v>
      </c>
      <c r="K1299" s="4">
        <f t="shared" si="1384"/>
        <v>0.77424025000000007</v>
      </c>
      <c r="L1299" s="13">
        <f t="shared" si="1385"/>
        <v>1.7021276595744677</v>
      </c>
      <c r="M1299" s="3">
        <f t="shared" ref="M1299" si="1444">AVERAGE(I1299:I1300)</f>
        <v>0.49206495078740153</v>
      </c>
      <c r="N1299" s="3">
        <f t="shared" ref="N1299" si="1445">AVERAGE(J1299:J1300)</f>
        <v>0.28217529921259854</v>
      </c>
    </row>
    <row r="1300" spans="1:14" x14ac:dyDescent="0.2">
      <c r="A1300" s="4"/>
      <c r="B1300" s="4">
        <v>100</v>
      </c>
      <c r="C1300" s="4">
        <v>7</v>
      </c>
      <c r="D1300" s="23">
        <v>6.35</v>
      </c>
      <c r="E1300" s="23">
        <v>3.5</v>
      </c>
      <c r="F1300" s="23">
        <f t="shared" si="1379"/>
        <v>6.35</v>
      </c>
      <c r="G1300" s="23">
        <f t="shared" si="1380"/>
        <v>3.5</v>
      </c>
      <c r="H1300" s="4">
        <f t="shared" si="1381"/>
        <v>9.7450000000000002E-3</v>
      </c>
      <c r="I1300" s="2">
        <f t="shared" si="1382"/>
        <v>0.49641950787401568</v>
      </c>
      <c r="J1300" s="4">
        <f t="shared" si="1383"/>
        <v>0.27782074212598434</v>
      </c>
      <c r="K1300" s="4">
        <f t="shared" si="1384"/>
        <v>0.77424025000000007</v>
      </c>
      <c r="L1300" s="13">
        <f t="shared" si="1385"/>
        <v>1.7868338557993722</v>
      </c>
      <c r="M1300" s="3"/>
      <c r="N1300" s="3"/>
    </row>
    <row r="1301" spans="1:14" x14ac:dyDescent="0.2">
      <c r="A1301" s="4">
        <v>489226</v>
      </c>
      <c r="B1301" s="4">
        <v>100</v>
      </c>
      <c r="C1301" s="4">
        <v>6</v>
      </c>
      <c r="D1301" s="23">
        <v>3.35</v>
      </c>
      <c r="E1301" s="23">
        <v>1.7</v>
      </c>
      <c r="F1301" s="23">
        <f t="shared" si="1379"/>
        <v>3.35</v>
      </c>
      <c r="G1301" s="23">
        <f t="shared" si="1380"/>
        <v>1.7</v>
      </c>
      <c r="H1301" s="4">
        <f t="shared" si="1381"/>
        <v>3.5767E-2</v>
      </c>
      <c r="I1301" s="2">
        <f t="shared" si="1382"/>
        <v>1.0548448700787403</v>
      </c>
      <c r="J1301" s="4">
        <f t="shared" si="1383"/>
        <v>0.32540365992126008</v>
      </c>
      <c r="K1301" s="4">
        <f t="shared" si="1384"/>
        <v>1.3802485300000003</v>
      </c>
      <c r="L1301" s="13">
        <f t="shared" si="1385"/>
        <v>3.2416502946954795</v>
      </c>
      <c r="M1301" s="3">
        <f t="shared" ref="M1301" si="1446">AVERAGE(I1301:I1302)</f>
        <v>1.0708273681102363</v>
      </c>
      <c r="N1301" s="3">
        <f t="shared" ref="N1301" si="1447">AVERAGE(J1301:J1302)</f>
        <v>0.30942116188976398</v>
      </c>
    </row>
    <row r="1302" spans="1:14" x14ac:dyDescent="0.2">
      <c r="A1302" s="4"/>
      <c r="B1302" s="4">
        <v>100</v>
      </c>
      <c r="C1302" s="4">
        <v>6</v>
      </c>
      <c r="D1302" s="23">
        <v>3.4</v>
      </c>
      <c r="E1302" s="23">
        <v>1.7</v>
      </c>
      <c r="F1302" s="23">
        <f t="shared" si="1379"/>
        <v>3.4</v>
      </c>
      <c r="G1302" s="23">
        <f t="shared" si="1380"/>
        <v>1.7</v>
      </c>
      <c r="H1302" s="4">
        <f t="shared" si="1381"/>
        <v>3.5767E-2</v>
      </c>
      <c r="I1302" s="2">
        <f t="shared" si="1382"/>
        <v>1.0868098661417323</v>
      </c>
      <c r="J1302" s="4">
        <f t="shared" si="1383"/>
        <v>0.29343866385826795</v>
      </c>
      <c r="K1302" s="4">
        <f t="shared" si="1384"/>
        <v>1.3802485300000003</v>
      </c>
      <c r="L1302" s="13">
        <f t="shared" si="1385"/>
        <v>3.7037037037037006</v>
      </c>
      <c r="M1302" s="3"/>
      <c r="N1302" s="3"/>
    </row>
    <row r="1303" spans="1:14" x14ac:dyDescent="0.2">
      <c r="A1303" s="4">
        <v>489227</v>
      </c>
      <c r="B1303" s="4">
        <v>100</v>
      </c>
      <c r="C1303" s="4">
        <v>7</v>
      </c>
      <c r="D1303" s="23">
        <v>6.05</v>
      </c>
      <c r="E1303" s="23">
        <v>3.15</v>
      </c>
      <c r="F1303" s="23">
        <f t="shared" si="1379"/>
        <v>6.05</v>
      </c>
      <c r="G1303" s="23">
        <f t="shared" si="1380"/>
        <v>3.15</v>
      </c>
      <c r="H1303" s="4">
        <f t="shared" si="1381"/>
        <v>9.7450000000000002E-3</v>
      </c>
      <c r="I1303" s="2">
        <f t="shared" si="1382"/>
        <v>0.50512862204724407</v>
      </c>
      <c r="J1303" s="4">
        <f t="shared" si="1383"/>
        <v>0.19168760295275594</v>
      </c>
      <c r="K1303" s="4">
        <f t="shared" si="1384"/>
        <v>0.69681622500000007</v>
      </c>
      <c r="L1303" s="13">
        <f t="shared" si="1385"/>
        <v>2.6351658337119486</v>
      </c>
      <c r="M1303" s="3">
        <f t="shared" ref="M1303" si="1448">AVERAGE(I1303:I1304)</f>
        <v>0.50512862204724407</v>
      </c>
      <c r="N1303" s="3">
        <f t="shared" ref="N1303" si="1449">AVERAGE(J1303:J1304)</f>
        <v>0.15850587795275595</v>
      </c>
    </row>
    <row r="1304" spans="1:14" x14ac:dyDescent="0.2">
      <c r="A1304" s="4"/>
      <c r="B1304" s="4">
        <v>100</v>
      </c>
      <c r="C1304" s="4">
        <v>7</v>
      </c>
      <c r="D1304" s="23">
        <v>5.75</v>
      </c>
      <c r="E1304" s="23">
        <v>2.85</v>
      </c>
      <c r="F1304" s="23">
        <f t="shared" si="1379"/>
        <v>5.75</v>
      </c>
      <c r="G1304" s="23">
        <f t="shared" si="1380"/>
        <v>2.85</v>
      </c>
      <c r="H1304" s="4">
        <f t="shared" si="1381"/>
        <v>9.7450000000000002E-3</v>
      </c>
      <c r="I1304" s="2">
        <f t="shared" si="1382"/>
        <v>0.50512862204724407</v>
      </c>
      <c r="J1304" s="4">
        <f t="shared" si="1383"/>
        <v>0.12532415295275595</v>
      </c>
      <c r="K1304" s="4">
        <f t="shared" si="1384"/>
        <v>0.63045277499999997</v>
      </c>
      <c r="L1304" s="13">
        <f t="shared" si="1385"/>
        <v>4.0305767894371076</v>
      </c>
      <c r="M1304" s="3"/>
      <c r="N1304" s="3"/>
    </row>
    <row r="1305" spans="1:14" x14ac:dyDescent="0.2">
      <c r="A1305" s="4">
        <v>489228</v>
      </c>
      <c r="B1305" s="4">
        <v>100</v>
      </c>
      <c r="C1305" s="4">
        <v>6</v>
      </c>
      <c r="D1305" s="23">
        <v>2.5499999999999998</v>
      </c>
      <c r="E1305" s="23">
        <v>1.4</v>
      </c>
      <c r="F1305" s="23">
        <f t="shared" ref="F1305:F1324" si="1450">IF($C1305=5,D1305-$D$5,IF($C1305=6,D1305-$D$6,IF($C1305=7,D1305-$D$7,IF($C1305=8,D1305-$D$8,D1305))))</f>
        <v>2.5499999999999998</v>
      </c>
      <c r="G1305" s="23">
        <f t="shared" ref="G1305:G1324" si="1451">IF($C1305=5,E1305-$D$5,IF($C1305=6,E1305-$D$6,IF($C1305=7,E1305-$D$7,IF($C1305=8,E1305-$D$8,E1305))))</f>
        <v>1.4</v>
      </c>
      <c r="H1305" s="4">
        <f t="shared" ref="H1305:H1324" si="1452">IF(C1305=1,32.7101,IF(C1305=2,8.14893,IF(C1305=3,1.42818,IF(C1305=4,0.44041,IF(C1305=5,0.123026,IF(C1305=6,0.035767,IF(C1305=7,0.009745,0.003863)))))))</f>
        <v>3.5767E-2</v>
      </c>
      <c r="I1305" s="2">
        <f t="shared" ref="I1305:I1324" si="1453">H1305*$A$3*(F1305-G1305)*1000/B1305</f>
        <v>0.73519490944881893</v>
      </c>
      <c r="J1305" s="4">
        <f t="shared" ref="J1305:J1324" si="1454">2.27*($A$3*G1305-($A$3-1)*F1305)*H1305*1000/B1305</f>
        <v>0.40148035055118131</v>
      </c>
      <c r="K1305" s="4">
        <f t="shared" ref="K1305:K1324" si="1455">(I1305+J1305)</f>
        <v>1.1366752600000003</v>
      </c>
      <c r="L1305" s="13">
        <f t="shared" ref="L1305:L1324" si="1456">(I1305/J1305)</f>
        <v>1.8312101910828018</v>
      </c>
      <c r="M1305" s="3">
        <f t="shared" ref="M1305" si="1457">AVERAGE(I1305:I1306)</f>
        <v>0.76715990551181112</v>
      </c>
      <c r="N1305" s="3">
        <f t="shared" ref="N1305" si="1458">AVERAGE(J1305:J1306)</f>
        <v>0.38981312698818915</v>
      </c>
    </row>
    <row r="1306" spans="1:14" x14ac:dyDescent="0.2">
      <c r="A1306" s="4"/>
      <c r="B1306" s="4">
        <v>100</v>
      </c>
      <c r="C1306" s="4">
        <v>6</v>
      </c>
      <c r="D1306" s="23">
        <v>2.7</v>
      </c>
      <c r="E1306" s="23">
        <v>1.45</v>
      </c>
      <c r="F1306" s="23">
        <f t="shared" si="1450"/>
        <v>2.7</v>
      </c>
      <c r="G1306" s="23">
        <f t="shared" si="1451"/>
        <v>1.45</v>
      </c>
      <c r="H1306" s="4">
        <f t="shared" si="1452"/>
        <v>3.5767E-2</v>
      </c>
      <c r="I1306" s="2">
        <f t="shared" si="1453"/>
        <v>0.79912490157480331</v>
      </c>
      <c r="J1306" s="4">
        <f t="shared" si="1454"/>
        <v>0.37814590342519694</v>
      </c>
      <c r="K1306" s="4">
        <f t="shared" si="1455"/>
        <v>1.1772708050000003</v>
      </c>
      <c r="L1306" s="13">
        <f t="shared" si="1456"/>
        <v>2.1132713440405748</v>
      </c>
      <c r="M1306" s="3"/>
      <c r="N1306" s="3"/>
    </row>
    <row r="1307" spans="1:14" x14ac:dyDescent="0.2">
      <c r="A1307" s="4">
        <v>489229</v>
      </c>
      <c r="B1307" s="4">
        <v>100</v>
      </c>
      <c r="C1307" s="4">
        <v>6</v>
      </c>
      <c r="D1307" s="23">
        <v>2.9</v>
      </c>
      <c r="E1307" s="23">
        <v>1.5</v>
      </c>
      <c r="F1307" s="23">
        <f t="shared" si="1450"/>
        <v>2.9</v>
      </c>
      <c r="G1307" s="23">
        <f t="shared" si="1451"/>
        <v>1.5</v>
      </c>
      <c r="H1307" s="4">
        <f t="shared" si="1452"/>
        <v>3.5767E-2</v>
      </c>
      <c r="I1307" s="2">
        <f t="shared" si="1453"/>
        <v>0.89501988976377955</v>
      </c>
      <c r="J1307" s="4">
        <f t="shared" si="1454"/>
        <v>0.32284646023622032</v>
      </c>
      <c r="K1307" s="4">
        <f t="shared" si="1455"/>
        <v>1.21786635</v>
      </c>
      <c r="L1307" s="13">
        <f t="shared" si="1456"/>
        <v>2.7722772277227739</v>
      </c>
      <c r="M1307" s="3">
        <f t="shared" ref="M1307" si="1459">AVERAGE(I1307:I1308)</f>
        <v>0.91100238779527576</v>
      </c>
      <c r="N1307" s="3">
        <f t="shared" ref="N1307" si="1460">AVERAGE(J1307:J1308)</f>
        <v>0.30686396220472423</v>
      </c>
    </row>
    <row r="1308" spans="1:14" x14ac:dyDescent="0.2">
      <c r="A1308" s="4"/>
      <c r="B1308" s="4">
        <v>100</v>
      </c>
      <c r="C1308" s="4">
        <v>6</v>
      </c>
      <c r="D1308" s="23">
        <v>2.95</v>
      </c>
      <c r="E1308" s="23">
        <v>1.5</v>
      </c>
      <c r="F1308" s="23">
        <f t="shared" si="1450"/>
        <v>2.95</v>
      </c>
      <c r="G1308" s="23">
        <f t="shared" si="1451"/>
        <v>1.5</v>
      </c>
      <c r="H1308" s="4">
        <f t="shared" si="1452"/>
        <v>3.5767E-2</v>
      </c>
      <c r="I1308" s="2">
        <f t="shared" si="1453"/>
        <v>0.92698488582677185</v>
      </c>
      <c r="J1308" s="4">
        <f t="shared" si="1454"/>
        <v>0.29088146417322819</v>
      </c>
      <c r="K1308" s="4">
        <f t="shared" si="1455"/>
        <v>1.21786635</v>
      </c>
      <c r="L1308" s="13">
        <f t="shared" si="1456"/>
        <v>3.1868131868131893</v>
      </c>
      <c r="M1308" s="3"/>
      <c r="N1308" s="3"/>
    </row>
    <row r="1309" spans="1:14" x14ac:dyDescent="0.2">
      <c r="A1309" s="4">
        <v>489230</v>
      </c>
      <c r="B1309" s="4">
        <v>100</v>
      </c>
      <c r="C1309" s="4">
        <v>7</v>
      </c>
      <c r="D1309" s="23">
        <v>4</v>
      </c>
      <c r="E1309" s="23">
        <v>2</v>
      </c>
      <c r="F1309" s="23">
        <f t="shared" si="1450"/>
        <v>4</v>
      </c>
      <c r="G1309" s="23">
        <f t="shared" si="1451"/>
        <v>2</v>
      </c>
      <c r="H1309" s="4">
        <f t="shared" si="1452"/>
        <v>9.7450000000000002E-3</v>
      </c>
      <c r="I1309" s="2">
        <f t="shared" si="1453"/>
        <v>0.34836456692913387</v>
      </c>
      <c r="J1309" s="4">
        <f t="shared" si="1454"/>
        <v>9.4058433070866171E-2</v>
      </c>
      <c r="K1309" s="4">
        <f t="shared" si="1455"/>
        <v>0.44242300000000001</v>
      </c>
      <c r="L1309" s="13">
        <f t="shared" si="1456"/>
        <v>3.7037037037037028</v>
      </c>
      <c r="M1309" s="3">
        <f t="shared" ref="M1309" si="1461">AVERAGE(I1309:I1310)</f>
        <v>0.33965545275590553</v>
      </c>
      <c r="N1309" s="3">
        <f t="shared" ref="N1309" si="1462">AVERAGE(J1309:J1310)</f>
        <v>9.1706972244094534E-2</v>
      </c>
    </row>
    <row r="1310" spans="1:14" x14ac:dyDescent="0.2">
      <c r="A1310" s="4"/>
      <c r="B1310" s="4">
        <v>100</v>
      </c>
      <c r="C1310" s="4">
        <v>7</v>
      </c>
      <c r="D1310" s="23">
        <v>3.8</v>
      </c>
      <c r="E1310" s="23">
        <v>1.9</v>
      </c>
      <c r="F1310" s="23">
        <f t="shared" si="1450"/>
        <v>3.8</v>
      </c>
      <c r="G1310" s="23">
        <f t="shared" si="1451"/>
        <v>1.9</v>
      </c>
      <c r="H1310" s="4">
        <f t="shared" si="1452"/>
        <v>9.7450000000000002E-3</v>
      </c>
      <c r="I1310" s="2">
        <f t="shared" si="1453"/>
        <v>0.33094633858267719</v>
      </c>
      <c r="J1310" s="4">
        <f t="shared" si="1454"/>
        <v>8.9355511417322897E-2</v>
      </c>
      <c r="K1310" s="4">
        <f t="shared" si="1455"/>
        <v>0.42030185000000009</v>
      </c>
      <c r="L1310" s="13">
        <f t="shared" si="1456"/>
        <v>3.7037037037037015</v>
      </c>
      <c r="M1310" s="3"/>
      <c r="N1310" s="3"/>
    </row>
    <row r="1311" spans="1:14" x14ac:dyDescent="0.2">
      <c r="A1311" s="4">
        <v>489231</v>
      </c>
      <c r="B1311" s="4">
        <v>100</v>
      </c>
      <c r="C1311" s="4">
        <v>7</v>
      </c>
      <c r="D1311" s="23">
        <v>2.2999999999999998</v>
      </c>
      <c r="E1311" s="23">
        <v>1.1499999999999999</v>
      </c>
      <c r="F1311" s="23">
        <f t="shared" si="1450"/>
        <v>2.2999999999999998</v>
      </c>
      <c r="G1311" s="23">
        <f t="shared" si="1451"/>
        <v>1.1499999999999999</v>
      </c>
      <c r="H1311" s="4">
        <f t="shared" si="1452"/>
        <v>9.7450000000000002E-3</v>
      </c>
      <c r="I1311" s="2">
        <f t="shared" si="1453"/>
        <v>0.20030962598425198</v>
      </c>
      <c r="J1311" s="4">
        <f t="shared" si="1454"/>
        <v>5.4083599015748031E-2</v>
      </c>
      <c r="K1311" s="4">
        <f t="shared" si="1455"/>
        <v>0.254393225</v>
      </c>
      <c r="L1311" s="13">
        <f t="shared" si="1456"/>
        <v>3.7037037037037037</v>
      </c>
      <c r="M1311" s="3">
        <f t="shared" ref="M1311" si="1463">AVERAGE(I1311:I1312)</f>
        <v>0.20901874015748031</v>
      </c>
      <c r="N1311" s="3">
        <f t="shared" ref="N1311" si="1464">AVERAGE(J1311:J1312)</f>
        <v>4.5374484842519672E-2</v>
      </c>
    </row>
    <row r="1312" spans="1:14" x14ac:dyDescent="0.2">
      <c r="A1312" s="4"/>
      <c r="B1312" s="4">
        <v>100</v>
      </c>
      <c r="C1312" s="4">
        <v>7</v>
      </c>
      <c r="D1312" s="23">
        <v>2.4</v>
      </c>
      <c r="E1312" s="23">
        <v>1.1499999999999999</v>
      </c>
      <c r="F1312" s="23">
        <f t="shared" si="1450"/>
        <v>2.4</v>
      </c>
      <c r="G1312" s="23">
        <f t="shared" si="1451"/>
        <v>1.1499999999999999</v>
      </c>
      <c r="H1312" s="4">
        <f t="shared" si="1452"/>
        <v>9.7450000000000002E-3</v>
      </c>
      <c r="I1312" s="2">
        <f t="shared" si="1453"/>
        <v>0.21772785433070865</v>
      </c>
      <c r="J1312" s="4">
        <f t="shared" si="1454"/>
        <v>3.6665370669291313E-2</v>
      </c>
      <c r="K1312" s="4">
        <f t="shared" si="1455"/>
        <v>0.25439322499999995</v>
      </c>
      <c r="L1312" s="13">
        <f t="shared" si="1456"/>
        <v>5.9382422802850394</v>
      </c>
      <c r="M1312" s="3"/>
      <c r="N1312" s="3"/>
    </row>
    <row r="1313" spans="1:14" x14ac:dyDescent="0.2">
      <c r="A1313" s="4">
        <v>489232</v>
      </c>
      <c r="B1313" s="4">
        <v>100</v>
      </c>
      <c r="C1313" s="4">
        <v>7</v>
      </c>
      <c r="D1313" s="23">
        <v>4.1500000000000004</v>
      </c>
      <c r="E1313" s="23">
        <v>2.5499999999999998</v>
      </c>
      <c r="F1313" s="23">
        <f t="shared" si="1450"/>
        <v>4.1500000000000004</v>
      </c>
      <c r="G1313" s="23">
        <f t="shared" si="1451"/>
        <v>2.5499999999999998</v>
      </c>
      <c r="H1313" s="4">
        <f t="shared" si="1452"/>
        <v>9.7450000000000002E-3</v>
      </c>
      <c r="I1313" s="2">
        <f t="shared" si="1453"/>
        <v>0.27869165354330716</v>
      </c>
      <c r="J1313" s="4">
        <f t="shared" si="1454"/>
        <v>0.28539767145669287</v>
      </c>
      <c r="K1313" s="4">
        <f t="shared" si="1455"/>
        <v>0.56408932500000009</v>
      </c>
      <c r="L1313" s="13">
        <f t="shared" si="1456"/>
        <v>0.97650289899298182</v>
      </c>
      <c r="M1313" s="3">
        <f t="shared" ref="M1313" si="1465">AVERAGE(I1313:I1314)</f>
        <v>0.27869165354330716</v>
      </c>
      <c r="N1313" s="3">
        <f t="shared" ref="N1313" si="1466">AVERAGE(J1313:J1314)</f>
        <v>0.29092795895669288</v>
      </c>
    </row>
    <row r="1314" spans="1:14" x14ac:dyDescent="0.2">
      <c r="A1314" s="4"/>
      <c r="B1314" s="4">
        <v>100</v>
      </c>
      <c r="C1314" s="4">
        <v>7</v>
      </c>
      <c r="D1314" s="23">
        <v>4.2</v>
      </c>
      <c r="E1314" s="23">
        <v>2.6</v>
      </c>
      <c r="F1314" s="23">
        <f t="shared" si="1450"/>
        <v>4.2</v>
      </c>
      <c r="G1314" s="23">
        <f t="shared" si="1451"/>
        <v>2.6</v>
      </c>
      <c r="H1314" s="4">
        <f t="shared" si="1452"/>
        <v>9.7450000000000002E-3</v>
      </c>
      <c r="I1314" s="2">
        <f t="shared" si="1453"/>
        <v>0.27869165354330711</v>
      </c>
      <c r="J1314" s="4">
        <f t="shared" si="1454"/>
        <v>0.29645824645669283</v>
      </c>
      <c r="K1314" s="4">
        <f t="shared" si="1455"/>
        <v>0.57514989999999999</v>
      </c>
      <c r="L1314" s="13">
        <f t="shared" si="1456"/>
        <v>0.94007050528789693</v>
      </c>
      <c r="M1314" s="3"/>
      <c r="N1314" s="3"/>
    </row>
    <row r="1315" spans="1:14" x14ac:dyDescent="0.2">
      <c r="A1315" s="4">
        <v>489233</v>
      </c>
      <c r="B1315" s="4">
        <v>100</v>
      </c>
      <c r="C1315" s="4">
        <v>6</v>
      </c>
      <c r="D1315" s="23">
        <v>2.5</v>
      </c>
      <c r="E1315" s="23">
        <v>1.35</v>
      </c>
      <c r="F1315" s="23">
        <f t="shared" si="1450"/>
        <v>2.5</v>
      </c>
      <c r="G1315" s="23">
        <f t="shared" si="1451"/>
        <v>1.35</v>
      </c>
      <c r="H1315" s="4">
        <f t="shared" si="1452"/>
        <v>3.5767E-2</v>
      </c>
      <c r="I1315" s="2">
        <f t="shared" si="1453"/>
        <v>0.73519490944881893</v>
      </c>
      <c r="J1315" s="4">
        <f t="shared" si="1454"/>
        <v>0.36088480555118124</v>
      </c>
      <c r="K1315" s="4">
        <f t="shared" si="1455"/>
        <v>1.0960797150000001</v>
      </c>
      <c r="L1315" s="13">
        <f t="shared" si="1456"/>
        <v>2.0372010628875103</v>
      </c>
      <c r="M1315" s="3">
        <f t="shared" ref="M1315" si="1467">AVERAGE(I1315:I1316)</f>
        <v>0.73519490944881893</v>
      </c>
      <c r="N1315" s="3">
        <f t="shared" ref="N1315" si="1468">AVERAGE(J1315:J1316)</f>
        <v>0.34058703305118115</v>
      </c>
    </row>
    <row r="1316" spans="1:14" x14ac:dyDescent="0.2">
      <c r="A1316" s="4"/>
      <c r="B1316" s="4">
        <v>100</v>
      </c>
      <c r="C1316" s="4">
        <v>6</v>
      </c>
      <c r="D1316" s="23">
        <v>2.4500000000000002</v>
      </c>
      <c r="E1316" s="23">
        <v>1.3</v>
      </c>
      <c r="F1316" s="23">
        <f t="shared" si="1450"/>
        <v>2.4500000000000002</v>
      </c>
      <c r="G1316" s="23">
        <f t="shared" si="1451"/>
        <v>1.3</v>
      </c>
      <c r="H1316" s="4">
        <f t="shared" si="1452"/>
        <v>3.5767E-2</v>
      </c>
      <c r="I1316" s="2">
        <f t="shared" si="1453"/>
        <v>0.73519490944881893</v>
      </c>
      <c r="J1316" s="4">
        <f t="shared" si="1454"/>
        <v>0.32028926055118107</v>
      </c>
      <c r="K1316" s="4">
        <f t="shared" si="1455"/>
        <v>1.0554841699999999</v>
      </c>
      <c r="L1316" s="13">
        <f t="shared" si="1456"/>
        <v>2.2954091816367268</v>
      </c>
      <c r="M1316" s="3"/>
      <c r="N1316" s="3"/>
    </row>
    <row r="1317" spans="1:14" x14ac:dyDescent="0.2">
      <c r="A1317" s="4">
        <v>489234</v>
      </c>
      <c r="B1317" s="4">
        <v>100</v>
      </c>
      <c r="C1317" s="4">
        <v>6</v>
      </c>
      <c r="D1317" s="23">
        <v>3.15</v>
      </c>
      <c r="E1317" s="23">
        <v>1.65</v>
      </c>
      <c r="F1317" s="23">
        <f t="shared" si="1450"/>
        <v>3.15</v>
      </c>
      <c r="G1317" s="23">
        <f t="shared" si="1451"/>
        <v>1.65</v>
      </c>
      <c r="H1317" s="4">
        <f t="shared" si="1452"/>
        <v>3.5767E-2</v>
      </c>
      <c r="I1317" s="2">
        <f t="shared" si="1453"/>
        <v>0.95894988188976371</v>
      </c>
      <c r="J1317" s="4">
        <f t="shared" si="1454"/>
        <v>0.38070310311023642</v>
      </c>
      <c r="K1317" s="4">
        <f t="shared" si="1455"/>
        <v>1.3396529850000001</v>
      </c>
      <c r="L1317" s="13">
        <f t="shared" si="1456"/>
        <v>2.5188916876574292</v>
      </c>
      <c r="M1317" s="3">
        <f t="shared" ref="M1317" si="1469">AVERAGE(I1317:I1318)</f>
        <v>0.95894988188976371</v>
      </c>
      <c r="N1317" s="3">
        <f t="shared" ref="N1317" si="1470">AVERAGE(J1317:J1318)</f>
        <v>0.3604053306102365</v>
      </c>
    </row>
    <row r="1318" spans="1:14" x14ac:dyDescent="0.2">
      <c r="A1318" s="4"/>
      <c r="B1318" s="4">
        <v>100</v>
      </c>
      <c r="C1318" s="4">
        <v>6</v>
      </c>
      <c r="D1318" s="23">
        <v>3.1</v>
      </c>
      <c r="E1318" s="23">
        <v>1.6</v>
      </c>
      <c r="F1318" s="23">
        <f t="shared" si="1450"/>
        <v>3.1</v>
      </c>
      <c r="G1318" s="23">
        <f t="shared" si="1451"/>
        <v>1.6</v>
      </c>
      <c r="H1318" s="4">
        <f t="shared" si="1452"/>
        <v>3.5767E-2</v>
      </c>
      <c r="I1318" s="2">
        <f t="shared" si="1453"/>
        <v>0.95894988188976371</v>
      </c>
      <c r="J1318" s="4">
        <f t="shared" si="1454"/>
        <v>0.34010755811023657</v>
      </c>
      <c r="K1318" s="4">
        <f t="shared" si="1455"/>
        <v>1.2990574400000003</v>
      </c>
      <c r="L1318" s="13">
        <f t="shared" si="1456"/>
        <v>2.819548872180448</v>
      </c>
      <c r="M1318" s="3"/>
      <c r="N1318" s="3"/>
    </row>
    <row r="1319" spans="1:14" x14ac:dyDescent="0.2">
      <c r="A1319" s="4">
        <v>489235</v>
      </c>
      <c r="B1319" s="4">
        <v>100</v>
      </c>
      <c r="C1319" s="4">
        <v>7</v>
      </c>
      <c r="D1319" s="23">
        <v>4.1500000000000004</v>
      </c>
      <c r="E1319" s="23">
        <v>2.0499999999999998</v>
      </c>
      <c r="F1319" s="23">
        <f t="shared" si="1450"/>
        <v>4.1500000000000004</v>
      </c>
      <c r="G1319" s="23">
        <f t="shared" si="1451"/>
        <v>2.0499999999999998</v>
      </c>
      <c r="H1319" s="4">
        <f t="shared" si="1452"/>
        <v>9.7450000000000002E-3</v>
      </c>
      <c r="I1319" s="2">
        <f t="shared" si="1453"/>
        <v>0.3657827952755906</v>
      </c>
      <c r="J1319" s="4">
        <f t="shared" si="1454"/>
        <v>8.7700779724409372E-2</v>
      </c>
      <c r="K1319" s="4">
        <f t="shared" si="1455"/>
        <v>0.45348357499999997</v>
      </c>
      <c r="L1319" s="13">
        <f t="shared" si="1456"/>
        <v>4.1708043694141059</v>
      </c>
      <c r="M1319" s="3">
        <f t="shared" ref="M1319" si="1471">AVERAGE(I1319:I1320)</f>
        <v>0.36578279527559054</v>
      </c>
      <c r="N1319" s="3">
        <f t="shared" ref="N1319" si="1472">AVERAGE(J1319:J1320)</f>
        <v>9.8761354724409375E-2</v>
      </c>
    </row>
    <row r="1320" spans="1:14" x14ac:dyDescent="0.2">
      <c r="A1320" s="4"/>
      <c r="B1320" s="4">
        <v>100</v>
      </c>
      <c r="C1320" s="4">
        <v>7</v>
      </c>
      <c r="D1320" s="23">
        <v>4.25</v>
      </c>
      <c r="E1320" s="23">
        <v>2.15</v>
      </c>
      <c r="F1320" s="23">
        <f t="shared" si="1450"/>
        <v>4.25</v>
      </c>
      <c r="G1320" s="23">
        <f t="shared" si="1451"/>
        <v>2.15</v>
      </c>
      <c r="H1320" s="4">
        <f t="shared" si="1452"/>
        <v>9.7450000000000002E-3</v>
      </c>
      <c r="I1320" s="2">
        <f t="shared" si="1453"/>
        <v>0.36578279527559054</v>
      </c>
      <c r="J1320" s="4">
        <f t="shared" si="1454"/>
        <v>0.10982192972440938</v>
      </c>
      <c r="K1320" s="4">
        <f t="shared" si="1455"/>
        <v>0.47560472499999995</v>
      </c>
      <c r="L1320" s="13">
        <f t="shared" si="1456"/>
        <v>3.3306899286280749</v>
      </c>
      <c r="M1320" s="3"/>
      <c r="N1320" s="3"/>
    </row>
    <row r="1321" spans="1:14" x14ac:dyDescent="0.2">
      <c r="A1321" s="4">
        <v>489236</v>
      </c>
      <c r="B1321" s="4">
        <v>100</v>
      </c>
      <c r="C1321" s="4">
        <v>7</v>
      </c>
      <c r="D1321" s="23">
        <v>3.45</v>
      </c>
      <c r="E1321" s="23">
        <v>1.75</v>
      </c>
      <c r="F1321" s="23">
        <f t="shared" si="1450"/>
        <v>3.45</v>
      </c>
      <c r="G1321" s="23">
        <f t="shared" si="1451"/>
        <v>1.75</v>
      </c>
      <c r="H1321" s="4">
        <f t="shared" si="1452"/>
        <v>9.7450000000000002E-3</v>
      </c>
      <c r="I1321" s="2">
        <f t="shared" si="1453"/>
        <v>0.29610988188976384</v>
      </c>
      <c r="J1321" s="4">
        <f t="shared" si="1454"/>
        <v>9.1010243110236158E-2</v>
      </c>
      <c r="K1321" s="4">
        <f t="shared" si="1455"/>
        <v>0.38712012499999998</v>
      </c>
      <c r="L1321" s="13">
        <f t="shared" si="1456"/>
        <v>3.2535885167464142</v>
      </c>
      <c r="M1321" s="3">
        <f t="shared" ref="M1321" si="1473">AVERAGE(I1321:I1322)</f>
        <v>0.30481899606299212</v>
      </c>
      <c r="N1321" s="3">
        <f t="shared" ref="N1321" si="1474">AVERAGE(J1321:J1322)</f>
        <v>8.2301128937007875E-2</v>
      </c>
    </row>
    <row r="1322" spans="1:14" x14ac:dyDescent="0.2">
      <c r="A1322" s="4"/>
      <c r="B1322" s="4">
        <v>100</v>
      </c>
      <c r="C1322" s="4">
        <v>7</v>
      </c>
      <c r="D1322" s="23">
        <v>3.55</v>
      </c>
      <c r="E1322" s="23">
        <v>1.75</v>
      </c>
      <c r="F1322" s="23">
        <f t="shared" si="1450"/>
        <v>3.55</v>
      </c>
      <c r="G1322" s="23">
        <f t="shared" si="1451"/>
        <v>1.75</v>
      </c>
      <c r="H1322" s="4">
        <f t="shared" si="1452"/>
        <v>9.7450000000000002E-3</v>
      </c>
      <c r="I1322" s="2">
        <f t="shared" si="1453"/>
        <v>0.3135281102362204</v>
      </c>
      <c r="J1322" s="4">
        <f t="shared" si="1454"/>
        <v>7.3592014763779592E-2</v>
      </c>
      <c r="K1322" s="4">
        <f t="shared" si="1455"/>
        <v>0.38712012499999998</v>
      </c>
      <c r="L1322" s="13">
        <f t="shared" si="1456"/>
        <v>4.2603550295857939</v>
      </c>
      <c r="M1322" s="3"/>
      <c r="N1322" s="3"/>
    </row>
    <row r="1323" spans="1:14" x14ac:dyDescent="0.2">
      <c r="A1323" s="4">
        <v>489237</v>
      </c>
      <c r="B1323" s="4">
        <v>100</v>
      </c>
      <c r="C1323" s="4">
        <v>7</v>
      </c>
      <c r="D1323" s="23">
        <v>3.15</v>
      </c>
      <c r="E1323" s="23">
        <v>1.55</v>
      </c>
      <c r="F1323" s="23">
        <f t="shared" si="1450"/>
        <v>3.15</v>
      </c>
      <c r="G1323" s="23">
        <f t="shared" si="1451"/>
        <v>1.55</v>
      </c>
      <c r="H1323" s="4">
        <f t="shared" si="1452"/>
        <v>9.7450000000000002E-3</v>
      </c>
      <c r="I1323" s="2">
        <f t="shared" si="1453"/>
        <v>0.27869165354330705</v>
      </c>
      <c r="J1323" s="4">
        <f t="shared" si="1454"/>
        <v>6.4186171456692975E-2</v>
      </c>
      <c r="K1323" s="4">
        <f t="shared" si="1455"/>
        <v>0.34287782500000002</v>
      </c>
      <c r="L1323" s="13">
        <f t="shared" si="1456"/>
        <v>4.3419267299864268</v>
      </c>
      <c r="M1323" s="3">
        <f t="shared" ref="M1323" si="1475">AVERAGE(I1323:I1324)</f>
        <v>0.28740076771653539</v>
      </c>
      <c r="N1323" s="3">
        <f t="shared" ref="N1323" si="1476">AVERAGE(J1323:J1324)</f>
        <v>6.1007344783464618E-2</v>
      </c>
    </row>
    <row r="1324" spans="1:14" x14ac:dyDescent="0.2">
      <c r="B1324" s="4">
        <v>100</v>
      </c>
      <c r="C1324" s="4">
        <v>7</v>
      </c>
      <c r="D1324" s="23">
        <v>3.3</v>
      </c>
      <c r="E1324" s="23">
        <v>1.6</v>
      </c>
      <c r="F1324" s="23">
        <f t="shared" si="1450"/>
        <v>3.3</v>
      </c>
      <c r="G1324" s="23">
        <f t="shared" si="1451"/>
        <v>1.6</v>
      </c>
      <c r="H1324" s="4">
        <f t="shared" si="1452"/>
        <v>9.7450000000000002E-3</v>
      </c>
      <c r="I1324" s="2">
        <f t="shared" si="1453"/>
        <v>0.29610988188976373</v>
      </c>
      <c r="J1324" s="4">
        <f t="shared" si="1454"/>
        <v>5.7828518110236267E-2</v>
      </c>
      <c r="K1324" s="4">
        <f t="shared" si="1455"/>
        <v>0.35393839999999999</v>
      </c>
      <c r="L1324" s="13">
        <f t="shared" si="1456"/>
        <v>5.1204819277108387</v>
      </c>
      <c r="M1324" s="3"/>
      <c r="N1324" s="3"/>
    </row>
    <row r="1325" spans="1:14" x14ac:dyDescent="0.2">
      <c r="A1325" s="4">
        <v>489238</v>
      </c>
      <c r="B1325" s="4">
        <v>100</v>
      </c>
      <c r="C1325" s="4">
        <v>8</v>
      </c>
      <c r="D1325" s="23">
        <v>3.75</v>
      </c>
      <c r="E1325" s="23">
        <v>2.5499999999999998</v>
      </c>
      <c r="F1325" s="23">
        <f t="shared" ref="F1325:F1388" si="1477">IF($C1325=5,D1325-$D$5,IF($C1325=6,D1325-$D$6,IF($C1325=7,D1325-$D$7,IF($C1325=8,D1325-$D$8,D1325))))</f>
        <v>3.75</v>
      </c>
      <c r="G1325" s="23">
        <f t="shared" ref="G1325:G1388" si="1478">IF($C1325=5,E1325-$D$5,IF($C1325=6,E1325-$D$6,IF($C1325=7,E1325-$D$7,IF($C1325=8,E1325-$D$8,E1325))))</f>
        <v>2.5499999999999998</v>
      </c>
      <c r="H1325" s="4">
        <f t="shared" ref="H1325:H1388" si="1479">IF(C1325=1,32.7101,IF(C1325=2,8.14893,IF(C1325=3,1.42818,IF(C1325=4,0.44041,IF(C1325=5,0.123026,IF(C1325=6,0.035767,IF(C1325=7,0.009745,0.003863)))))))</f>
        <v>3.8630000000000001E-3</v>
      </c>
      <c r="I1325" s="2">
        <f t="shared" ref="I1325:I1388" si="1480">H1325*$A$3*(F1325-G1325)*1000/B1325</f>
        <v>8.2856787401574816E-2</v>
      </c>
      <c r="J1325" s="4">
        <f t="shared" ref="J1325:J1388" si="1481">2.27*($A$3*G1325-($A$3-1)*F1325)*H1325*1000/B1325</f>
        <v>0.1407529675984252</v>
      </c>
      <c r="K1325" s="4">
        <f t="shared" ref="K1325:K1388" si="1482">(I1325+J1325)</f>
        <v>0.22360975500000002</v>
      </c>
      <c r="L1325" s="13">
        <f t="shared" ref="L1325:L1388" si="1483">(I1325/J1325)</f>
        <v>0.58866813833701259</v>
      </c>
      <c r="M1325" s="3">
        <f t="shared" ref="M1325" si="1484">AVERAGE(I1325:I1326)</f>
        <v>8.9761519685039398E-2</v>
      </c>
      <c r="N1325" s="3">
        <f t="shared" ref="N1325" si="1485">AVERAGE(J1325:J1326)</f>
        <v>0.14480949781496061</v>
      </c>
    </row>
    <row r="1326" spans="1:14" x14ac:dyDescent="0.2">
      <c r="A1326" s="4"/>
      <c r="B1326" s="4">
        <v>100</v>
      </c>
      <c r="C1326" s="4">
        <v>8</v>
      </c>
      <c r="D1326" s="23">
        <v>4.2</v>
      </c>
      <c r="E1326" s="23">
        <v>2.8</v>
      </c>
      <c r="F1326" s="23">
        <f t="shared" si="1477"/>
        <v>4.2</v>
      </c>
      <c r="G1326" s="23">
        <f t="shared" si="1478"/>
        <v>2.8</v>
      </c>
      <c r="H1326" s="4">
        <f t="shared" si="1479"/>
        <v>3.8630000000000001E-3</v>
      </c>
      <c r="I1326" s="2">
        <f t="shared" si="1480"/>
        <v>9.6666251968503966E-2</v>
      </c>
      <c r="J1326" s="4">
        <f t="shared" si="1481"/>
        <v>0.14886602803149604</v>
      </c>
      <c r="K1326" s="4">
        <f t="shared" si="1482"/>
        <v>0.24553227999999999</v>
      </c>
      <c r="L1326" s="13">
        <f t="shared" si="1483"/>
        <v>0.64935064935064968</v>
      </c>
      <c r="M1326" s="3"/>
      <c r="N1326" s="3"/>
    </row>
    <row r="1327" spans="1:14" x14ac:dyDescent="0.2">
      <c r="A1327" s="4">
        <v>489239</v>
      </c>
      <c r="B1327" s="4">
        <v>100</v>
      </c>
      <c r="C1327" s="4">
        <v>8</v>
      </c>
      <c r="D1327" s="23">
        <v>4.3499999999999996</v>
      </c>
      <c r="E1327" s="23">
        <v>2.85</v>
      </c>
      <c r="F1327" s="23">
        <f t="shared" si="1477"/>
        <v>4.3499999999999996</v>
      </c>
      <c r="G1327" s="23">
        <f t="shared" si="1478"/>
        <v>2.85</v>
      </c>
      <c r="H1327" s="4">
        <f t="shared" si="1479"/>
        <v>3.8630000000000001E-3</v>
      </c>
      <c r="I1327" s="2">
        <f t="shared" si="1480"/>
        <v>0.10357098425196848</v>
      </c>
      <c r="J1327" s="4">
        <f t="shared" si="1481"/>
        <v>0.14634580074803158</v>
      </c>
      <c r="K1327" s="4">
        <f t="shared" si="1482"/>
        <v>0.24991678500000006</v>
      </c>
      <c r="L1327" s="13">
        <f t="shared" si="1483"/>
        <v>0.70771408351026133</v>
      </c>
      <c r="M1327" s="3">
        <f t="shared" ref="M1327" si="1486">AVERAGE(I1327:I1328)</f>
        <v>0.10011861811023623</v>
      </c>
      <c r="N1327" s="3">
        <f t="shared" ref="N1327" si="1487">AVERAGE(J1327:J1328)</f>
        <v>0.15856717688976379</v>
      </c>
    </row>
    <row r="1328" spans="1:14" x14ac:dyDescent="0.2">
      <c r="A1328" s="4"/>
      <c r="B1328" s="4">
        <v>100</v>
      </c>
      <c r="C1328" s="4">
        <v>8</v>
      </c>
      <c r="D1328" s="23">
        <v>4.45</v>
      </c>
      <c r="E1328" s="23">
        <v>3.05</v>
      </c>
      <c r="F1328" s="23">
        <f t="shared" si="1477"/>
        <v>4.45</v>
      </c>
      <c r="G1328" s="23">
        <f t="shared" si="1478"/>
        <v>3.05</v>
      </c>
      <c r="H1328" s="4">
        <f t="shared" si="1479"/>
        <v>3.8630000000000001E-3</v>
      </c>
      <c r="I1328" s="2">
        <f t="shared" si="1480"/>
        <v>9.6666251968503966E-2</v>
      </c>
      <c r="J1328" s="4">
        <f t="shared" si="1481"/>
        <v>0.17078855303149598</v>
      </c>
      <c r="K1328" s="4">
        <f t="shared" si="1482"/>
        <v>0.26745480499999996</v>
      </c>
      <c r="L1328" s="13">
        <f t="shared" si="1483"/>
        <v>0.56599959571457492</v>
      </c>
      <c r="M1328" s="3"/>
      <c r="N1328" s="3"/>
    </row>
    <row r="1329" spans="1:14" x14ac:dyDescent="0.2">
      <c r="A1329" s="4">
        <v>489240</v>
      </c>
      <c r="B1329" s="4">
        <v>100</v>
      </c>
      <c r="C1329" s="4">
        <v>8</v>
      </c>
      <c r="D1329" s="23">
        <v>6</v>
      </c>
      <c r="E1329" s="23">
        <v>3.7</v>
      </c>
      <c r="F1329" s="23">
        <f t="shared" si="1477"/>
        <v>6</v>
      </c>
      <c r="G1329" s="23">
        <f t="shared" si="1478"/>
        <v>3.7</v>
      </c>
      <c r="H1329" s="4">
        <f t="shared" si="1479"/>
        <v>3.8630000000000001E-3</v>
      </c>
      <c r="I1329" s="2">
        <f t="shared" si="1480"/>
        <v>0.15880884251968502</v>
      </c>
      <c r="J1329" s="4">
        <f t="shared" si="1481"/>
        <v>0.16564452748031502</v>
      </c>
      <c r="K1329" s="4">
        <f t="shared" si="1482"/>
        <v>0.32445337000000007</v>
      </c>
      <c r="L1329" s="13">
        <f t="shared" si="1483"/>
        <v>0.95873280533555605</v>
      </c>
      <c r="M1329" s="3">
        <f t="shared" ref="M1329" si="1488">AVERAGE(I1329:I1330)</f>
        <v>0.15880884251968502</v>
      </c>
      <c r="N1329" s="3">
        <f t="shared" ref="N1329" si="1489">AVERAGE(J1329:J1330)</f>
        <v>0.15687551748031497</v>
      </c>
    </row>
    <row r="1330" spans="1:14" x14ac:dyDescent="0.2">
      <c r="A1330" s="4"/>
      <c r="B1330" s="4">
        <v>100</v>
      </c>
      <c r="C1330" s="4">
        <v>8</v>
      </c>
      <c r="D1330" s="23">
        <v>5.8</v>
      </c>
      <c r="E1330" s="23">
        <v>3.5</v>
      </c>
      <c r="F1330" s="23">
        <f t="shared" si="1477"/>
        <v>5.8</v>
      </c>
      <c r="G1330" s="23">
        <f t="shared" si="1478"/>
        <v>3.5</v>
      </c>
      <c r="H1330" s="4">
        <f t="shared" si="1479"/>
        <v>3.8630000000000001E-3</v>
      </c>
      <c r="I1330" s="2">
        <f t="shared" si="1480"/>
        <v>0.15880884251968502</v>
      </c>
      <c r="J1330" s="4">
        <f t="shared" si="1481"/>
        <v>0.14810650748031493</v>
      </c>
      <c r="K1330" s="4">
        <f t="shared" si="1482"/>
        <v>0.30691534999999992</v>
      </c>
      <c r="L1330" s="13">
        <f t="shared" si="1483"/>
        <v>1.0722610722610724</v>
      </c>
      <c r="M1330" s="3"/>
      <c r="N1330" s="3"/>
    </row>
    <row r="1331" spans="1:14" x14ac:dyDescent="0.2">
      <c r="A1331" s="4">
        <v>489241</v>
      </c>
      <c r="B1331" s="4">
        <v>100</v>
      </c>
      <c r="C1331" s="4">
        <v>7</v>
      </c>
      <c r="D1331" s="23">
        <v>7.7</v>
      </c>
      <c r="E1331" s="23">
        <v>4.2</v>
      </c>
      <c r="F1331" s="23">
        <f t="shared" si="1477"/>
        <v>7.7</v>
      </c>
      <c r="G1331" s="23">
        <f t="shared" si="1478"/>
        <v>4.2</v>
      </c>
      <c r="H1331" s="4">
        <f t="shared" si="1479"/>
        <v>9.7450000000000002E-3</v>
      </c>
      <c r="I1331" s="2">
        <f t="shared" si="1480"/>
        <v>0.60963799212598435</v>
      </c>
      <c r="J1331" s="4">
        <f t="shared" si="1481"/>
        <v>0.31945030787401568</v>
      </c>
      <c r="K1331" s="4">
        <f t="shared" si="1482"/>
        <v>0.92908830000000009</v>
      </c>
      <c r="L1331" s="13">
        <f t="shared" si="1483"/>
        <v>1.9083969465648862</v>
      </c>
      <c r="M1331" s="3">
        <f t="shared" ref="M1331" si="1490">AVERAGE(I1331:I1332)</f>
        <v>0.58786520669291342</v>
      </c>
      <c r="N1331" s="3">
        <f t="shared" ref="N1331" si="1491">AVERAGE(J1331:J1332)</f>
        <v>0.33569280580708677</v>
      </c>
    </row>
    <row r="1332" spans="1:14" x14ac:dyDescent="0.2">
      <c r="A1332" s="4"/>
      <c r="B1332" s="4">
        <v>100</v>
      </c>
      <c r="C1332" s="4">
        <v>7</v>
      </c>
      <c r="D1332" s="23">
        <v>7.4</v>
      </c>
      <c r="E1332" s="23">
        <v>4.1500000000000004</v>
      </c>
      <c r="F1332" s="23">
        <f t="shared" si="1477"/>
        <v>7.4</v>
      </c>
      <c r="G1332" s="23">
        <f t="shared" si="1478"/>
        <v>4.1500000000000004</v>
      </c>
      <c r="H1332" s="4">
        <f t="shared" si="1479"/>
        <v>9.7450000000000002E-3</v>
      </c>
      <c r="I1332" s="2">
        <f t="shared" si="1480"/>
        <v>0.56609242125984249</v>
      </c>
      <c r="J1332" s="4">
        <f t="shared" si="1481"/>
        <v>0.35193530374015786</v>
      </c>
      <c r="K1332" s="4">
        <f t="shared" si="1482"/>
        <v>0.91802772500000041</v>
      </c>
      <c r="L1332" s="13">
        <f t="shared" si="1483"/>
        <v>1.6085127443702036</v>
      </c>
      <c r="M1332" s="3"/>
      <c r="N1332" s="3"/>
    </row>
    <row r="1333" spans="1:14" x14ac:dyDescent="0.2">
      <c r="A1333" s="4">
        <v>489242</v>
      </c>
      <c r="B1333" s="4">
        <v>100</v>
      </c>
      <c r="C1333" s="4">
        <v>6</v>
      </c>
      <c r="D1333" s="23">
        <v>3.9</v>
      </c>
      <c r="E1333" s="23">
        <v>2.0499999999999998</v>
      </c>
      <c r="F1333" s="23">
        <f t="shared" si="1477"/>
        <v>3.9</v>
      </c>
      <c r="G1333" s="23">
        <f t="shared" si="1478"/>
        <v>2.0499999999999998</v>
      </c>
      <c r="H1333" s="4">
        <f t="shared" si="1479"/>
        <v>3.5767E-2</v>
      </c>
      <c r="I1333" s="2">
        <f t="shared" si="1480"/>
        <v>1.1827048543307088</v>
      </c>
      <c r="J1333" s="4">
        <f t="shared" si="1481"/>
        <v>0.48171249066929112</v>
      </c>
      <c r="K1333" s="4">
        <f t="shared" si="1482"/>
        <v>1.6644173449999999</v>
      </c>
      <c r="L1333" s="13">
        <f t="shared" si="1483"/>
        <v>2.4552090245520919</v>
      </c>
      <c r="M1333" s="3">
        <f t="shared" ref="M1333" si="1492">AVERAGE(I1333:I1334)</f>
        <v>1.1827048543307088</v>
      </c>
      <c r="N1333" s="3">
        <f t="shared" ref="N1333" si="1493">AVERAGE(J1333:J1334)</f>
        <v>0.48171249066929112</v>
      </c>
    </row>
    <row r="1334" spans="1:14" x14ac:dyDescent="0.2">
      <c r="A1334" s="4"/>
      <c r="B1334" s="4">
        <v>100</v>
      </c>
      <c r="C1334" s="4">
        <v>6</v>
      </c>
      <c r="D1334" s="23">
        <v>3.9</v>
      </c>
      <c r="E1334" s="23">
        <v>2.0499999999999998</v>
      </c>
      <c r="F1334" s="23">
        <f t="shared" si="1477"/>
        <v>3.9</v>
      </c>
      <c r="G1334" s="23">
        <f t="shared" si="1478"/>
        <v>2.0499999999999998</v>
      </c>
      <c r="H1334" s="4">
        <f t="shared" si="1479"/>
        <v>3.5767E-2</v>
      </c>
      <c r="I1334" s="2">
        <f t="shared" si="1480"/>
        <v>1.1827048543307088</v>
      </c>
      <c r="J1334" s="4">
        <f t="shared" si="1481"/>
        <v>0.48171249066929112</v>
      </c>
      <c r="K1334" s="4">
        <f t="shared" si="1482"/>
        <v>1.6644173449999999</v>
      </c>
      <c r="L1334" s="13">
        <f t="shared" si="1483"/>
        <v>2.4552090245520919</v>
      </c>
      <c r="M1334" s="3"/>
      <c r="N1334" s="3"/>
    </row>
    <row r="1335" spans="1:14" x14ac:dyDescent="0.2">
      <c r="A1335" s="4">
        <v>489243</v>
      </c>
      <c r="B1335" s="4">
        <v>100</v>
      </c>
      <c r="C1335" s="4">
        <v>6</v>
      </c>
      <c r="D1335" s="23">
        <v>2.5</v>
      </c>
      <c r="E1335" s="23">
        <v>1.35</v>
      </c>
      <c r="F1335" s="23">
        <f t="shared" si="1477"/>
        <v>2.5</v>
      </c>
      <c r="G1335" s="23">
        <f t="shared" si="1478"/>
        <v>1.35</v>
      </c>
      <c r="H1335" s="4">
        <f t="shared" si="1479"/>
        <v>3.5767E-2</v>
      </c>
      <c r="I1335" s="2">
        <f t="shared" si="1480"/>
        <v>0.73519490944881893</v>
      </c>
      <c r="J1335" s="4">
        <f t="shared" si="1481"/>
        <v>0.36088480555118124</v>
      </c>
      <c r="K1335" s="4">
        <f t="shared" si="1482"/>
        <v>1.0960797150000001</v>
      </c>
      <c r="L1335" s="13">
        <f t="shared" si="1483"/>
        <v>2.0372010628875103</v>
      </c>
      <c r="M1335" s="3">
        <f t="shared" ref="M1335" si="1494">AVERAGE(I1335:I1336)</f>
        <v>0.73519490944881893</v>
      </c>
      <c r="N1335" s="3">
        <f t="shared" ref="N1335" si="1495">AVERAGE(J1335:J1336)</f>
        <v>0.34058703305118115</v>
      </c>
    </row>
    <row r="1336" spans="1:14" x14ac:dyDescent="0.2">
      <c r="A1336" s="4"/>
      <c r="B1336" s="4">
        <v>100</v>
      </c>
      <c r="C1336" s="4">
        <v>6</v>
      </c>
      <c r="D1336" s="23">
        <v>2.4500000000000002</v>
      </c>
      <c r="E1336" s="23">
        <v>1.3</v>
      </c>
      <c r="F1336" s="23">
        <f t="shared" si="1477"/>
        <v>2.4500000000000002</v>
      </c>
      <c r="G1336" s="23">
        <f t="shared" si="1478"/>
        <v>1.3</v>
      </c>
      <c r="H1336" s="4">
        <f t="shared" si="1479"/>
        <v>3.5767E-2</v>
      </c>
      <c r="I1336" s="2">
        <f t="shared" si="1480"/>
        <v>0.73519490944881893</v>
      </c>
      <c r="J1336" s="4">
        <f t="shared" si="1481"/>
        <v>0.32028926055118107</v>
      </c>
      <c r="K1336" s="4">
        <f t="shared" si="1482"/>
        <v>1.0554841699999999</v>
      </c>
      <c r="L1336" s="13">
        <f t="shared" si="1483"/>
        <v>2.2954091816367268</v>
      </c>
      <c r="M1336" s="3"/>
      <c r="N1336" s="3"/>
    </row>
    <row r="1337" spans="1:14" x14ac:dyDescent="0.2">
      <c r="A1337" s="4">
        <v>489244</v>
      </c>
      <c r="B1337" s="4">
        <v>100</v>
      </c>
      <c r="C1337" s="4">
        <v>7</v>
      </c>
      <c r="D1337" s="23">
        <v>3.85</v>
      </c>
      <c r="E1337" s="23">
        <v>1.95</v>
      </c>
      <c r="F1337" s="23">
        <f t="shared" si="1477"/>
        <v>3.85</v>
      </c>
      <c r="G1337" s="23">
        <f t="shared" si="1478"/>
        <v>1.95</v>
      </c>
      <c r="H1337" s="4">
        <f t="shared" si="1479"/>
        <v>9.7450000000000002E-3</v>
      </c>
      <c r="I1337" s="2">
        <f t="shared" si="1480"/>
        <v>0.33094633858267719</v>
      </c>
      <c r="J1337" s="4">
        <f t="shared" si="1481"/>
        <v>0.10041608641732276</v>
      </c>
      <c r="K1337" s="4">
        <f t="shared" si="1482"/>
        <v>0.43136242499999994</v>
      </c>
      <c r="L1337" s="13">
        <f t="shared" si="1483"/>
        <v>3.2957502168256747</v>
      </c>
      <c r="M1337" s="3">
        <f t="shared" ref="M1337" si="1496">AVERAGE(I1337:I1338)</f>
        <v>0.32659178149606305</v>
      </c>
      <c r="N1337" s="3">
        <f t="shared" ref="N1337" si="1497">AVERAGE(J1337:J1338)</f>
        <v>0.10477064350393699</v>
      </c>
    </row>
    <row r="1338" spans="1:14" x14ac:dyDescent="0.2">
      <c r="A1338" s="4"/>
      <c r="B1338" s="4">
        <v>100</v>
      </c>
      <c r="C1338" s="4">
        <v>7</v>
      </c>
      <c r="D1338" s="23">
        <v>3.8</v>
      </c>
      <c r="E1338" s="23">
        <v>1.95</v>
      </c>
      <c r="F1338" s="23">
        <f t="shared" si="1477"/>
        <v>3.8</v>
      </c>
      <c r="G1338" s="23">
        <f t="shared" si="1478"/>
        <v>1.95</v>
      </c>
      <c r="H1338" s="4">
        <f t="shared" si="1479"/>
        <v>9.7450000000000002E-3</v>
      </c>
      <c r="I1338" s="2">
        <f t="shared" si="1480"/>
        <v>0.32223722440944885</v>
      </c>
      <c r="J1338" s="4">
        <f t="shared" si="1481"/>
        <v>0.10912520059055121</v>
      </c>
      <c r="K1338" s="4">
        <f t="shared" si="1482"/>
        <v>0.43136242500000005</v>
      </c>
      <c r="L1338" s="13">
        <f t="shared" si="1483"/>
        <v>2.9529130087789301</v>
      </c>
      <c r="M1338" s="3"/>
      <c r="N1338" s="3"/>
    </row>
    <row r="1339" spans="1:14" x14ac:dyDescent="0.2">
      <c r="A1339" s="4">
        <v>489245</v>
      </c>
      <c r="B1339" s="4">
        <v>100</v>
      </c>
      <c r="C1339" s="4">
        <v>7</v>
      </c>
      <c r="D1339" s="23">
        <v>3.65</v>
      </c>
      <c r="E1339" s="23">
        <v>1.85</v>
      </c>
      <c r="F1339" s="23">
        <f t="shared" si="1477"/>
        <v>3.65</v>
      </c>
      <c r="G1339" s="23">
        <f t="shared" si="1478"/>
        <v>1.85</v>
      </c>
      <c r="H1339" s="4">
        <f t="shared" si="1479"/>
        <v>9.7450000000000002E-3</v>
      </c>
      <c r="I1339" s="2">
        <f t="shared" si="1480"/>
        <v>0.3135281102362204</v>
      </c>
      <c r="J1339" s="4">
        <f t="shared" si="1481"/>
        <v>9.5713164763779612E-2</v>
      </c>
      <c r="K1339" s="4">
        <f t="shared" si="1482"/>
        <v>0.40924127500000002</v>
      </c>
      <c r="L1339" s="13">
        <f t="shared" si="1483"/>
        <v>3.2757051865332083</v>
      </c>
      <c r="M1339" s="3">
        <f t="shared" ref="M1339" si="1498">AVERAGE(I1339:I1340)</f>
        <v>0.31788266732283466</v>
      </c>
      <c r="N1339" s="3">
        <f t="shared" ref="N1339" si="1499">AVERAGE(J1339:J1340)</f>
        <v>9.6888895177165424E-2</v>
      </c>
    </row>
    <row r="1340" spans="1:14" x14ac:dyDescent="0.2">
      <c r="A1340" s="4"/>
      <c r="B1340" s="4">
        <v>100</v>
      </c>
      <c r="C1340" s="4">
        <v>7</v>
      </c>
      <c r="D1340" s="23">
        <v>3.75</v>
      </c>
      <c r="E1340" s="23">
        <v>1.9</v>
      </c>
      <c r="F1340" s="23">
        <f t="shared" si="1477"/>
        <v>3.75</v>
      </c>
      <c r="G1340" s="23">
        <f t="shared" si="1478"/>
        <v>1.9</v>
      </c>
      <c r="H1340" s="4">
        <f t="shared" si="1479"/>
        <v>9.7450000000000002E-3</v>
      </c>
      <c r="I1340" s="2">
        <f t="shared" si="1480"/>
        <v>0.32223722440944891</v>
      </c>
      <c r="J1340" s="4">
        <f t="shared" si="1481"/>
        <v>9.8064625590551249E-2</v>
      </c>
      <c r="K1340" s="4">
        <f t="shared" si="1482"/>
        <v>0.42030185000000014</v>
      </c>
      <c r="L1340" s="13">
        <f t="shared" si="1483"/>
        <v>3.2859680284191817</v>
      </c>
      <c r="M1340" s="3"/>
      <c r="N1340" s="3"/>
    </row>
    <row r="1341" spans="1:14" x14ac:dyDescent="0.2">
      <c r="A1341" s="4">
        <v>489248</v>
      </c>
      <c r="B1341" s="4">
        <v>100</v>
      </c>
      <c r="C1341" s="4">
        <v>8</v>
      </c>
      <c r="D1341" s="23">
        <v>1.05</v>
      </c>
      <c r="E1341" s="23">
        <v>0.75</v>
      </c>
      <c r="F1341" s="23">
        <f t="shared" si="1477"/>
        <v>1.05</v>
      </c>
      <c r="G1341" s="23">
        <f t="shared" si="1478"/>
        <v>0.75</v>
      </c>
      <c r="H1341" s="4">
        <f t="shared" si="1479"/>
        <v>3.8630000000000001E-3</v>
      </c>
      <c r="I1341" s="2">
        <f t="shared" si="1480"/>
        <v>2.0714196850393704E-2</v>
      </c>
      <c r="J1341" s="4">
        <f t="shared" si="1481"/>
        <v>4.5053378149606284E-2</v>
      </c>
      <c r="K1341" s="4">
        <f t="shared" si="1482"/>
        <v>6.5767574999999995E-2</v>
      </c>
      <c r="L1341" s="13">
        <f t="shared" si="1483"/>
        <v>0.45977011494252895</v>
      </c>
      <c r="M1341" s="3">
        <f t="shared" ref="M1341" si="1500">AVERAGE(I1341:I1342)</f>
        <v>1.726183070866142E-2</v>
      </c>
      <c r="N1341" s="3">
        <f t="shared" ref="N1341" si="1501">AVERAGE(J1341:J1342)</f>
        <v>4.1928986791338566E-2</v>
      </c>
    </row>
    <row r="1342" spans="1:14" x14ac:dyDescent="0.2">
      <c r="A1342" s="4"/>
      <c r="B1342" s="4">
        <v>100</v>
      </c>
      <c r="C1342" s="4">
        <v>8</v>
      </c>
      <c r="D1342" s="23">
        <v>0.8</v>
      </c>
      <c r="E1342" s="23">
        <v>0.6</v>
      </c>
      <c r="F1342" s="23">
        <f t="shared" si="1477"/>
        <v>0.8</v>
      </c>
      <c r="G1342" s="23">
        <f t="shared" si="1478"/>
        <v>0.6</v>
      </c>
      <c r="H1342" s="4">
        <f t="shared" si="1479"/>
        <v>3.8630000000000001E-3</v>
      </c>
      <c r="I1342" s="2">
        <f t="shared" si="1480"/>
        <v>1.3809464566929138E-2</v>
      </c>
      <c r="J1342" s="4">
        <f t="shared" si="1481"/>
        <v>3.8804595433070854E-2</v>
      </c>
      <c r="K1342" s="4">
        <f t="shared" si="1482"/>
        <v>5.261405999999999E-2</v>
      </c>
      <c r="L1342" s="13">
        <f t="shared" si="1483"/>
        <v>0.35587188612099663</v>
      </c>
      <c r="M1342" s="3"/>
      <c r="N1342" s="3"/>
    </row>
    <row r="1343" spans="1:14" x14ac:dyDescent="0.2">
      <c r="A1343" s="4">
        <v>489249</v>
      </c>
      <c r="B1343" s="4">
        <v>100</v>
      </c>
      <c r="C1343" s="4">
        <v>8</v>
      </c>
      <c r="D1343" s="23">
        <v>1</v>
      </c>
      <c r="E1343" s="23">
        <v>0.7</v>
      </c>
      <c r="F1343" s="23">
        <f t="shared" si="1477"/>
        <v>1</v>
      </c>
      <c r="G1343" s="23">
        <f t="shared" si="1478"/>
        <v>0.7</v>
      </c>
      <c r="H1343" s="4">
        <f t="shared" si="1479"/>
        <v>3.8630000000000001E-3</v>
      </c>
      <c r="I1343" s="2">
        <f t="shared" si="1480"/>
        <v>2.0714196850393704E-2</v>
      </c>
      <c r="J1343" s="4">
        <f t="shared" si="1481"/>
        <v>4.0668873149606294E-2</v>
      </c>
      <c r="K1343" s="4">
        <f t="shared" si="1482"/>
        <v>6.1383069999999998E-2</v>
      </c>
      <c r="L1343" s="13">
        <f t="shared" si="1483"/>
        <v>0.50933786078098486</v>
      </c>
      <c r="M1343" s="3">
        <f t="shared" ref="M1343" si="1502">AVERAGE(I1343:I1344)</f>
        <v>1.726183070866142E-2</v>
      </c>
      <c r="N1343" s="3">
        <f t="shared" ref="N1343" si="1503">AVERAGE(J1343:J1344)</f>
        <v>4.8505744291338582E-2</v>
      </c>
    </row>
    <row r="1344" spans="1:14" x14ac:dyDescent="0.2">
      <c r="A1344" s="4"/>
      <c r="B1344" s="4">
        <v>100</v>
      </c>
      <c r="C1344" s="4">
        <v>8</v>
      </c>
      <c r="D1344" s="23">
        <v>1</v>
      </c>
      <c r="E1344" s="23">
        <v>0.8</v>
      </c>
      <c r="F1344" s="23">
        <f t="shared" si="1477"/>
        <v>1</v>
      </c>
      <c r="G1344" s="23">
        <f t="shared" si="1478"/>
        <v>0.8</v>
      </c>
      <c r="H1344" s="4">
        <f t="shared" si="1479"/>
        <v>3.8630000000000001E-3</v>
      </c>
      <c r="I1344" s="2">
        <f t="shared" si="1480"/>
        <v>1.3809464566929133E-2</v>
      </c>
      <c r="J1344" s="4">
        <f t="shared" si="1481"/>
        <v>5.6342615433070876E-2</v>
      </c>
      <c r="K1344" s="4">
        <f t="shared" si="1482"/>
        <v>7.0152080000000006E-2</v>
      </c>
      <c r="L1344" s="13">
        <f t="shared" si="1483"/>
        <v>0.24509803921568621</v>
      </c>
      <c r="M1344" s="3"/>
      <c r="N1344" s="3"/>
    </row>
    <row r="1345" spans="1:14" x14ac:dyDescent="0.2">
      <c r="A1345" s="4">
        <v>489250</v>
      </c>
      <c r="B1345" s="4">
        <v>100</v>
      </c>
      <c r="C1345" s="4">
        <v>8</v>
      </c>
      <c r="D1345" s="23">
        <v>1.55</v>
      </c>
      <c r="E1345" s="23">
        <v>1.1499999999999999</v>
      </c>
      <c r="F1345" s="23">
        <f t="shared" si="1477"/>
        <v>1.55</v>
      </c>
      <c r="G1345" s="23">
        <f t="shared" si="1478"/>
        <v>1.1499999999999999</v>
      </c>
      <c r="H1345" s="4">
        <f t="shared" si="1479"/>
        <v>3.8630000000000001E-3</v>
      </c>
      <c r="I1345" s="2">
        <f t="shared" si="1480"/>
        <v>2.7618929133858276E-2</v>
      </c>
      <c r="J1345" s="4">
        <f t="shared" si="1481"/>
        <v>7.3224685866141725E-2</v>
      </c>
      <c r="K1345" s="4">
        <f t="shared" si="1482"/>
        <v>0.100843615</v>
      </c>
      <c r="L1345" s="13">
        <f t="shared" si="1483"/>
        <v>0.37718057520037734</v>
      </c>
      <c r="M1345" s="3">
        <f t="shared" ref="M1345" si="1504">AVERAGE(I1345:I1346)</f>
        <v>2.7618929133858276E-2</v>
      </c>
      <c r="N1345" s="3">
        <f t="shared" ref="N1345" si="1505">AVERAGE(J1345:J1346)</f>
        <v>7.5416938366141717E-2</v>
      </c>
    </row>
    <row r="1346" spans="1:14" x14ac:dyDescent="0.2">
      <c r="A1346" s="4"/>
      <c r="B1346" s="4">
        <v>100</v>
      </c>
      <c r="C1346" s="4">
        <v>8</v>
      </c>
      <c r="D1346" s="23">
        <v>1.6</v>
      </c>
      <c r="E1346" s="23">
        <v>1.2</v>
      </c>
      <c r="F1346" s="23">
        <f t="shared" si="1477"/>
        <v>1.6</v>
      </c>
      <c r="G1346" s="23">
        <f t="shared" si="1478"/>
        <v>1.2</v>
      </c>
      <c r="H1346" s="4">
        <f t="shared" si="1479"/>
        <v>3.8630000000000001E-3</v>
      </c>
      <c r="I1346" s="2">
        <f t="shared" si="1480"/>
        <v>2.7618929133858276E-2</v>
      </c>
      <c r="J1346" s="4">
        <f t="shared" si="1481"/>
        <v>7.7609190866141708E-2</v>
      </c>
      <c r="K1346" s="4">
        <f t="shared" si="1482"/>
        <v>0.10522811999999998</v>
      </c>
      <c r="L1346" s="13">
        <f t="shared" si="1483"/>
        <v>0.35587188612099663</v>
      </c>
      <c r="M1346" s="3"/>
      <c r="N1346" s="3"/>
    </row>
    <row r="1347" spans="1:14" x14ac:dyDescent="0.2">
      <c r="A1347" s="4">
        <v>489251</v>
      </c>
      <c r="B1347" s="4">
        <v>100</v>
      </c>
      <c r="C1347" s="4">
        <v>8</v>
      </c>
      <c r="D1347" s="23">
        <v>2.6</v>
      </c>
      <c r="E1347" s="23">
        <v>1.65</v>
      </c>
      <c r="F1347" s="23">
        <f t="shared" si="1477"/>
        <v>2.6</v>
      </c>
      <c r="G1347" s="23">
        <f t="shared" si="1478"/>
        <v>1.65</v>
      </c>
      <c r="H1347" s="4">
        <f t="shared" si="1479"/>
        <v>3.8630000000000001E-3</v>
      </c>
      <c r="I1347" s="2">
        <f t="shared" si="1480"/>
        <v>6.5594956692913403E-2</v>
      </c>
      <c r="J1347" s="4">
        <f t="shared" si="1481"/>
        <v>7.9093708307086605E-2</v>
      </c>
      <c r="K1347" s="4">
        <f t="shared" si="1482"/>
        <v>0.14468866499999999</v>
      </c>
      <c r="L1347" s="13">
        <f t="shared" si="1483"/>
        <v>0.82933216935835907</v>
      </c>
      <c r="M1347" s="3">
        <f t="shared" ref="M1347" si="1506">AVERAGE(I1347:I1348)</f>
        <v>6.5594956692913403E-2</v>
      </c>
      <c r="N1347" s="3">
        <f t="shared" ref="N1347" si="1507">AVERAGE(J1347:J1348)</f>
        <v>7.9093708307086605E-2</v>
      </c>
    </row>
    <row r="1348" spans="1:14" x14ac:dyDescent="0.2">
      <c r="A1348" s="4"/>
      <c r="B1348" s="4">
        <v>100</v>
      </c>
      <c r="C1348" s="4">
        <v>8</v>
      </c>
      <c r="D1348" s="23">
        <v>2.6</v>
      </c>
      <c r="E1348" s="23">
        <v>1.65</v>
      </c>
      <c r="F1348" s="23">
        <f t="shared" si="1477"/>
        <v>2.6</v>
      </c>
      <c r="G1348" s="23">
        <f t="shared" si="1478"/>
        <v>1.65</v>
      </c>
      <c r="H1348" s="4">
        <f t="shared" si="1479"/>
        <v>3.8630000000000001E-3</v>
      </c>
      <c r="I1348" s="2">
        <f t="shared" si="1480"/>
        <v>6.5594956692913403E-2</v>
      </c>
      <c r="J1348" s="4">
        <f t="shared" si="1481"/>
        <v>7.9093708307086605E-2</v>
      </c>
      <c r="K1348" s="4">
        <f t="shared" si="1482"/>
        <v>0.14468866499999999</v>
      </c>
      <c r="L1348" s="13">
        <f t="shared" si="1483"/>
        <v>0.82933216935835907</v>
      </c>
      <c r="M1348" s="3"/>
      <c r="N1348" s="3"/>
    </row>
    <row r="1349" spans="1:14" x14ac:dyDescent="0.2">
      <c r="A1349" s="4">
        <v>489252</v>
      </c>
      <c r="B1349" s="4">
        <v>100</v>
      </c>
      <c r="C1349" s="4">
        <v>8</v>
      </c>
      <c r="D1349" s="23">
        <v>5.7</v>
      </c>
      <c r="E1349" s="23">
        <v>3.3</v>
      </c>
      <c r="F1349" s="23">
        <f t="shared" si="1477"/>
        <v>5.7</v>
      </c>
      <c r="G1349" s="23">
        <f t="shared" si="1478"/>
        <v>3.3</v>
      </c>
      <c r="H1349" s="4">
        <f t="shared" si="1479"/>
        <v>3.8630000000000001E-3</v>
      </c>
      <c r="I1349" s="2">
        <f t="shared" si="1480"/>
        <v>0.16571357480314963</v>
      </c>
      <c r="J1349" s="4">
        <f t="shared" si="1481"/>
        <v>0.12366375519685038</v>
      </c>
      <c r="K1349" s="4">
        <f t="shared" si="1482"/>
        <v>0.28937732999999999</v>
      </c>
      <c r="L1349" s="13">
        <f t="shared" si="1483"/>
        <v>1.3400335008375213</v>
      </c>
      <c r="M1349" s="3">
        <f t="shared" ref="M1349" si="1508">AVERAGE(I1349:I1350)</f>
        <v>0.16226120866141733</v>
      </c>
      <c r="N1349" s="3">
        <f t="shared" ref="N1349" si="1509">AVERAGE(J1349:J1350)</f>
        <v>0.1249238688385827</v>
      </c>
    </row>
    <row r="1350" spans="1:14" x14ac:dyDescent="0.2">
      <c r="A1350" s="4"/>
      <c r="B1350" s="4">
        <v>100</v>
      </c>
      <c r="C1350" s="4">
        <v>8</v>
      </c>
      <c r="D1350" s="23">
        <v>5.55</v>
      </c>
      <c r="E1350" s="23">
        <v>3.25</v>
      </c>
      <c r="F1350" s="23">
        <f t="shared" si="1477"/>
        <v>5.55</v>
      </c>
      <c r="G1350" s="23">
        <f t="shared" si="1478"/>
        <v>3.25</v>
      </c>
      <c r="H1350" s="4">
        <f t="shared" si="1479"/>
        <v>3.8630000000000001E-3</v>
      </c>
      <c r="I1350" s="2">
        <f t="shared" si="1480"/>
        <v>0.15880884251968502</v>
      </c>
      <c r="J1350" s="4">
        <f t="shared" si="1481"/>
        <v>0.12618398248031501</v>
      </c>
      <c r="K1350" s="4">
        <f t="shared" si="1482"/>
        <v>0.28499282500000001</v>
      </c>
      <c r="L1350" s="13">
        <f t="shared" si="1483"/>
        <v>1.2585499316005466</v>
      </c>
      <c r="M1350" s="3"/>
      <c r="N1350" s="3"/>
    </row>
    <row r="1351" spans="1:14" x14ac:dyDescent="0.2">
      <c r="A1351" s="4">
        <v>489253</v>
      </c>
      <c r="B1351" s="4">
        <v>100</v>
      </c>
      <c r="C1351" s="4">
        <v>7</v>
      </c>
      <c r="D1351" s="23">
        <v>4.3</v>
      </c>
      <c r="E1351" s="23">
        <v>2.5</v>
      </c>
      <c r="F1351" s="23">
        <f t="shared" si="1477"/>
        <v>4.3</v>
      </c>
      <c r="G1351" s="23">
        <f t="shared" si="1478"/>
        <v>2.5</v>
      </c>
      <c r="H1351" s="4">
        <f t="shared" si="1479"/>
        <v>9.7450000000000002E-3</v>
      </c>
      <c r="I1351" s="2">
        <f t="shared" si="1480"/>
        <v>0.3135281102362204</v>
      </c>
      <c r="J1351" s="4">
        <f t="shared" si="1481"/>
        <v>0.23950063976377961</v>
      </c>
      <c r="K1351" s="4">
        <f t="shared" si="1482"/>
        <v>0.55302874999999996</v>
      </c>
      <c r="L1351" s="13">
        <f t="shared" si="1483"/>
        <v>1.3090909090909084</v>
      </c>
      <c r="M1351" s="3">
        <f t="shared" ref="M1351" si="1510">AVERAGE(I1351:I1352)</f>
        <v>0.31352811023622051</v>
      </c>
      <c r="N1351" s="3">
        <f t="shared" ref="N1351" si="1511">AVERAGE(J1351:J1352)</f>
        <v>0.22290977726377956</v>
      </c>
    </row>
    <row r="1352" spans="1:14" x14ac:dyDescent="0.2">
      <c r="A1352" s="4"/>
      <c r="B1352" s="4">
        <v>100</v>
      </c>
      <c r="C1352" s="4">
        <v>7</v>
      </c>
      <c r="D1352" s="23">
        <v>4.1500000000000004</v>
      </c>
      <c r="E1352" s="23">
        <v>2.35</v>
      </c>
      <c r="F1352" s="23">
        <f t="shared" si="1477"/>
        <v>4.1500000000000004</v>
      </c>
      <c r="G1352" s="23">
        <f t="shared" si="1478"/>
        <v>2.35</v>
      </c>
      <c r="H1352" s="4">
        <f t="shared" si="1479"/>
        <v>9.7450000000000002E-3</v>
      </c>
      <c r="I1352" s="2">
        <f t="shared" si="1480"/>
        <v>0.31352811023622057</v>
      </c>
      <c r="J1352" s="4">
        <f t="shared" si="1481"/>
        <v>0.2063189147637795</v>
      </c>
      <c r="K1352" s="4">
        <f t="shared" si="1482"/>
        <v>0.51984702500000002</v>
      </c>
      <c r="L1352" s="13">
        <f t="shared" si="1483"/>
        <v>1.5196285352469403</v>
      </c>
      <c r="M1352" s="3"/>
      <c r="N1352" s="3"/>
    </row>
    <row r="1353" spans="1:14" x14ac:dyDescent="0.2">
      <c r="A1353" s="4">
        <v>489254</v>
      </c>
      <c r="B1353" s="4">
        <v>100</v>
      </c>
      <c r="C1353" s="4">
        <v>6</v>
      </c>
      <c r="D1353" s="23">
        <v>2.85</v>
      </c>
      <c r="E1353" s="23">
        <v>1.55</v>
      </c>
      <c r="F1353" s="23">
        <f t="shared" si="1477"/>
        <v>2.85</v>
      </c>
      <c r="G1353" s="23">
        <f t="shared" si="1478"/>
        <v>1.55</v>
      </c>
      <c r="H1353" s="4">
        <f t="shared" si="1479"/>
        <v>3.5767E-2</v>
      </c>
      <c r="I1353" s="2">
        <f t="shared" si="1480"/>
        <v>0.83108989763779528</v>
      </c>
      <c r="J1353" s="4">
        <f t="shared" si="1481"/>
        <v>0.4273719973622046</v>
      </c>
      <c r="K1353" s="4">
        <f t="shared" si="1482"/>
        <v>1.2584618949999999</v>
      </c>
      <c r="L1353" s="13">
        <f t="shared" si="1483"/>
        <v>1.9446522064323117</v>
      </c>
      <c r="M1353" s="3">
        <f t="shared" ref="M1353" si="1512">AVERAGE(I1353:I1354)</f>
        <v>0.83108989763779528</v>
      </c>
      <c r="N1353" s="3">
        <f t="shared" ref="N1353" si="1513">AVERAGE(J1353:J1354)</f>
        <v>0.4273719973622046</v>
      </c>
    </row>
    <row r="1354" spans="1:14" x14ac:dyDescent="0.2">
      <c r="A1354" s="4"/>
      <c r="B1354" s="4">
        <v>100</v>
      </c>
      <c r="C1354" s="4">
        <v>6</v>
      </c>
      <c r="D1354" s="23">
        <v>2.85</v>
      </c>
      <c r="E1354" s="23">
        <v>1.55</v>
      </c>
      <c r="F1354" s="23">
        <f t="shared" si="1477"/>
        <v>2.85</v>
      </c>
      <c r="G1354" s="23">
        <f t="shared" si="1478"/>
        <v>1.55</v>
      </c>
      <c r="H1354" s="4">
        <f t="shared" si="1479"/>
        <v>3.5767E-2</v>
      </c>
      <c r="I1354" s="2">
        <f t="shared" si="1480"/>
        <v>0.83108989763779528</v>
      </c>
      <c r="J1354" s="4">
        <f t="shared" si="1481"/>
        <v>0.4273719973622046</v>
      </c>
      <c r="K1354" s="4">
        <f t="shared" si="1482"/>
        <v>1.2584618949999999</v>
      </c>
      <c r="L1354" s="13">
        <f t="shared" si="1483"/>
        <v>1.9446522064323117</v>
      </c>
      <c r="M1354" s="3"/>
      <c r="N1354" s="3"/>
    </row>
    <row r="1355" spans="1:14" x14ac:dyDescent="0.2">
      <c r="A1355" s="4">
        <v>489255</v>
      </c>
      <c r="B1355" s="4">
        <v>100</v>
      </c>
      <c r="C1355" s="4">
        <v>7</v>
      </c>
      <c r="D1355" s="23">
        <v>3.6</v>
      </c>
      <c r="E1355" s="23">
        <v>1.85</v>
      </c>
      <c r="F1355" s="23">
        <f t="shared" si="1477"/>
        <v>3.6</v>
      </c>
      <c r="G1355" s="23">
        <f t="shared" si="1478"/>
        <v>1.85</v>
      </c>
      <c r="H1355" s="4">
        <f t="shared" si="1479"/>
        <v>9.7450000000000002E-3</v>
      </c>
      <c r="I1355" s="2">
        <f t="shared" si="1480"/>
        <v>0.30481899606299218</v>
      </c>
      <c r="J1355" s="4">
        <f t="shared" si="1481"/>
        <v>0.10442227893700794</v>
      </c>
      <c r="K1355" s="4">
        <f t="shared" si="1482"/>
        <v>0.40924127500000013</v>
      </c>
      <c r="L1355" s="13">
        <f t="shared" si="1483"/>
        <v>2.9190992493744776</v>
      </c>
      <c r="M1355" s="3">
        <f t="shared" ref="M1355" si="1514">AVERAGE(I1355:I1356)</f>
        <v>0.30046443897637798</v>
      </c>
      <c r="N1355" s="3">
        <f t="shared" ref="N1355" si="1515">AVERAGE(J1355:J1356)</f>
        <v>9.7716261023622047E-2</v>
      </c>
    </row>
    <row r="1356" spans="1:14" x14ac:dyDescent="0.2">
      <c r="A1356" s="4"/>
      <c r="B1356" s="4">
        <v>100</v>
      </c>
      <c r="C1356" s="4">
        <v>7</v>
      </c>
      <c r="D1356" s="23">
        <v>3.45</v>
      </c>
      <c r="E1356" s="23">
        <v>1.75</v>
      </c>
      <c r="F1356" s="23">
        <f t="shared" si="1477"/>
        <v>3.45</v>
      </c>
      <c r="G1356" s="23">
        <f t="shared" si="1478"/>
        <v>1.75</v>
      </c>
      <c r="H1356" s="4">
        <f t="shared" si="1479"/>
        <v>9.7450000000000002E-3</v>
      </c>
      <c r="I1356" s="2">
        <f t="shared" si="1480"/>
        <v>0.29610988188976384</v>
      </c>
      <c r="J1356" s="4">
        <f t="shared" si="1481"/>
        <v>9.1010243110236158E-2</v>
      </c>
      <c r="K1356" s="4">
        <f t="shared" si="1482"/>
        <v>0.38712012499999998</v>
      </c>
      <c r="L1356" s="13">
        <f t="shared" si="1483"/>
        <v>3.2535885167464142</v>
      </c>
      <c r="M1356" s="3"/>
      <c r="N1356" s="3"/>
    </row>
    <row r="1357" spans="1:14" x14ac:dyDescent="0.2">
      <c r="A1357" s="4">
        <v>489256</v>
      </c>
      <c r="B1357" s="4">
        <v>100</v>
      </c>
      <c r="C1357" s="4">
        <v>7</v>
      </c>
      <c r="D1357" s="23">
        <v>2.95</v>
      </c>
      <c r="E1357" s="23">
        <v>1.45</v>
      </c>
      <c r="F1357" s="23">
        <f t="shared" si="1477"/>
        <v>2.95</v>
      </c>
      <c r="G1357" s="23">
        <f t="shared" si="1478"/>
        <v>1.45</v>
      </c>
      <c r="H1357" s="4">
        <f t="shared" si="1479"/>
        <v>9.7450000000000002E-3</v>
      </c>
      <c r="I1357" s="2">
        <f t="shared" si="1480"/>
        <v>0.26127342519685048</v>
      </c>
      <c r="J1357" s="4">
        <f t="shared" si="1481"/>
        <v>5.9483249803149618E-2</v>
      </c>
      <c r="K1357" s="4">
        <f t="shared" si="1482"/>
        <v>0.3207566750000001</v>
      </c>
      <c r="L1357" s="13">
        <f t="shared" si="1483"/>
        <v>4.3923865300146421</v>
      </c>
      <c r="M1357" s="3">
        <f t="shared" ref="M1357" si="1516">AVERAGE(I1357:I1358)</f>
        <v>0.25691886811023629</v>
      </c>
      <c r="N1357" s="3">
        <f t="shared" ref="N1357" si="1517">AVERAGE(J1357:J1358)</f>
        <v>6.9368094389763768E-2</v>
      </c>
    </row>
    <row r="1358" spans="1:14" x14ac:dyDescent="0.2">
      <c r="A1358" s="4"/>
      <c r="B1358" s="4">
        <v>100</v>
      </c>
      <c r="C1358" s="4">
        <v>7</v>
      </c>
      <c r="D1358" s="23">
        <v>2.95</v>
      </c>
      <c r="E1358" s="23">
        <v>1.5</v>
      </c>
      <c r="F1358" s="23">
        <f t="shared" si="1477"/>
        <v>2.95</v>
      </c>
      <c r="G1358" s="23">
        <f t="shared" si="1478"/>
        <v>1.5</v>
      </c>
      <c r="H1358" s="4">
        <f t="shared" si="1479"/>
        <v>9.7450000000000002E-3</v>
      </c>
      <c r="I1358" s="2">
        <f t="shared" si="1480"/>
        <v>0.25256431102362209</v>
      </c>
      <c r="J1358" s="4">
        <f t="shared" si="1481"/>
        <v>7.9252938976377904E-2</v>
      </c>
      <c r="K1358" s="4">
        <f t="shared" si="1482"/>
        <v>0.33181725000000001</v>
      </c>
      <c r="L1358" s="13">
        <f t="shared" si="1483"/>
        <v>3.1868131868131893</v>
      </c>
      <c r="M1358" s="3"/>
      <c r="N1358" s="3"/>
    </row>
    <row r="1359" spans="1:14" x14ac:dyDescent="0.2">
      <c r="A1359" s="4">
        <v>489259</v>
      </c>
      <c r="B1359" s="4">
        <v>100</v>
      </c>
      <c r="C1359" s="4">
        <v>8</v>
      </c>
      <c r="D1359" s="23">
        <v>0.7</v>
      </c>
      <c r="E1359" s="23">
        <v>0.5</v>
      </c>
      <c r="F1359" s="23">
        <f t="shared" si="1477"/>
        <v>0.7</v>
      </c>
      <c r="G1359" s="23">
        <f t="shared" si="1478"/>
        <v>0.5</v>
      </c>
      <c r="H1359" s="4">
        <f t="shared" si="1479"/>
        <v>3.8630000000000001E-3</v>
      </c>
      <c r="I1359" s="2">
        <f t="shared" si="1480"/>
        <v>1.3809464566929133E-2</v>
      </c>
      <c r="J1359" s="4">
        <f t="shared" si="1481"/>
        <v>3.0035585433070874E-2</v>
      </c>
      <c r="K1359" s="4">
        <f t="shared" si="1482"/>
        <v>4.384505000000001E-2</v>
      </c>
      <c r="L1359" s="13">
        <f t="shared" si="1483"/>
        <v>0.45977011494252856</v>
      </c>
      <c r="M1359" s="3">
        <f t="shared" ref="M1359" si="1518">AVERAGE(I1359:I1360)</f>
        <v>1.5535647637795276E-2</v>
      </c>
      <c r="N1359" s="3">
        <f t="shared" ref="N1359" si="1519">AVERAGE(J1359:J1360)</f>
        <v>3.0501654862204731E-2</v>
      </c>
    </row>
    <row r="1360" spans="1:14" x14ac:dyDescent="0.2">
      <c r="A1360" s="4"/>
      <c r="B1360" s="4">
        <v>100</v>
      </c>
      <c r="C1360" s="4">
        <v>8</v>
      </c>
      <c r="D1360" s="23">
        <v>0.8</v>
      </c>
      <c r="E1360" s="23">
        <v>0.55000000000000004</v>
      </c>
      <c r="F1360" s="23">
        <f t="shared" si="1477"/>
        <v>0.8</v>
      </c>
      <c r="G1360" s="23">
        <f t="shared" si="1478"/>
        <v>0.55000000000000004</v>
      </c>
      <c r="H1360" s="4">
        <f t="shared" si="1479"/>
        <v>3.8630000000000001E-3</v>
      </c>
      <c r="I1360" s="2">
        <f t="shared" si="1480"/>
        <v>1.726183070866142E-2</v>
      </c>
      <c r="J1360" s="4">
        <f t="shared" si="1481"/>
        <v>3.0967724291338587E-2</v>
      </c>
      <c r="K1360" s="4">
        <f t="shared" si="1482"/>
        <v>4.8229555000000007E-2</v>
      </c>
      <c r="L1360" s="13">
        <f t="shared" si="1483"/>
        <v>0.55741360089186176</v>
      </c>
      <c r="M1360" s="3"/>
      <c r="N1360" s="3"/>
    </row>
    <row r="1361" spans="1:14" x14ac:dyDescent="0.2">
      <c r="A1361" s="4">
        <v>489261</v>
      </c>
      <c r="B1361" s="4">
        <v>100</v>
      </c>
      <c r="C1361" s="4">
        <v>8</v>
      </c>
      <c r="D1361" s="23">
        <v>2.4</v>
      </c>
      <c r="E1361" s="23">
        <v>1.5</v>
      </c>
      <c r="F1361" s="23">
        <f t="shared" si="1477"/>
        <v>2.4</v>
      </c>
      <c r="G1361" s="23">
        <f t="shared" si="1478"/>
        <v>1.5</v>
      </c>
      <c r="H1361" s="4">
        <f t="shared" si="1479"/>
        <v>3.8630000000000001E-3</v>
      </c>
      <c r="I1361" s="2">
        <f t="shared" si="1480"/>
        <v>6.2142590551181091E-2</v>
      </c>
      <c r="J1361" s="4">
        <f t="shared" si="1481"/>
        <v>6.9392559448818891E-2</v>
      </c>
      <c r="K1361" s="4">
        <f t="shared" si="1482"/>
        <v>0.13153514999999999</v>
      </c>
      <c r="L1361" s="13">
        <f t="shared" si="1483"/>
        <v>0.89552238805970141</v>
      </c>
      <c r="M1361" s="3">
        <f t="shared" ref="M1361" si="1520">AVERAGE(I1361:I1362)</f>
        <v>5.8690224409448821E-2</v>
      </c>
      <c r="N1361" s="3">
        <f t="shared" ref="N1361" si="1521">AVERAGE(J1361:J1362)</f>
        <v>6.8460420590551158E-2</v>
      </c>
    </row>
    <row r="1362" spans="1:14" x14ac:dyDescent="0.2">
      <c r="A1362" s="4"/>
      <c r="B1362" s="4">
        <v>100</v>
      </c>
      <c r="C1362" s="4">
        <v>8</v>
      </c>
      <c r="D1362" s="23">
        <v>2.2000000000000002</v>
      </c>
      <c r="E1362" s="23">
        <v>1.4</v>
      </c>
      <c r="F1362" s="23">
        <f t="shared" si="1477"/>
        <v>2.2000000000000002</v>
      </c>
      <c r="G1362" s="23">
        <f t="shared" si="1478"/>
        <v>1.4</v>
      </c>
      <c r="H1362" s="4">
        <f t="shared" si="1479"/>
        <v>3.8630000000000001E-3</v>
      </c>
      <c r="I1362" s="2">
        <f t="shared" si="1480"/>
        <v>5.5237858267716551E-2</v>
      </c>
      <c r="J1362" s="4">
        <f t="shared" si="1481"/>
        <v>6.7528281732283438E-2</v>
      </c>
      <c r="K1362" s="4">
        <f t="shared" si="1482"/>
        <v>0.12276614</v>
      </c>
      <c r="L1362" s="13">
        <f t="shared" si="1483"/>
        <v>0.81799591002045047</v>
      </c>
      <c r="M1362" s="3"/>
      <c r="N1362" s="3"/>
    </row>
    <row r="1363" spans="1:14" x14ac:dyDescent="0.2">
      <c r="A1363" s="4">
        <v>489262</v>
      </c>
      <c r="B1363" s="4">
        <v>100</v>
      </c>
      <c r="C1363" s="4">
        <v>8</v>
      </c>
      <c r="D1363" s="23">
        <v>2.4</v>
      </c>
      <c r="E1363" s="23">
        <v>1.45</v>
      </c>
      <c r="F1363" s="23">
        <f t="shared" si="1477"/>
        <v>2.4</v>
      </c>
      <c r="G1363" s="23">
        <f t="shared" si="1478"/>
        <v>1.45</v>
      </c>
      <c r="H1363" s="4">
        <f t="shared" si="1479"/>
        <v>3.8630000000000001E-3</v>
      </c>
      <c r="I1363" s="2">
        <f t="shared" si="1480"/>
        <v>6.5594956692913389E-2</v>
      </c>
      <c r="J1363" s="4">
        <f t="shared" si="1481"/>
        <v>6.1555688307086624E-2</v>
      </c>
      <c r="K1363" s="4">
        <f t="shared" si="1482"/>
        <v>0.12715064500000001</v>
      </c>
      <c r="L1363" s="13">
        <f t="shared" si="1483"/>
        <v>1.0656197420078519</v>
      </c>
      <c r="M1363" s="3">
        <f t="shared" ref="M1363" si="1522">AVERAGE(I1363:I1364)</f>
        <v>6.5594956692913389E-2</v>
      </c>
      <c r="N1363" s="3">
        <f t="shared" ref="N1363" si="1523">AVERAGE(J1363:J1364)</f>
        <v>7.6901455807086627E-2</v>
      </c>
    </row>
    <row r="1364" spans="1:14" x14ac:dyDescent="0.2">
      <c r="A1364" s="4"/>
      <c r="B1364" s="4">
        <v>100</v>
      </c>
      <c r="C1364" s="4">
        <v>8</v>
      </c>
      <c r="D1364" s="23">
        <v>2.75</v>
      </c>
      <c r="E1364" s="23">
        <v>1.8</v>
      </c>
      <c r="F1364" s="23">
        <f t="shared" si="1477"/>
        <v>2.75</v>
      </c>
      <c r="G1364" s="23">
        <f t="shared" si="1478"/>
        <v>1.8</v>
      </c>
      <c r="H1364" s="4">
        <f t="shared" si="1479"/>
        <v>3.8630000000000001E-3</v>
      </c>
      <c r="I1364" s="2">
        <f t="shared" si="1480"/>
        <v>6.5594956692913389E-2</v>
      </c>
      <c r="J1364" s="4">
        <f t="shared" si="1481"/>
        <v>9.2247223307086637E-2</v>
      </c>
      <c r="K1364" s="4">
        <f t="shared" si="1482"/>
        <v>0.15784218000000003</v>
      </c>
      <c r="L1364" s="13">
        <f t="shared" si="1483"/>
        <v>0.71107784431137711</v>
      </c>
      <c r="M1364" s="3"/>
      <c r="N1364" s="3"/>
    </row>
    <row r="1365" spans="1:14" x14ac:dyDescent="0.2">
      <c r="A1365" s="4">
        <v>489263</v>
      </c>
      <c r="B1365" s="4">
        <v>100</v>
      </c>
      <c r="C1365" s="4">
        <v>8</v>
      </c>
      <c r="D1365" s="23">
        <v>7.7</v>
      </c>
      <c r="E1365" s="23">
        <v>4.45</v>
      </c>
      <c r="F1365" s="23">
        <f t="shared" si="1477"/>
        <v>7.7</v>
      </c>
      <c r="G1365" s="23">
        <f t="shared" si="1478"/>
        <v>4.45</v>
      </c>
      <c r="H1365" s="4">
        <f t="shared" si="1479"/>
        <v>3.8630000000000001E-3</v>
      </c>
      <c r="I1365" s="2">
        <f t="shared" si="1480"/>
        <v>0.22440379921259843</v>
      </c>
      <c r="J1365" s="4">
        <f t="shared" si="1481"/>
        <v>0.16581714578740162</v>
      </c>
      <c r="K1365" s="4">
        <f t="shared" si="1482"/>
        <v>0.39022094500000004</v>
      </c>
      <c r="L1365" s="13">
        <f t="shared" si="1483"/>
        <v>1.3533208411409532</v>
      </c>
      <c r="M1365" s="3">
        <f t="shared" ref="M1365" si="1524">AVERAGE(I1365:I1366)</f>
        <v>0.22785616535433068</v>
      </c>
      <c r="N1365" s="3">
        <f t="shared" ref="N1365" si="1525">AVERAGE(J1365:J1366)</f>
        <v>0.16455703214566933</v>
      </c>
    </row>
    <row r="1366" spans="1:14" x14ac:dyDescent="0.2">
      <c r="A1366" s="4"/>
      <c r="B1366" s="4">
        <v>100</v>
      </c>
      <c r="C1366" s="4">
        <v>8</v>
      </c>
      <c r="D1366" s="23">
        <v>7.85</v>
      </c>
      <c r="E1366" s="23">
        <v>4.5</v>
      </c>
      <c r="F1366" s="23">
        <f t="shared" si="1477"/>
        <v>7.85</v>
      </c>
      <c r="G1366" s="23">
        <f t="shared" si="1478"/>
        <v>4.5</v>
      </c>
      <c r="H1366" s="4">
        <f t="shared" si="1479"/>
        <v>3.8630000000000001E-3</v>
      </c>
      <c r="I1366" s="2">
        <f t="shared" si="1480"/>
        <v>0.23130853149606295</v>
      </c>
      <c r="J1366" s="4">
        <f t="shared" si="1481"/>
        <v>0.16329691850393704</v>
      </c>
      <c r="K1366" s="4">
        <f t="shared" si="1482"/>
        <v>0.39460545000000002</v>
      </c>
      <c r="L1366" s="13">
        <f t="shared" si="1483"/>
        <v>1.4164904862579275</v>
      </c>
      <c r="M1366" s="3"/>
      <c r="N1366" s="3"/>
    </row>
    <row r="1367" spans="1:14" x14ac:dyDescent="0.2">
      <c r="A1367" s="4">
        <v>489264</v>
      </c>
      <c r="B1367" s="4">
        <v>100</v>
      </c>
      <c r="C1367" s="4">
        <v>6</v>
      </c>
      <c r="D1367" s="23">
        <v>3.85</v>
      </c>
      <c r="E1367" s="23">
        <v>2</v>
      </c>
      <c r="F1367" s="23">
        <f t="shared" si="1477"/>
        <v>3.85</v>
      </c>
      <c r="G1367" s="23">
        <f t="shared" si="1478"/>
        <v>2</v>
      </c>
      <c r="H1367" s="4">
        <f t="shared" si="1479"/>
        <v>3.5767E-2</v>
      </c>
      <c r="I1367" s="2">
        <f t="shared" si="1480"/>
        <v>1.1827048543307088</v>
      </c>
      <c r="J1367" s="4">
        <f t="shared" si="1481"/>
        <v>0.44111694566929133</v>
      </c>
      <c r="K1367" s="4">
        <f t="shared" si="1482"/>
        <v>1.6238218000000002</v>
      </c>
      <c r="L1367" s="13">
        <f t="shared" si="1483"/>
        <v>2.6811594202898554</v>
      </c>
      <c r="M1367" s="3">
        <f t="shared" ref="M1367" si="1526">AVERAGE(I1367:I1368)</f>
        <v>1.1986873523622048</v>
      </c>
      <c r="N1367" s="3">
        <f t="shared" ref="N1367" si="1527">AVERAGE(J1367:J1368)</f>
        <v>0.4048366751377952</v>
      </c>
    </row>
    <row r="1368" spans="1:14" x14ac:dyDescent="0.2">
      <c r="A1368" s="4"/>
      <c r="B1368" s="4">
        <v>100</v>
      </c>
      <c r="C1368" s="4">
        <v>6</v>
      </c>
      <c r="D1368" s="23">
        <v>3.85</v>
      </c>
      <c r="E1368" s="23">
        <v>1.95</v>
      </c>
      <c r="F1368" s="23">
        <f t="shared" si="1477"/>
        <v>3.85</v>
      </c>
      <c r="G1368" s="23">
        <f t="shared" si="1478"/>
        <v>1.95</v>
      </c>
      <c r="H1368" s="4">
        <f t="shared" si="1479"/>
        <v>3.5767E-2</v>
      </c>
      <c r="I1368" s="2">
        <f t="shared" si="1480"/>
        <v>1.2146698503937008</v>
      </c>
      <c r="J1368" s="4">
        <f t="shared" si="1481"/>
        <v>0.36855640460629902</v>
      </c>
      <c r="K1368" s="4">
        <f t="shared" si="1482"/>
        <v>1.5832262549999998</v>
      </c>
      <c r="L1368" s="13">
        <f t="shared" si="1483"/>
        <v>3.2957502168256738</v>
      </c>
      <c r="M1368" s="3"/>
      <c r="N1368" s="3"/>
    </row>
    <row r="1369" spans="1:14" x14ac:dyDescent="0.2">
      <c r="A1369" s="4">
        <v>489265</v>
      </c>
      <c r="B1369" s="4">
        <v>100</v>
      </c>
      <c r="C1369" s="4">
        <v>6</v>
      </c>
      <c r="D1369" s="23">
        <v>3.05</v>
      </c>
      <c r="E1369" s="23">
        <v>1.6</v>
      </c>
      <c r="F1369" s="23">
        <f t="shared" si="1477"/>
        <v>3.05</v>
      </c>
      <c r="G1369" s="23">
        <f t="shared" si="1478"/>
        <v>1.6</v>
      </c>
      <c r="H1369" s="4">
        <f t="shared" si="1479"/>
        <v>3.5767E-2</v>
      </c>
      <c r="I1369" s="2">
        <f t="shared" si="1480"/>
        <v>0.92698488582677152</v>
      </c>
      <c r="J1369" s="4">
        <f t="shared" si="1481"/>
        <v>0.3720725541732286</v>
      </c>
      <c r="K1369" s="4">
        <f t="shared" si="1482"/>
        <v>1.2990574400000001</v>
      </c>
      <c r="L1369" s="13">
        <f t="shared" si="1483"/>
        <v>2.4914089347079016</v>
      </c>
      <c r="M1369" s="3">
        <f t="shared" ref="M1369" si="1528">AVERAGE(I1369:I1370)</f>
        <v>0.92698488582677152</v>
      </c>
      <c r="N1369" s="3">
        <f t="shared" ref="N1369" si="1529">AVERAGE(J1369:J1370)</f>
        <v>0.3720725541732286</v>
      </c>
    </row>
    <row r="1370" spans="1:14" x14ac:dyDescent="0.2">
      <c r="A1370" s="4"/>
      <c r="B1370" s="4">
        <v>100</v>
      </c>
      <c r="C1370" s="4">
        <v>6</v>
      </c>
      <c r="D1370" s="23">
        <v>3.05</v>
      </c>
      <c r="E1370" s="23">
        <v>1.6</v>
      </c>
      <c r="F1370" s="23">
        <f t="shared" si="1477"/>
        <v>3.05</v>
      </c>
      <c r="G1370" s="23">
        <f t="shared" si="1478"/>
        <v>1.6</v>
      </c>
      <c r="H1370" s="4">
        <f t="shared" si="1479"/>
        <v>3.5767E-2</v>
      </c>
      <c r="I1370" s="2">
        <f t="shared" si="1480"/>
        <v>0.92698488582677152</v>
      </c>
      <c r="J1370" s="4">
        <f t="shared" si="1481"/>
        <v>0.3720725541732286</v>
      </c>
      <c r="K1370" s="4">
        <f t="shared" si="1482"/>
        <v>1.2990574400000001</v>
      </c>
      <c r="L1370" s="13">
        <f t="shared" si="1483"/>
        <v>2.4914089347079016</v>
      </c>
      <c r="M1370" s="3"/>
      <c r="N1370" s="3"/>
    </row>
    <row r="1371" spans="1:14" x14ac:dyDescent="0.2">
      <c r="A1371" s="4">
        <v>489266</v>
      </c>
      <c r="B1371" s="4">
        <v>100</v>
      </c>
      <c r="C1371" s="4">
        <v>7</v>
      </c>
      <c r="D1371" s="23">
        <v>3.95</v>
      </c>
      <c r="E1371" s="23">
        <v>2</v>
      </c>
      <c r="F1371" s="23">
        <f t="shared" si="1477"/>
        <v>3.95</v>
      </c>
      <c r="G1371" s="23">
        <f t="shared" si="1478"/>
        <v>2</v>
      </c>
      <c r="H1371" s="4">
        <f t="shared" si="1479"/>
        <v>9.7450000000000002E-3</v>
      </c>
      <c r="I1371" s="2">
        <f t="shared" si="1480"/>
        <v>0.33965545275590558</v>
      </c>
      <c r="J1371" s="4">
        <f t="shared" si="1481"/>
        <v>0.1027675472440945</v>
      </c>
      <c r="K1371" s="4">
        <f t="shared" si="1482"/>
        <v>0.44242300000000007</v>
      </c>
      <c r="L1371" s="13">
        <f t="shared" si="1483"/>
        <v>3.3050847457627124</v>
      </c>
      <c r="M1371" s="3">
        <f t="shared" ref="M1371" si="1530">AVERAGE(I1371:I1372)</f>
        <v>0.34836456692913387</v>
      </c>
      <c r="N1371" s="3">
        <f t="shared" ref="N1371" si="1531">AVERAGE(J1371:J1372)</f>
        <v>8.8528145570866135E-2</v>
      </c>
    </row>
    <row r="1372" spans="1:14" x14ac:dyDescent="0.2">
      <c r="A1372" s="4"/>
      <c r="B1372" s="4">
        <v>100</v>
      </c>
      <c r="C1372" s="4">
        <v>7</v>
      </c>
      <c r="D1372" s="23">
        <v>4</v>
      </c>
      <c r="E1372" s="23">
        <v>1.95</v>
      </c>
      <c r="F1372" s="23">
        <f t="shared" si="1477"/>
        <v>4</v>
      </c>
      <c r="G1372" s="23">
        <f t="shared" si="1478"/>
        <v>1.95</v>
      </c>
      <c r="H1372" s="4">
        <f t="shared" si="1479"/>
        <v>9.7450000000000002E-3</v>
      </c>
      <c r="I1372" s="2">
        <f t="shared" si="1480"/>
        <v>0.35707368110236215</v>
      </c>
      <c r="J1372" s="4">
        <f t="shared" si="1481"/>
        <v>7.4288743897637788E-2</v>
      </c>
      <c r="K1372" s="4">
        <f t="shared" si="1482"/>
        <v>0.43136242499999994</v>
      </c>
      <c r="L1372" s="13">
        <f t="shared" si="1483"/>
        <v>4.8065650644783116</v>
      </c>
      <c r="M1372" s="3"/>
      <c r="N1372" s="3"/>
    </row>
    <row r="1373" spans="1:14" x14ac:dyDescent="0.2">
      <c r="A1373" s="31">
        <v>488264</v>
      </c>
      <c r="B1373" s="4">
        <v>100</v>
      </c>
      <c r="C1373" s="4">
        <v>7</v>
      </c>
      <c r="D1373" s="23">
        <v>3</v>
      </c>
      <c r="E1373" s="23">
        <v>1.5</v>
      </c>
      <c r="F1373" s="23">
        <f t="shared" si="1477"/>
        <v>3</v>
      </c>
      <c r="G1373" s="23">
        <f t="shared" si="1478"/>
        <v>1.5</v>
      </c>
      <c r="H1373" s="4">
        <f t="shared" si="1479"/>
        <v>9.7450000000000002E-3</v>
      </c>
      <c r="I1373" s="2">
        <f t="shared" si="1480"/>
        <v>0.26127342519685043</v>
      </c>
      <c r="J1373" s="4">
        <f t="shared" si="1481"/>
        <v>7.054382480314958E-2</v>
      </c>
      <c r="K1373" s="4">
        <f t="shared" si="1482"/>
        <v>0.33181725000000001</v>
      </c>
      <c r="L1373" s="13">
        <f t="shared" si="1483"/>
        <v>3.7037037037037055</v>
      </c>
      <c r="M1373" s="3">
        <f t="shared" ref="M1373" si="1532">AVERAGE(I1373:I1374)</f>
        <v>0.26998253937007877</v>
      </c>
      <c r="N1373" s="3">
        <f t="shared" ref="N1373" si="1533">AVERAGE(J1373:J1374)</f>
        <v>6.1834710629921248E-2</v>
      </c>
    </row>
    <row r="1374" spans="1:14" x14ac:dyDescent="0.2">
      <c r="A1374" s="4"/>
      <c r="B1374" s="4">
        <v>100</v>
      </c>
      <c r="C1374" s="4">
        <v>7</v>
      </c>
      <c r="D1374" s="23">
        <v>3.1</v>
      </c>
      <c r="E1374" s="23">
        <v>1.5</v>
      </c>
      <c r="F1374" s="23">
        <f t="shared" si="1477"/>
        <v>3.1</v>
      </c>
      <c r="G1374" s="23">
        <f t="shared" si="1478"/>
        <v>1.5</v>
      </c>
      <c r="H1374" s="4">
        <f t="shared" si="1479"/>
        <v>9.7450000000000002E-3</v>
      </c>
      <c r="I1374" s="2">
        <f t="shared" si="1480"/>
        <v>0.27869165354330711</v>
      </c>
      <c r="J1374" s="4">
        <f t="shared" si="1481"/>
        <v>5.3125596456692917E-2</v>
      </c>
      <c r="K1374" s="4">
        <f t="shared" si="1482"/>
        <v>0.33181725000000001</v>
      </c>
      <c r="L1374" s="13">
        <f t="shared" si="1483"/>
        <v>5.2459016393442619</v>
      </c>
      <c r="M1374" s="3"/>
      <c r="N1374" s="3"/>
    </row>
    <row r="1375" spans="1:14" x14ac:dyDescent="0.2">
      <c r="A1375" s="4">
        <v>489270</v>
      </c>
      <c r="B1375" s="4">
        <v>100</v>
      </c>
      <c r="C1375" s="4">
        <v>8</v>
      </c>
      <c r="D1375" s="23">
        <v>1.05</v>
      </c>
      <c r="E1375" s="23">
        <v>0.65</v>
      </c>
      <c r="F1375" s="23">
        <f t="shared" si="1477"/>
        <v>1.05</v>
      </c>
      <c r="G1375" s="23">
        <f t="shared" si="1478"/>
        <v>0.65</v>
      </c>
      <c r="H1375" s="4">
        <f t="shared" si="1479"/>
        <v>3.8630000000000001E-3</v>
      </c>
      <c r="I1375" s="2">
        <f t="shared" si="1480"/>
        <v>2.7618929133858269E-2</v>
      </c>
      <c r="J1375" s="4">
        <f t="shared" si="1481"/>
        <v>2.9379635866141725E-2</v>
      </c>
      <c r="K1375" s="4">
        <f t="shared" si="1482"/>
        <v>5.6998564999999994E-2</v>
      </c>
      <c r="L1375" s="13">
        <f t="shared" si="1483"/>
        <v>0.94007050528789682</v>
      </c>
      <c r="M1375" s="3">
        <f t="shared" ref="M1375" si="1534">AVERAGE(I1375:I1376)</f>
        <v>2.9345112204724407E-2</v>
      </c>
      <c r="N1375" s="3">
        <f t="shared" ref="N1375" si="1535">AVERAGE(J1375:J1376)</f>
        <v>2.9845705295275589E-2</v>
      </c>
    </row>
    <row r="1376" spans="1:14" x14ac:dyDescent="0.2">
      <c r="A1376" s="4"/>
      <c r="B1376" s="4">
        <v>100</v>
      </c>
      <c r="C1376" s="4">
        <v>8</v>
      </c>
      <c r="D1376" s="23">
        <v>1.1499999999999999</v>
      </c>
      <c r="E1376" s="23">
        <v>0.7</v>
      </c>
      <c r="F1376" s="23">
        <f t="shared" si="1477"/>
        <v>1.1499999999999999</v>
      </c>
      <c r="G1376" s="23">
        <f t="shared" si="1478"/>
        <v>0.7</v>
      </c>
      <c r="H1376" s="4">
        <f t="shared" si="1479"/>
        <v>3.8630000000000001E-3</v>
      </c>
      <c r="I1376" s="2">
        <f t="shared" si="1480"/>
        <v>3.1071295275590546E-2</v>
      </c>
      <c r="J1376" s="4">
        <f t="shared" si="1481"/>
        <v>3.0311774724409449E-2</v>
      </c>
      <c r="K1376" s="4">
        <f t="shared" si="1482"/>
        <v>6.1383069999999998E-2</v>
      </c>
      <c r="L1376" s="13">
        <f t="shared" si="1483"/>
        <v>1.0250569476082003</v>
      </c>
      <c r="M1376" s="3"/>
      <c r="N1376" s="3"/>
    </row>
    <row r="1377" spans="1:14" x14ac:dyDescent="0.2">
      <c r="A1377" s="4">
        <v>489271</v>
      </c>
      <c r="B1377" s="4">
        <v>100</v>
      </c>
      <c r="C1377" s="4">
        <v>8</v>
      </c>
      <c r="D1377" s="23">
        <v>5.85</v>
      </c>
      <c r="E1377" s="23">
        <v>3.35</v>
      </c>
      <c r="F1377" s="23">
        <f t="shared" si="1477"/>
        <v>5.85</v>
      </c>
      <c r="G1377" s="23">
        <f t="shared" si="1478"/>
        <v>3.35</v>
      </c>
      <c r="H1377" s="4">
        <f t="shared" si="1479"/>
        <v>3.8630000000000001E-3</v>
      </c>
      <c r="I1377" s="2">
        <f t="shared" si="1480"/>
        <v>0.17261830708661413</v>
      </c>
      <c r="J1377" s="4">
        <f t="shared" si="1481"/>
        <v>0.12114352791338595</v>
      </c>
      <c r="K1377" s="4">
        <f t="shared" si="1482"/>
        <v>0.29376183500000008</v>
      </c>
      <c r="L1377" s="13">
        <f t="shared" si="1483"/>
        <v>1.424907381020232</v>
      </c>
      <c r="M1377" s="3">
        <f t="shared" ref="M1377" si="1536">AVERAGE(I1377:I1378)</f>
        <v>0.17261830708661416</v>
      </c>
      <c r="N1377" s="3">
        <f t="shared" ref="N1377" si="1537">AVERAGE(J1377:J1378)</f>
        <v>0.12552803291338588</v>
      </c>
    </row>
    <row r="1378" spans="1:14" x14ac:dyDescent="0.2">
      <c r="A1378" s="4"/>
      <c r="B1378" s="4">
        <v>100</v>
      </c>
      <c r="C1378" s="4">
        <v>8</v>
      </c>
      <c r="D1378" s="23">
        <v>5.95</v>
      </c>
      <c r="E1378" s="23">
        <v>3.45</v>
      </c>
      <c r="F1378" s="23">
        <f t="shared" si="1477"/>
        <v>5.95</v>
      </c>
      <c r="G1378" s="23">
        <f t="shared" si="1478"/>
        <v>3.45</v>
      </c>
      <c r="H1378" s="4">
        <f t="shared" si="1479"/>
        <v>3.8630000000000001E-3</v>
      </c>
      <c r="I1378" s="2">
        <f t="shared" si="1480"/>
        <v>0.17261830708661419</v>
      </c>
      <c r="J1378" s="4">
        <f t="shared" si="1481"/>
        <v>0.12991253791338583</v>
      </c>
      <c r="K1378" s="4">
        <f t="shared" si="1482"/>
        <v>0.30253084500000005</v>
      </c>
      <c r="L1378" s="13">
        <f t="shared" si="1483"/>
        <v>1.3287270794578794</v>
      </c>
      <c r="M1378" s="3"/>
      <c r="N1378" s="3"/>
    </row>
    <row r="1379" spans="1:14" x14ac:dyDescent="0.2">
      <c r="A1379" s="4">
        <v>489273</v>
      </c>
      <c r="B1379" s="4">
        <v>100</v>
      </c>
      <c r="C1379" s="4">
        <v>8</v>
      </c>
      <c r="D1379" s="23">
        <v>6.85</v>
      </c>
      <c r="E1379" s="23">
        <v>3.85</v>
      </c>
      <c r="F1379" s="23">
        <f t="shared" si="1477"/>
        <v>6.85</v>
      </c>
      <c r="G1379" s="23">
        <f t="shared" si="1478"/>
        <v>3.85</v>
      </c>
      <c r="H1379" s="4">
        <f t="shared" si="1479"/>
        <v>3.8630000000000001E-3</v>
      </c>
      <c r="I1379" s="2">
        <f t="shared" si="1480"/>
        <v>0.20714196850393699</v>
      </c>
      <c r="J1379" s="4">
        <f t="shared" si="1481"/>
        <v>0.13046491649606304</v>
      </c>
      <c r="K1379" s="4">
        <f t="shared" si="1482"/>
        <v>0.33760688500000002</v>
      </c>
      <c r="L1379" s="13">
        <f t="shared" si="1483"/>
        <v>1.5877216194760511</v>
      </c>
      <c r="M1379" s="3">
        <f t="shared" ref="M1379" si="1538">AVERAGE(I1379:I1380)</f>
        <v>0.20368960236220468</v>
      </c>
      <c r="N1379" s="3">
        <f t="shared" ref="N1379" si="1539">AVERAGE(J1379:J1380)</f>
        <v>0.1470707976377954</v>
      </c>
    </row>
    <row r="1380" spans="1:14" x14ac:dyDescent="0.2">
      <c r="A1380" s="4"/>
      <c r="B1380" s="4">
        <v>100</v>
      </c>
      <c r="C1380" s="4">
        <v>8</v>
      </c>
      <c r="D1380" s="23">
        <v>7.05</v>
      </c>
      <c r="E1380" s="23">
        <v>4.1500000000000004</v>
      </c>
      <c r="F1380" s="23">
        <f t="shared" si="1477"/>
        <v>7.05</v>
      </c>
      <c r="G1380" s="23">
        <f t="shared" si="1478"/>
        <v>4.1500000000000004</v>
      </c>
      <c r="H1380" s="4">
        <f t="shared" si="1479"/>
        <v>3.8630000000000001E-3</v>
      </c>
      <c r="I1380" s="2">
        <f t="shared" si="1480"/>
        <v>0.2002372362204724</v>
      </c>
      <c r="J1380" s="4">
        <f t="shared" si="1481"/>
        <v>0.16367667877952774</v>
      </c>
      <c r="K1380" s="4">
        <f t="shared" si="1482"/>
        <v>0.36391391500000014</v>
      </c>
      <c r="L1380" s="13">
        <f t="shared" si="1483"/>
        <v>1.2233705969204793</v>
      </c>
      <c r="M1380" s="3"/>
      <c r="N1380" s="3"/>
    </row>
    <row r="1381" spans="1:14" x14ac:dyDescent="0.2">
      <c r="A1381" s="4">
        <v>489274</v>
      </c>
      <c r="B1381" s="4">
        <v>100</v>
      </c>
      <c r="C1381" s="4">
        <v>6</v>
      </c>
      <c r="D1381" s="23">
        <v>2.15</v>
      </c>
      <c r="E1381" s="23">
        <v>1.1499999999999999</v>
      </c>
      <c r="F1381" s="23">
        <f t="shared" si="1477"/>
        <v>2.15</v>
      </c>
      <c r="G1381" s="23">
        <f t="shared" si="1478"/>
        <v>1.1499999999999999</v>
      </c>
      <c r="H1381" s="4">
        <f t="shared" si="1479"/>
        <v>3.5767E-2</v>
      </c>
      <c r="I1381" s="2">
        <f t="shared" si="1480"/>
        <v>0.63929992125984259</v>
      </c>
      <c r="J1381" s="4">
        <f t="shared" si="1481"/>
        <v>0.29439761374015733</v>
      </c>
      <c r="K1381" s="4">
        <f t="shared" si="1482"/>
        <v>0.93369753499999986</v>
      </c>
      <c r="L1381" s="13">
        <f t="shared" si="1483"/>
        <v>2.1715526601520101</v>
      </c>
      <c r="M1381" s="3">
        <f t="shared" ref="M1381" si="1540">AVERAGE(I1381:I1382)</f>
        <v>0.63929992125984259</v>
      </c>
      <c r="N1381" s="3">
        <f t="shared" ref="N1381" si="1541">AVERAGE(J1381:J1382)</f>
        <v>0.29439761374015733</v>
      </c>
    </row>
    <row r="1382" spans="1:14" x14ac:dyDescent="0.2">
      <c r="A1382" s="4"/>
      <c r="B1382" s="4">
        <v>100</v>
      </c>
      <c r="C1382" s="4">
        <v>6</v>
      </c>
      <c r="D1382" s="23">
        <v>2.15</v>
      </c>
      <c r="E1382" s="23">
        <v>1.1499999999999999</v>
      </c>
      <c r="F1382" s="23">
        <f t="shared" si="1477"/>
        <v>2.15</v>
      </c>
      <c r="G1382" s="23">
        <f t="shared" si="1478"/>
        <v>1.1499999999999999</v>
      </c>
      <c r="H1382" s="4">
        <f t="shared" si="1479"/>
        <v>3.5767E-2</v>
      </c>
      <c r="I1382" s="2">
        <f t="shared" si="1480"/>
        <v>0.63929992125984259</v>
      </c>
      <c r="J1382" s="4">
        <f t="shared" si="1481"/>
        <v>0.29439761374015733</v>
      </c>
      <c r="K1382" s="4">
        <f t="shared" si="1482"/>
        <v>0.93369753499999986</v>
      </c>
      <c r="L1382" s="13">
        <f t="shared" si="1483"/>
        <v>2.1715526601520101</v>
      </c>
      <c r="M1382" s="3"/>
      <c r="N1382" s="3"/>
    </row>
    <row r="1383" spans="1:14" x14ac:dyDescent="0.2">
      <c r="A1383" s="4">
        <v>489275</v>
      </c>
      <c r="B1383" s="4">
        <v>100</v>
      </c>
      <c r="C1383" s="4">
        <v>6</v>
      </c>
      <c r="D1383" s="23">
        <v>3.45</v>
      </c>
      <c r="E1383" s="23">
        <v>1.8</v>
      </c>
      <c r="F1383" s="23">
        <f t="shared" si="1477"/>
        <v>3.45</v>
      </c>
      <c r="G1383" s="23">
        <f t="shared" si="1478"/>
        <v>1.8</v>
      </c>
      <c r="H1383" s="4">
        <f t="shared" si="1479"/>
        <v>3.5767E-2</v>
      </c>
      <c r="I1383" s="2">
        <f t="shared" si="1480"/>
        <v>1.0548448700787403</v>
      </c>
      <c r="J1383" s="4">
        <f t="shared" si="1481"/>
        <v>0.40659474992125977</v>
      </c>
      <c r="K1383" s="4">
        <f t="shared" si="1482"/>
        <v>1.4614396200000002</v>
      </c>
      <c r="L1383" s="13">
        <f t="shared" si="1483"/>
        <v>2.5943396226415101</v>
      </c>
      <c r="M1383" s="3">
        <f t="shared" ref="M1383" si="1542">AVERAGE(I1383:I1384)</f>
        <v>1.0708273681102363</v>
      </c>
      <c r="N1383" s="3">
        <f t="shared" ref="N1383" si="1543">AVERAGE(J1383:J1384)</f>
        <v>0.41091002438976398</v>
      </c>
    </row>
    <row r="1384" spans="1:14" x14ac:dyDescent="0.2">
      <c r="A1384" s="4"/>
      <c r="B1384" s="4">
        <v>100</v>
      </c>
      <c r="C1384" s="4">
        <v>6</v>
      </c>
      <c r="D1384" s="23">
        <v>3.55</v>
      </c>
      <c r="E1384" s="23">
        <v>1.85</v>
      </c>
      <c r="F1384" s="23">
        <f t="shared" si="1477"/>
        <v>3.55</v>
      </c>
      <c r="G1384" s="23">
        <f t="shared" si="1478"/>
        <v>1.85</v>
      </c>
      <c r="H1384" s="4">
        <f t="shared" si="1479"/>
        <v>3.5767E-2</v>
      </c>
      <c r="I1384" s="2">
        <f t="shared" si="1480"/>
        <v>1.0868098661417323</v>
      </c>
      <c r="J1384" s="4">
        <f t="shared" si="1481"/>
        <v>0.41522529885826825</v>
      </c>
      <c r="K1384" s="4">
        <f t="shared" si="1482"/>
        <v>1.5020351650000006</v>
      </c>
      <c r="L1384" s="13">
        <f t="shared" si="1483"/>
        <v>2.6173979984603508</v>
      </c>
      <c r="M1384" s="3"/>
      <c r="N1384" s="3"/>
    </row>
    <row r="1385" spans="1:14" x14ac:dyDescent="0.2">
      <c r="A1385" s="4">
        <v>489276</v>
      </c>
      <c r="B1385" s="4">
        <v>100</v>
      </c>
      <c r="C1385" s="4">
        <v>7</v>
      </c>
      <c r="D1385" s="23">
        <v>5.35</v>
      </c>
      <c r="E1385" s="23">
        <v>2.75</v>
      </c>
      <c r="F1385" s="23">
        <f t="shared" si="1477"/>
        <v>5.35</v>
      </c>
      <c r="G1385" s="23">
        <f t="shared" si="1478"/>
        <v>2.75</v>
      </c>
      <c r="H1385" s="4">
        <f t="shared" si="1479"/>
        <v>9.7450000000000002E-3</v>
      </c>
      <c r="I1385" s="2">
        <f t="shared" si="1480"/>
        <v>0.45287393700787398</v>
      </c>
      <c r="J1385" s="4">
        <f t="shared" si="1481"/>
        <v>0.155457687992126</v>
      </c>
      <c r="K1385" s="4">
        <f t="shared" si="1482"/>
        <v>0.60833162499999993</v>
      </c>
      <c r="L1385" s="13">
        <f t="shared" si="1483"/>
        <v>2.913165266106442</v>
      </c>
      <c r="M1385" s="3">
        <f t="shared" ref="M1385" si="1544">AVERAGE(I1385:I1386)</f>
        <v>0.4398102657480315</v>
      </c>
      <c r="N1385" s="3">
        <f t="shared" ref="N1385" si="1545">AVERAGE(J1385:J1386)</f>
        <v>0.16852135925196848</v>
      </c>
    </row>
    <row r="1386" spans="1:14" x14ac:dyDescent="0.2">
      <c r="A1386" s="4"/>
      <c r="B1386" s="4">
        <v>100</v>
      </c>
      <c r="C1386" s="4">
        <v>7</v>
      </c>
      <c r="D1386" s="23">
        <v>5.2</v>
      </c>
      <c r="E1386" s="23">
        <v>2.75</v>
      </c>
      <c r="F1386" s="23">
        <f t="shared" si="1477"/>
        <v>5.2</v>
      </c>
      <c r="G1386" s="23">
        <f t="shared" si="1478"/>
        <v>2.75</v>
      </c>
      <c r="H1386" s="4">
        <f t="shared" si="1479"/>
        <v>9.7450000000000002E-3</v>
      </c>
      <c r="I1386" s="2">
        <f t="shared" si="1480"/>
        <v>0.42674659448818902</v>
      </c>
      <c r="J1386" s="4">
        <f t="shared" si="1481"/>
        <v>0.18158503051181099</v>
      </c>
      <c r="K1386" s="4">
        <f t="shared" si="1482"/>
        <v>0.60833162500000004</v>
      </c>
      <c r="L1386" s="13">
        <f t="shared" si="1483"/>
        <v>2.3501199040767391</v>
      </c>
      <c r="M1386" s="3"/>
      <c r="N1386" s="3"/>
    </row>
    <row r="1387" spans="1:14" x14ac:dyDescent="0.2">
      <c r="A1387" s="4">
        <v>489277</v>
      </c>
      <c r="B1387" s="4">
        <v>100</v>
      </c>
      <c r="C1387" s="4">
        <v>7</v>
      </c>
      <c r="D1387" s="23">
        <v>3.75</v>
      </c>
      <c r="E1387" s="23">
        <v>1.85</v>
      </c>
      <c r="F1387" s="23">
        <f t="shared" si="1477"/>
        <v>3.75</v>
      </c>
      <c r="G1387" s="23">
        <f t="shared" si="1478"/>
        <v>1.85</v>
      </c>
      <c r="H1387" s="4">
        <f t="shared" si="1479"/>
        <v>9.7450000000000002E-3</v>
      </c>
      <c r="I1387" s="2">
        <f t="shared" si="1480"/>
        <v>0.33094633858267719</v>
      </c>
      <c r="J1387" s="4">
        <f t="shared" si="1481"/>
        <v>7.8294936417322963E-2</v>
      </c>
      <c r="K1387" s="4">
        <f t="shared" si="1482"/>
        <v>0.40924127500000018</v>
      </c>
      <c r="L1387" s="13">
        <f t="shared" si="1483"/>
        <v>4.2269187986651771</v>
      </c>
      <c r="M1387" s="3">
        <f t="shared" ref="M1387" si="1546">AVERAGE(I1387:I1388)</f>
        <v>0.3222372244094488</v>
      </c>
      <c r="N1387" s="3">
        <f t="shared" ref="N1387" si="1547">AVERAGE(J1387:J1388)</f>
        <v>8.7004050590551288E-2</v>
      </c>
    </row>
    <row r="1388" spans="1:14" x14ac:dyDescent="0.2">
      <c r="A1388" s="4"/>
      <c r="B1388" s="4">
        <v>100</v>
      </c>
      <c r="C1388" s="4">
        <v>7</v>
      </c>
      <c r="D1388" s="23">
        <v>3.65</v>
      </c>
      <c r="E1388" s="23">
        <v>1.85</v>
      </c>
      <c r="F1388" s="23">
        <f t="shared" si="1477"/>
        <v>3.65</v>
      </c>
      <c r="G1388" s="23">
        <f t="shared" si="1478"/>
        <v>1.85</v>
      </c>
      <c r="H1388" s="4">
        <f t="shared" si="1479"/>
        <v>9.7450000000000002E-3</v>
      </c>
      <c r="I1388" s="2">
        <f t="shared" si="1480"/>
        <v>0.3135281102362204</v>
      </c>
      <c r="J1388" s="4">
        <f t="shared" si="1481"/>
        <v>9.5713164763779612E-2</v>
      </c>
      <c r="K1388" s="4">
        <f t="shared" si="1482"/>
        <v>0.40924127500000002</v>
      </c>
      <c r="L1388" s="13">
        <f t="shared" si="1483"/>
        <v>3.2757051865332083</v>
      </c>
      <c r="M1388" s="3"/>
      <c r="N1388" s="3"/>
    </row>
    <row r="1389" spans="1:14" x14ac:dyDescent="0.2">
      <c r="A1389" s="4">
        <v>489278</v>
      </c>
      <c r="B1389" s="4">
        <v>100</v>
      </c>
      <c r="C1389" s="4">
        <v>7</v>
      </c>
      <c r="D1389" s="23">
        <v>3.85</v>
      </c>
      <c r="E1389" s="23">
        <v>1.9</v>
      </c>
      <c r="F1389" s="23">
        <f t="shared" ref="F1389:F1404" si="1548">IF($C1389=5,D1389-$D$5,IF($C1389=6,D1389-$D$6,IF($C1389=7,D1389-$D$7,IF($C1389=8,D1389-$D$8,D1389))))</f>
        <v>3.85</v>
      </c>
      <c r="G1389" s="23">
        <f t="shared" ref="G1389:G1404" si="1549">IF($C1389=5,E1389-$D$5,IF($C1389=6,E1389-$D$6,IF($C1389=7,E1389-$D$7,IF($C1389=8,E1389-$D$8,E1389))))</f>
        <v>1.9</v>
      </c>
      <c r="H1389" s="4">
        <f t="shared" ref="H1389:H1404" si="1550">IF(C1389=1,32.7101,IF(C1389=2,8.14893,IF(C1389=3,1.42818,IF(C1389=4,0.44041,IF(C1389=5,0.123026,IF(C1389=6,0.035767,IF(C1389=7,0.009745,0.003863)))))))</f>
        <v>9.7450000000000002E-3</v>
      </c>
      <c r="I1389" s="2">
        <f t="shared" ref="I1389:I1404" si="1551">H1389*$A$3*(F1389-G1389)*1000/B1389</f>
        <v>0.33965545275590558</v>
      </c>
      <c r="J1389" s="4">
        <f t="shared" ref="J1389:J1404" si="1552">2.27*($A$3*G1389-($A$3-1)*F1389)*H1389*1000/B1389</f>
        <v>8.0646397244094475E-2</v>
      </c>
      <c r="K1389" s="4">
        <f t="shared" ref="K1389:K1404" si="1553">(I1389+J1389)</f>
        <v>0.42030185000000009</v>
      </c>
      <c r="L1389" s="13">
        <f t="shared" ref="L1389:L1404" si="1554">(I1389/J1389)</f>
        <v>4.2116630669546451</v>
      </c>
      <c r="M1389" s="3">
        <f t="shared" ref="M1389" si="1555">AVERAGE(I1389:I1390)</f>
        <v>0.33965545275590558</v>
      </c>
      <c r="N1389" s="3">
        <f t="shared" ref="N1389" si="1556">AVERAGE(J1389:J1390)</f>
        <v>8.0646397244094475E-2</v>
      </c>
    </row>
    <row r="1390" spans="1:14" x14ac:dyDescent="0.2">
      <c r="A1390" s="4"/>
      <c r="B1390" s="4">
        <v>100</v>
      </c>
      <c r="C1390" s="4">
        <v>7</v>
      </c>
      <c r="D1390" s="23">
        <v>3.85</v>
      </c>
      <c r="E1390" s="23">
        <v>1.9</v>
      </c>
      <c r="F1390" s="23">
        <f t="shared" si="1548"/>
        <v>3.85</v>
      </c>
      <c r="G1390" s="23">
        <f t="shared" si="1549"/>
        <v>1.9</v>
      </c>
      <c r="H1390" s="4">
        <f t="shared" si="1550"/>
        <v>9.7450000000000002E-3</v>
      </c>
      <c r="I1390" s="2">
        <f t="shared" si="1551"/>
        <v>0.33965545275590558</v>
      </c>
      <c r="J1390" s="4">
        <f t="shared" si="1552"/>
        <v>8.0646397244094475E-2</v>
      </c>
      <c r="K1390" s="4">
        <f t="shared" si="1553"/>
        <v>0.42030185000000009</v>
      </c>
      <c r="L1390" s="13">
        <f t="shared" si="1554"/>
        <v>4.2116630669546451</v>
      </c>
      <c r="M1390" s="3"/>
      <c r="N1390" s="3"/>
    </row>
    <row r="1391" spans="1:14" x14ac:dyDescent="0.2">
      <c r="A1391" s="4">
        <v>489281</v>
      </c>
      <c r="B1391" s="4">
        <v>100</v>
      </c>
      <c r="C1391" s="4">
        <v>8</v>
      </c>
      <c r="D1391" s="23">
        <v>2.4500000000000002</v>
      </c>
      <c r="E1391" s="23">
        <v>1.75</v>
      </c>
      <c r="F1391" s="23">
        <f t="shared" si="1548"/>
        <v>2.4500000000000002</v>
      </c>
      <c r="G1391" s="23">
        <f t="shared" si="1549"/>
        <v>1.75</v>
      </c>
      <c r="H1391" s="4">
        <f t="shared" si="1550"/>
        <v>3.8630000000000001E-3</v>
      </c>
      <c r="I1391" s="2">
        <f t="shared" si="1551"/>
        <v>4.8333125984251983E-2</v>
      </c>
      <c r="J1391" s="4">
        <f t="shared" si="1552"/>
        <v>0.10512454901574803</v>
      </c>
      <c r="K1391" s="4">
        <f t="shared" si="1553"/>
        <v>0.15345767500000002</v>
      </c>
      <c r="L1391" s="13">
        <f t="shared" si="1554"/>
        <v>0.4597701149425289</v>
      </c>
      <c r="M1391" s="3">
        <f t="shared" ref="M1391" si="1557">AVERAGE(I1391:I1392)</f>
        <v>5.1785492125984253E-2</v>
      </c>
      <c r="N1391" s="3">
        <f t="shared" ref="N1391" si="1558">AVERAGE(J1391:J1392)</f>
        <v>0.10605668787401576</v>
      </c>
    </row>
    <row r="1392" spans="1:14" x14ac:dyDescent="0.2">
      <c r="A1392" s="4"/>
      <c r="B1392" s="4">
        <v>100</v>
      </c>
      <c r="C1392" s="4">
        <v>8</v>
      </c>
      <c r="D1392" s="23">
        <v>2.65</v>
      </c>
      <c r="E1392" s="23">
        <v>1.85</v>
      </c>
      <c r="F1392" s="23">
        <f t="shared" si="1548"/>
        <v>2.65</v>
      </c>
      <c r="G1392" s="23">
        <f t="shared" si="1549"/>
        <v>1.85</v>
      </c>
      <c r="H1392" s="4">
        <f t="shared" si="1550"/>
        <v>3.8630000000000001E-3</v>
      </c>
      <c r="I1392" s="2">
        <f t="shared" si="1551"/>
        <v>5.523785826771653E-2</v>
      </c>
      <c r="J1392" s="4">
        <f t="shared" si="1552"/>
        <v>0.10698882673228349</v>
      </c>
      <c r="K1392" s="4">
        <f t="shared" si="1553"/>
        <v>0.16222668500000004</v>
      </c>
      <c r="L1392" s="13">
        <f t="shared" si="1554"/>
        <v>0.51629557921910274</v>
      </c>
      <c r="M1392" s="3"/>
      <c r="N1392" s="3"/>
    </row>
    <row r="1393" spans="1:14" x14ac:dyDescent="0.2">
      <c r="A1393" s="4">
        <v>489282</v>
      </c>
      <c r="B1393" s="4">
        <v>100</v>
      </c>
      <c r="C1393" s="4">
        <v>7</v>
      </c>
      <c r="D1393" s="23">
        <v>3.15</v>
      </c>
      <c r="E1393" s="23">
        <v>1.75</v>
      </c>
      <c r="F1393" s="23">
        <f t="shared" si="1548"/>
        <v>3.15</v>
      </c>
      <c r="G1393" s="23">
        <f t="shared" si="1549"/>
        <v>1.75</v>
      </c>
      <c r="H1393" s="4">
        <f t="shared" si="1550"/>
        <v>9.7450000000000002E-3</v>
      </c>
      <c r="I1393" s="2">
        <f t="shared" si="1551"/>
        <v>0.2438551968503937</v>
      </c>
      <c r="J1393" s="4">
        <f t="shared" si="1552"/>
        <v>0.14326492814960634</v>
      </c>
      <c r="K1393" s="4">
        <f t="shared" si="1553"/>
        <v>0.38712012500000004</v>
      </c>
      <c r="L1393" s="13">
        <f t="shared" si="1554"/>
        <v>1.7021276595744677</v>
      </c>
      <c r="M1393" s="3">
        <f t="shared" ref="M1393" si="1559">AVERAGE(I1393:I1394)</f>
        <v>0.23514608267716541</v>
      </c>
      <c r="N1393" s="3">
        <f t="shared" ref="N1393" si="1560">AVERAGE(J1393:J1394)</f>
        <v>0.14091346732283466</v>
      </c>
    </row>
    <row r="1394" spans="1:14" x14ac:dyDescent="0.2">
      <c r="A1394" s="4"/>
      <c r="B1394" s="4">
        <v>100</v>
      </c>
      <c r="C1394" s="4">
        <v>7</v>
      </c>
      <c r="D1394" s="23">
        <v>2.95</v>
      </c>
      <c r="E1394" s="23">
        <v>1.65</v>
      </c>
      <c r="F1394" s="23">
        <f t="shared" si="1548"/>
        <v>2.95</v>
      </c>
      <c r="G1394" s="23">
        <f t="shared" si="1549"/>
        <v>1.65</v>
      </c>
      <c r="H1394" s="4">
        <f t="shared" si="1550"/>
        <v>9.7450000000000002E-3</v>
      </c>
      <c r="I1394" s="2">
        <f t="shared" si="1551"/>
        <v>0.2264369685039371</v>
      </c>
      <c r="J1394" s="4">
        <f t="shared" si="1552"/>
        <v>0.13856200649606298</v>
      </c>
      <c r="K1394" s="4">
        <f t="shared" si="1553"/>
        <v>0.36499897500000011</v>
      </c>
      <c r="L1394" s="13">
        <f t="shared" si="1554"/>
        <v>1.6341923318667513</v>
      </c>
      <c r="M1394" s="3"/>
      <c r="N1394" s="3"/>
    </row>
    <row r="1395" spans="1:14" x14ac:dyDescent="0.2">
      <c r="A1395" s="4">
        <v>489283</v>
      </c>
      <c r="B1395" s="4">
        <v>100</v>
      </c>
      <c r="C1395" s="4">
        <v>7</v>
      </c>
      <c r="D1395" s="23">
        <v>3.1</v>
      </c>
      <c r="E1395" s="23">
        <v>1.75</v>
      </c>
      <c r="F1395" s="23">
        <f t="shared" si="1548"/>
        <v>3.1</v>
      </c>
      <c r="G1395" s="23">
        <f t="shared" si="1549"/>
        <v>1.75</v>
      </c>
      <c r="H1395" s="4">
        <f t="shared" si="1550"/>
        <v>9.7450000000000002E-3</v>
      </c>
      <c r="I1395" s="2">
        <f t="shared" si="1551"/>
        <v>0.23514608267716539</v>
      </c>
      <c r="J1395" s="4">
        <f t="shared" si="1552"/>
        <v>0.15197404232283465</v>
      </c>
      <c r="K1395" s="4">
        <f t="shared" si="1553"/>
        <v>0.38712012500000004</v>
      </c>
      <c r="L1395" s="13">
        <f t="shared" si="1554"/>
        <v>1.547277936962751</v>
      </c>
      <c r="M1395" s="3">
        <f t="shared" ref="M1395" si="1561">AVERAGE(I1395:I1396)</f>
        <v>0.23950063976377955</v>
      </c>
      <c r="N1395" s="3">
        <f t="shared" ref="N1395" si="1562">AVERAGE(J1395:J1396)</f>
        <v>0.15314977273622049</v>
      </c>
    </row>
    <row r="1396" spans="1:14" x14ac:dyDescent="0.2">
      <c r="A1396" s="4"/>
      <c r="B1396" s="4">
        <v>100</v>
      </c>
      <c r="C1396" s="4">
        <v>7</v>
      </c>
      <c r="D1396" s="23">
        <v>3.2</v>
      </c>
      <c r="E1396" s="23">
        <v>1.8</v>
      </c>
      <c r="F1396" s="23">
        <f t="shared" si="1548"/>
        <v>3.2</v>
      </c>
      <c r="G1396" s="23">
        <f t="shared" si="1549"/>
        <v>1.8</v>
      </c>
      <c r="H1396" s="4">
        <f t="shared" si="1550"/>
        <v>9.7450000000000002E-3</v>
      </c>
      <c r="I1396" s="2">
        <f t="shared" si="1551"/>
        <v>0.24385519685039372</v>
      </c>
      <c r="J1396" s="4">
        <f t="shared" si="1552"/>
        <v>0.15432550314960633</v>
      </c>
      <c r="K1396" s="4">
        <f t="shared" si="1553"/>
        <v>0.39818070000000005</v>
      </c>
      <c r="L1396" s="13">
        <f t="shared" si="1554"/>
        <v>1.5801354401805867</v>
      </c>
      <c r="M1396" s="3"/>
      <c r="N1396" s="3"/>
    </row>
    <row r="1397" spans="1:14" x14ac:dyDescent="0.2">
      <c r="A1397" s="4">
        <v>489284</v>
      </c>
      <c r="B1397" s="4">
        <v>100</v>
      </c>
      <c r="C1397" s="4">
        <v>7</v>
      </c>
      <c r="D1397" s="23">
        <v>4.25</v>
      </c>
      <c r="E1397" s="23">
        <v>2.4500000000000002</v>
      </c>
      <c r="F1397" s="23">
        <f t="shared" si="1548"/>
        <v>4.25</v>
      </c>
      <c r="G1397" s="23">
        <f t="shared" si="1549"/>
        <v>2.4500000000000002</v>
      </c>
      <c r="H1397" s="4">
        <f t="shared" si="1550"/>
        <v>9.7450000000000002E-3</v>
      </c>
      <c r="I1397" s="2">
        <f t="shared" si="1551"/>
        <v>0.3135281102362204</v>
      </c>
      <c r="J1397" s="4">
        <f t="shared" si="1552"/>
        <v>0.22844006476377962</v>
      </c>
      <c r="K1397" s="4">
        <f t="shared" si="1553"/>
        <v>0.54196817500000005</v>
      </c>
      <c r="L1397" s="13">
        <f t="shared" si="1554"/>
        <v>1.3724742661075096</v>
      </c>
      <c r="M1397" s="3">
        <f t="shared" ref="M1397" si="1563">AVERAGE(I1397:I1398)</f>
        <v>0.30917355314960626</v>
      </c>
      <c r="N1397" s="3">
        <f t="shared" ref="N1397" si="1564">AVERAGE(J1397:J1398)</f>
        <v>0.22173404685039377</v>
      </c>
    </row>
    <row r="1398" spans="1:14" x14ac:dyDescent="0.2">
      <c r="A1398" s="4"/>
      <c r="B1398" s="4">
        <v>100</v>
      </c>
      <c r="C1398" s="4">
        <v>7</v>
      </c>
      <c r="D1398" s="23">
        <v>4.0999999999999996</v>
      </c>
      <c r="E1398" s="23">
        <v>2.35</v>
      </c>
      <c r="F1398" s="23">
        <f t="shared" si="1548"/>
        <v>4.0999999999999996</v>
      </c>
      <c r="G1398" s="23">
        <f t="shared" si="1549"/>
        <v>2.35</v>
      </c>
      <c r="H1398" s="4">
        <f t="shared" si="1550"/>
        <v>9.7450000000000002E-3</v>
      </c>
      <c r="I1398" s="2">
        <f t="shared" si="1551"/>
        <v>0.30481899606299206</v>
      </c>
      <c r="J1398" s="4">
        <f t="shared" si="1552"/>
        <v>0.21502802893700795</v>
      </c>
      <c r="K1398" s="4">
        <f t="shared" si="1553"/>
        <v>0.51984702500000002</v>
      </c>
      <c r="L1398" s="13">
        <f t="shared" si="1554"/>
        <v>1.4175779667881725</v>
      </c>
      <c r="M1398" s="3"/>
      <c r="N1398" s="3"/>
    </row>
    <row r="1399" spans="1:14" x14ac:dyDescent="0.2">
      <c r="A1399" s="4">
        <v>489285</v>
      </c>
      <c r="B1399" s="4">
        <v>100</v>
      </c>
      <c r="C1399" s="4">
        <v>7</v>
      </c>
      <c r="D1399" s="23">
        <v>6.45</v>
      </c>
      <c r="E1399" s="23">
        <v>3.7</v>
      </c>
      <c r="F1399" s="23">
        <f t="shared" si="1548"/>
        <v>6.45</v>
      </c>
      <c r="G1399" s="23">
        <f t="shared" si="1549"/>
        <v>3.7</v>
      </c>
      <c r="H1399" s="4">
        <f t="shared" si="1550"/>
        <v>9.7450000000000002E-3</v>
      </c>
      <c r="I1399" s="2">
        <f t="shared" si="1551"/>
        <v>0.47900127952755911</v>
      </c>
      <c r="J1399" s="4">
        <f t="shared" si="1552"/>
        <v>0.33948127047244109</v>
      </c>
      <c r="K1399" s="4">
        <f t="shared" si="1553"/>
        <v>0.81848255000000014</v>
      </c>
      <c r="L1399" s="13">
        <f t="shared" si="1554"/>
        <v>1.4109799897383268</v>
      </c>
      <c r="M1399" s="3">
        <f t="shared" ref="M1399" si="1565">AVERAGE(I1399:I1400)</f>
        <v>0.47464672244094491</v>
      </c>
      <c r="N1399" s="3">
        <f t="shared" ref="N1399" si="1566">AVERAGE(J1399:J1400)</f>
        <v>0.36042669005905514</v>
      </c>
    </row>
    <row r="1400" spans="1:14" x14ac:dyDescent="0.2">
      <c r="A1400" s="4"/>
      <c r="B1400" s="4">
        <v>100</v>
      </c>
      <c r="C1400" s="4">
        <v>7</v>
      </c>
      <c r="D1400" s="23">
        <v>6.55</v>
      </c>
      <c r="E1400" s="23">
        <v>3.85</v>
      </c>
      <c r="F1400" s="23">
        <f t="shared" si="1548"/>
        <v>6.55</v>
      </c>
      <c r="G1400" s="23">
        <f t="shared" si="1549"/>
        <v>3.85</v>
      </c>
      <c r="H1400" s="4">
        <f t="shared" si="1550"/>
        <v>9.7450000000000002E-3</v>
      </c>
      <c r="I1400" s="2">
        <f t="shared" si="1551"/>
        <v>0.47029216535433072</v>
      </c>
      <c r="J1400" s="4">
        <f t="shared" si="1552"/>
        <v>0.38137210964566925</v>
      </c>
      <c r="K1400" s="4">
        <f t="shared" si="1553"/>
        <v>0.85166427499999997</v>
      </c>
      <c r="L1400" s="13">
        <f t="shared" si="1554"/>
        <v>1.2331582553094316</v>
      </c>
      <c r="M1400" s="3"/>
      <c r="N1400" s="3"/>
    </row>
    <row r="1401" spans="1:14" x14ac:dyDescent="0.2">
      <c r="A1401" s="4">
        <v>489286</v>
      </c>
      <c r="B1401" s="4">
        <v>100</v>
      </c>
      <c r="C1401" s="4">
        <v>6</v>
      </c>
      <c r="D1401" s="23">
        <v>3.2</v>
      </c>
      <c r="E1401" s="23">
        <v>1.7</v>
      </c>
      <c r="F1401" s="23">
        <f t="shared" si="1548"/>
        <v>3.2</v>
      </c>
      <c r="G1401" s="23">
        <f t="shared" si="1549"/>
        <v>1.7</v>
      </c>
      <c r="H1401" s="4">
        <f t="shared" si="1550"/>
        <v>3.5767E-2</v>
      </c>
      <c r="I1401" s="2">
        <f t="shared" si="1551"/>
        <v>0.95894988188976393</v>
      </c>
      <c r="J1401" s="4">
        <f t="shared" si="1552"/>
        <v>0.42129864811023621</v>
      </c>
      <c r="K1401" s="4">
        <f t="shared" si="1553"/>
        <v>1.3802485300000003</v>
      </c>
      <c r="L1401" s="13">
        <f t="shared" si="1554"/>
        <v>2.2761760242792115</v>
      </c>
      <c r="M1401" s="3">
        <f t="shared" ref="M1401" si="1567">AVERAGE(I1401:I1402)</f>
        <v>0.97493237992125992</v>
      </c>
      <c r="N1401" s="3">
        <f t="shared" ref="N1401" si="1568">AVERAGE(J1401:J1402)</f>
        <v>0.42561392257874009</v>
      </c>
    </row>
    <row r="1402" spans="1:14" x14ac:dyDescent="0.2">
      <c r="A1402" s="4"/>
      <c r="B1402" s="4">
        <v>100</v>
      </c>
      <c r="C1402" s="4">
        <v>6</v>
      </c>
      <c r="D1402" s="23">
        <v>3.3</v>
      </c>
      <c r="E1402" s="23">
        <v>1.75</v>
      </c>
      <c r="F1402" s="23">
        <f t="shared" si="1548"/>
        <v>3.3</v>
      </c>
      <c r="G1402" s="23">
        <f t="shared" si="1549"/>
        <v>1.75</v>
      </c>
      <c r="H1402" s="4">
        <f t="shared" si="1550"/>
        <v>3.5767E-2</v>
      </c>
      <c r="I1402" s="2">
        <f t="shared" si="1551"/>
        <v>0.99091487795275579</v>
      </c>
      <c r="J1402" s="4">
        <f t="shared" si="1552"/>
        <v>0.42992919704724403</v>
      </c>
      <c r="K1402" s="4">
        <f t="shared" si="1553"/>
        <v>1.4208440749999998</v>
      </c>
      <c r="L1402" s="13">
        <f t="shared" si="1554"/>
        <v>2.3048327137546467</v>
      </c>
      <c r="M1402" s="3"/>
      <c r="N1402" s="3"/>
    </row>
    <row r="1403" spans="1:14" x14ac:dyDescent="0.2">
      <c r="A1403" s="4">
        <v>489288</v>
      </c>
      <c r="B1403" s="4">
        <v>100</v>
      </c>
      <c r="C1403" s="4">
        <v>7</v>
      </c>
      <c r="D1403" s="23">
        <v>3.95</v>
      </c>
      <c r="E1403" s="23">
        <v>1.95</v>
      </c>
      <c r="F1403" s="23">
        <f t="shared" si="1548"/>
        <v>3.95</v>
      </c>
      <c r="G1403" s="23">
        <f t="shared" si="1549"/>
        <v>1.95</v>
      </c>
      <c r="H1403" s="4">
        <f t="shared" si="1550"/>
        <v>9.7450000000000002E-3</v>
      </c>
      <c r="I1403" s="2">
        <f t="shared" si="1551"/>
        <v>0.34836456692913387</v>
      </c>
      <c r="J1403" s="4">
        <f t="shared" si="1552"/>
        <v>8.2997858070866112E-2</v>
      </c>
      <c r="K1403" s="4">
        <f t="shared" si="1553"/>
        <v>0.43136242499999999</v>
      </c>
      <c r="L1403" s="13">
        <f t="shared" si="1554"/>
        <v>4.1972717733473255</v>
      </c>
      <c r="M1403" s="3">
        <f t="shared" ref="M1403" si="1569">AVERAGE(I1403:I1404)</f>
        <v>0.33965545275590553</v>
      </c>
      <c r="N1403" s="3">
        <f t="shared" ref="N1403" si="1570">AVERAGE(J1403:J1404)</f>
        <v>8.6176684744094512E-2</v>
      </c>
    </row>
    <row r="1404" spans="1:14" x14ac:dyDescent="0.2">
      <c r="A1404" s="4"/>
      <c r="B1404" s="4">
        <v>100</v>
      </c>
      <c r="C1404" s="4">
        <v>7</v>
      </c>
      <c r="D1404" s="23">
        <v>3.8</v>
      </c>
      <c r="E1404" s="23">
        <v>1.9</v>
      </c>
      <c r="F1404" s="23">
        <f t="shared" si="1548"/>
        <v>3.8</v>
      </c>
      <c r="G1404" s="23">
        <f t="shared" si="1549"/>
        <v>1.9</v>
      </c>
      <c r="H1404" s="4">
        <f t="shared" si="1550"/>
        <v>9.7450000000000002E-3</v>
      </c>
      <c r="I1404" s="2">
        <f t="shared" si="1551"/>
        <v>0.33094633858267719</v>
      </c>
      <c r="J1404" s="4">
        <f t="shared" si="1552"/>
        <v>8.9355511417322897E-2</v>
      </c>
      <c r="K1404" s="4">
        <f t="shared" si="1553"/>
        <v>0.42030185000000009</v>
      </c>
      <c r="L1404" s="13">
        <f t="shared" si="1554"/>
        <v>3.7037037037037015</v>
      </c>
      <c r="M1404" s="3"/>
      <c r="N1404" s="3"/>
    </row>
    <row r="1405" spans="1:14" x14ac:dyDescent="0.2">
      <c r="A1405" s="4">
        <v>489292</v>
      </c>
      <c r="B1405" s="4">
        <v>100</v>
      </c>
      <c r="C1405" s="4">
        <v>8</v>
      </c>
      <c r="D1405" s="23">
        <v>2.35</v>
      </c>
      <c r="E1405" s="23">
        <v>1.55</v>
      </c>
      <c r="F1405" s="23">
        <f t="shared" ref="F1405:F1468" si="1571">IF($C1405=5,D1405-$D$5,IF($C1405=6,D1405-$D$6,IF($C1405=7,D1405-$D$7,IF($C1405=8,D1405-$D$8,D1405))))</f>
        <v>2.35</v>
      </c>
      <c r="G1405" s="23">
        <f t="shared" ref="G1405:G1468" si="1572">IF($C1405=5,E1405-$D$5,IF($C1405=6,E1405-$D$6,IF($C1405=7,E1405-$D$7,IF($C1405=8,E1405-$D$8,E1405))))</f>
        <v>1.55</v>
      </c>
      <c r="H1405" s="4">
        <f t="shared" ref="H1405:H1468" si="1573">IF(C1405=1,32.7101,IF(C1405=2,8.14893,IF(C1405=3,1.42818,IF(C1405=4,0.44041,IF(C1405=5,0.123026,IF(C1405=6,0.035767,IF(C1405=7,0.009745,0.003863)))))))</f>
        <v>3.8630000000000001E-3</v>
      </c>
      <c r="I1405" s="2">
        <f t="shared" ref="I1405:I1468" si="1574">H1405*$A$3*(F1405-G1405)*1000/B1405</f>
        <v>5.5237858267716537E-2</v>
      </c>
      <c r="J1405" s="4">
        <f t="shared" ref="J1405:J1468" si="1575">2.27*($A$3*G1405-($A$3-1)*F1405)*H1405*1000/B1405</f>
        <v>8.068179673228347E-2</v>
      </c>
      <c r="K1405" s="4">
        <f t="shared" ref="K1405:K1468" si="1576">(I1405+J1405)</f>
        <v>0.135919655</v>
      </c>
      <c r="L1405" s="13">
        <f t="shared" ref="L1405:L1468" si="1577">(I1405/J1405)</f>
        <v>0.68463842533162167</v>
      </c>
      <c r="M1405" s="3">
        <f t="shared" ref="M1405" si="1578">AVERAGE(I1405:I1406)</f>
        <v>5.178549212598426E-2</v>
      </c>
      <c r="N1405" s="3">
        <f t="shared" ref="N1405" si="1579">AVERAGE(J1405:J1406)</f>
        <v>8.1941910374015742E-2</v>
      </c>
    </row>
    <row r="1406" spans="1:14" x14ac:dyDescent="0.2">
      <c r="A1406" s="4"/>
      <c r="B1406" s="4">
        <v>100</v>
      </c>
      <c r="C1406" s="4">
        <v>8</v>
      </c>
      <c r="D1406" s="23">
        <v>2.2000000000000002</v>
      </c>
      <c r="E1406" s="23">
        <v>1.5</v>
      </c>
      <c r="F1406" s="23">
        <f t="shared" si="1571"/>
        <v>2.2000000000000002</v>
      </c>
      <c r="G1406" s="23">
        <f t="shared" si="1572"/>
        <v>1.5</v>
      </c>
      <c r="H1406" s="4">
        <f t="shared" si="1573"/>
        <v>3.8630000000000001E-3</v>
      </c>
      <c r="I1406" s="2">
        <f t="shared" si="1574"/>
        <v>4.8333125984251983E-2</v>
      </c>
      <c r="J1406" s="4">
        <f t="shared" si="1575"/>
        <v>8.3202024015748E-2</v>
      </c>
      <c r="K1406" s="4">
        <f t="shared" si="1576"/>
        <v>0.13153514999999999</v>
      </c>
      <c r="L1406" s="13">
        <f t="shared" si="1577"/>
        <v>0.5809128630705398</v>
      </c>
      <c r="M1406" s="3"/>
      <c r="N1406" s="3"/>
    </row>
    <row r="1407" spans="1:14" x14ac:dyDescent="0.2">
      <c r="A1407" s="4">
        <v>489293</v>
      </c>
      <c r="B1407" s="4">
        <v>100</v>
      </c>
      <c r="C1407" s="4">
        <v>8</v>
      </c>
      <c r="D1407" s="23">
        <v>2.0499999999999998</v>
      </c>
      <c r="E1407" s="23">
        <v>1.35</v>
      </c>
      <c r="F1407" s="23">
        <f t="shared" si="1571"/>
        <v>2.0499999999999998</v>
      </c>
      <c r="G1407" s="23">
        <f t="shared" si="1572"/>
        <v>1.35</v>
      </c>
      <c r="H1407" s="4">
        <f t="shared" si="1573"/>
        <v>3.8630000000000001E-3</v>
      </c>
      <c r="I1407" s="2">
        <f t="shared" si="1574"/>
        <v>4.8333125984251948E-2</v>
      </c>
      <c r="J1407" s="4">
        <f t="shared" si="1575"/>
        <v>7.0048509015748051E-2</v>
      </c>
      <c r="K1407" s="4">
        <f t="shared" si="1576"/>
        <v>0.118381635</v>
      </c>
      <c r="L1407" s="13">
        <f t="shared" si="1577"/>
        <v>0.68999507146377481</v>
      </c>
      <c r="M1407" s="3">
        <f t="shared" ref="M1407" si="1580">AVERAGE(I1407:I1408)</f>
        <v>4.8333125984251948E-2</v>
      </c>
      <c r="N1407" s="3">
        <f t="shared" ref="N1407" si="1581">AVERAGE(J1407:J1408)</f>
        <v>8.1009771515748064E-2</v>
      </c>
    </row>
    <row r="1408" spans="1:14" x14ac:dyDescent="0.2">
      <c r="A1408" s="4"/>
      <c r="B1408" s="4">
        <v>100</v>
      </c>
      <c r="C1408" s="4">
        <v>8</v>
      </c>
      <c r="D1408" s="23">
        <v>2.2999999999999998</v>
      </c>
      <c r="E1408" s="23">
        <v>1.6</v>
      </c>
      <c r="F1408" s="23">
        <f t="shared" si="1571"/>
        <v>2.2999999999999998</v>
      </c>
      <c r="G1408" s="23">
        <f t="shared" si="1572"/>
        <v>1.6</v>
      </c>
      <c r="H1408" s="4">
        <f t="shared" si="1573"/>
        <v>3.8630000000000001E-3</v>
      </c>
      <c r="I1408" s="2">
        <f t="shared" si="1574"/>
        <v>4.8333125984251948E-2</v>
      </c>
      <c r="J1408" s="4">
        <f t="shared" si="1575"/>
        <v>9.1971034015748063E-2</v>
      </c>
      <c r="K1408" s="4">
        <f t="shared" si="1576"/>
        <v>0.14030416000000001</v>
      </c>
      <c r="L1408" s="13">
        <f t="shared" si="1577"/>
        <v>0.52552552552552512</v>
      </c>
      <c r="M1408" s="3"/>
      <c r="N1408" s="3"/>
    </row>
    <row r="1409" spans="1:14" x14ac:dyDescent="0.2">
      <c r="A1409" s="4">
        <v>489294</v>
      </c>
      <c r="B1409" s="4">
        <v>100</v>
      </c>
      <c r="C1409" s="4">
        <v>8</v>
      </c>
      <c r="D1409" s="23">
        <v>3.75</v>
      </c>
      <c r="E1409" s="23">
        <v>2.4500000000000002</v>
      </c>
      <c r="F1409" s="23">
        <f t="shared" si="1571"/>
        <v>3.75</v>
      </c>
      <c r="G1409" s="23">
        <f t="shared" si="1572"/>
        <v>2.4500000000000002</v>
      </c>
      <c r="H1409" s="4">
        <f t="shared" si="1573"/>
        <v>3.8630000000000001E-3</v>
      </c>
      <c r="I1409" s="2">
        <f t="shared" si="1574"/>
        <v>8.976151968503937E-2</v>
      </c>
      <c r="J1409" s="4">
        <f t="shared" si="1575"/>
        <v>0.12507922531496071</v>
      </c>
      <c r="K1409" s="4">
        <f t="shared" si="1576"/>
        <v>0.21484074500000008</v>
      </c>
      <c r="L1409" s="13">
        <f t="shared" si="1577"/>
        <v>0.71763731714049084</v>
      </c>
      <c r="M1409" s="3">
        <f t="shared" ref="M1409" si="1582">AVERAGE(I1409:I1410)</f>
        <v>9.4940068897637786E-2</v>
      </c>
      <c r="N1409" s="3">
        <f t="shared" ref="N1409" si="1583">AVERAGE(J1409:J1410)</f>
        <v>0.11990067610236227</v>
      </c>
    </row>
    <row r="1410" spans="1:14" x14ac:dyDescent="0.2">
      <c r="A1410" s="4"/>
      <c r="B1410" s="4">
        <v>100</v>
      </c>
      <c r="C1410" s="4">
        <v>8</v>
      </c>
      <c r="D1410" s="23">
        <v>3.9</v>
      </c>
      <c r="E1410" s="23">
        <v>2.4500000000000002</v>
      </c>
      <c r="F1410" s="23">
        <f t="shared" si="1571"/>
        <v>3.9</v>
      </c>
      <c r="G1410" s="23">
        <f t="shared" si="1572"/>
        <v>2.4500000000000002</v>
      </c>
      <c r="H1410" s="4">
        <f t="shared" si="1573"/>
        <v>3.8630000000000001E-3</v>
      </c>
      <c r="I1410" s="2">
        <f t="shared" si="1574"/>
        <v>0.1001186181102362</v>
      </c>
      <c r="J1410" s="4">
        <f t="shared" si="1575"/>
        <v>0.11472212688976383</v>
      </c>
      <c r="K1410" s="4">
        <f t="shared" si="1576"/>
        <v>0.21484074500000003</v>
      </c>
      <c r="L1410" s="13">
        <f t="shared" si="1577"/>
        <v>0.87270538669876563</v>
      </c>
      <c r="M1410" s="3"/>
      <c r="N1410" s="3"/>
    </row>
    <row r="1411" spans="1:14" x14ac:dyDescent="0.2">
      <c r="A1411" s="4">
        <v>489295</v>
      </c>
      <c r="B1411" s="4">
        <v>100</v>
      </c>
      <c r="C1411" s="4">
        <v>8</v>
      </c>
      <c r="D1411" s="23">
        <v>7.3</v>
      </c>
      <c r="E1411" s="23">
        <v>4.05</v>
      </c>
      <c r="F1411" s="23">
        <f t="shared" si="1571"/>
        <v>7.3</v>
      </c>
      <c r="G1411" s="23">
        <f t="shared" si="1572"/>
        <v>4.05</v>
      </c>
      <c r="H1411" s="4">
        <f t="shared" si="1573"/>
        <v>3.8630000000000001E-3</v>
      </c>
      <c r="I1411" s="2">
        <f t="shared" si="1574"/>
        <v>0.22440379921259843</v>
      </c>
      <c r="J1411" s="4">
        <f t="shared" si="1575"/>
        <v>0.13074110578740158</v>
      </c>
      <c r="K1411" s="4">
        <f t="shared" si="1576"/>
        <v>0.35514490500000001</v>
      </c>
      <c r="L1411" s="13">
        <f t="shared" si="1577"/>
        <v>1.7163982043834167</v>
      </c>
      <c r="M1411" s="3">
        <f t="shared" ref="M1411" si="1584">AVERAGE(I1411:I1412)</f>
        <v>0.22612998228346456</v>
      </c>
      <c r="N1411" s="3">
        <f t="shared" ref="N1411" si="1585">AVERAGE(J1411:J1412)</f>
        <v>0.14436069021653547</v>
      </c>
    </row>
    <row r="1412" spans="1:14" x14ac:dyDescent="0.2">
      <c r="A1412" s="4"/>
      <c r="B1412" s="4">
        <v>100</v>
      </c>
      <c r="C1412" s="4">
        <v>8</v>
      </c>
      <c r="D1412" s="23">
        <v>7.7</v>
      </c>
      <c r="E1412" s="23">
        <v>4.4000000000000004</v>
      </c>
      <c r="F1412" s="23">
        <f t="shared" si="1571"/>
        <v>7.7</v>
      </c>
      <c r="G1412" s="23">
        <f t="shared" si="1572"/>
        <v>4.4000000000000004</v>
      </c>
      <c r="H1412" s="4">
        <f t="shared" si="1573"/>
        <v>3.8630000000000001E-3</v>
      </c>
      <c r="I1412" s="2">
        <f t="shared" si="1574"/>
        <v>0.2278561653543307</v>
      </c>
      <c r="J1412" s="4">
        <f t="shared" si="1575"/>
        <v>0.15798027464566936</v>
      </c>
      <c r="K1412" s="4">
        <f t="shared" si="1576"/>
        <v>0.38583644000000006</v>
      </c>
      <c r="L1412" s="13">
        <f t="shared" si="1577"/>
        <v>1.4423076923076916</v>
      </c>
      <c r="M1412" s="3"/>
      <c r="N1412" s="3"/>
    </row>
    <row r="1413" spans="1:14" x14ac:dyDescent="0.2">
      <c r="A1413" s="4">
        <v>489296</v>
      </c>
      <c r="B1413" s="4">
        <v>100</v>
      </c>
      <c r="C1413" s="4">
        <v>7</v>
      </c>
      <c r="D1413" s="23">
        <v>6.75</v>
      </c>
      <c r="E1413" s="23">
        <v>3.8</v>
      </c>
      <c r="F1413" s="23">
        <f t="shared" si="1571"/>
        <v>6.75</v>
      </c>
      <c r="G1413" s="23">
        <f t="shared" si="1572"/>
        <v>3.8</v>
      </c>
      <c r="H1413" s="4">
        <f t="shared" si="1573"/>
        <v>9.7450000000000002E-3</v>
      </c>
      <c r="I1413" s="2">
        <f t="shared" si="1574"/>
        <v>0.51383773622047246</v>
      </c>
      <c r="J1413" s="4">
        <f t="shared" si="1575"/>
        <v>0.3267659637795276</v>
      </c>
      <c r="K1413" s="4">
        <f t="shared" si="1576"/>
        <v>0.84060370000000006</v>
      </c>
      <c r="L1413" s="13">
        <f t="shared" si="1577"/>
        <v>1.5724946695095947</v>
      </c>
      <c r="M1413" s="3">
        <f t="shared" ref="M1413" si="1586">AVERAGE(I1413:I1414)</f>
        <v>0.51383773622047246</v>
      </c>
      <c r="N1413" s="3">
        <f t="shared" ref="N1413" si="1587">AVERAGE(J1413:J1414)</f>
        <v>0.3267659637795276</v>
      </c>
    </row>
    <row r="1414" spans="1:14" x14ac:dyDescent="0.2">
      <c r="A1414" s="4"/>
      <c r="B1414" s="4">
        <v>100</v>
      </c>
      <c r="C1414" s="4">
        <v>7</v>
      </c>
      <c r="D1414" s="23">
        <v>6.75</v>
      </c>
      <c r="E1414" s="23">
        <v>3.8</v>
      </c>
      <c r="F1414" s="23">
        <f t="shared" si="1571"/>
        <v>6.75</v>
      </c>
      <c r="G1414" s="23">
        <f t="shared" si="1572"/>
        <v>3.8</v>
      </c>
      <c r="H1414" s="4">
        <f t="shared" si="1573"/>
        <v>9.7450000000000002E-3</v>
      </c>
      <c r="I1414" s="2">
        <f t="shared" si="1574"/>
        <v>0.51383773622047246</v>
      </c>
      <c r="J1414" s="4">
        <f t="shared" si="1575"/>
        <v>0.3267659637795276</v>
      </c>
      <c r="K1414" s="4">
        <f t="shared" si="1576"/>
        <v>0.84060370000000006</v>
      </c>
      <c r="L1414" s="13">
        <f t="shared" si="1577"/>
        <v>1.5724946695095947</v>
      </c>
      <c r="M1414" s="3"/>
      <c r="N1414" s="3"/>
    </row>
    <row r="1415" spans="1:14" x14ac:dyDescent="0.2">
      <c r="A1415" s="4">
        <v>489297</v>
      </c>
      <c r="B1415" s="4">
        <v>100</v>
      </c>
      <c r="C1415" s="4">
        <v>7</v>
      </c>
      <c r="D1415" s="23">
        <v>7.75</v>
      </c>
      <c r="E1415" s="23">
        <v>4.2</v>
      </c>
      <c r="F1415" s="23">
        <f t="shared" si="1571"/>
        <v>7.75</v>
      </c>
      <c r="G1415" s="23">
        <f t="shared" si="1572"/>
        <v>4.2</v>
      </c>
      <c r="H1415" s="4">
        <f t="shared" si="1573"/>
        <v>9.7450000000000002E-3</v>
      </c>
      <c r="I1415" s="2">
        <f t="shared" si="1574"/>
        <v>0.61834710629921263</v>
      </c>
      <c r="J1415" s="4">
        <f t="shared" si="1575"/>
        <v>0.31074119370078734</v>
      </c>
      <c r="K1415" s="4">
        <f t="shared" si="1576"/>
        <v>0.92908829999999998</v>
      </c>
      <c r="L1415" s="13">
        <f t="shared" si="1577"/>
        <v>1.9899103139013459</v>
      </c>
      <c r="M1415" s="3">
        <f t="shared" ref="M1415" si="1588">AVERAGE(I1415:I1416)</f>
        <v>0.61834710629921263</v>
      </c>
      <c r="N1415" s="3">
        <f t="shared" ref="N1415" si="1589">AVERAGE(J1415:J1416)</f>
        <v>0.31074119370078734</v>
      </c>
    </row>
    <row r="1416" spans="1:14" x14ac:dyDescent="0.2">
      <c r="A1416" s="4"/>
      <c r="B1416" s="4">
        <v>100</v>
      </c>
      <c r="C1416" s="4">
        <v>7</v>
      </c>
      <c r="D1416" s="23">
        <v>7.75</v>
      </c>
      <c r="E1416" s="23">
        <v>4.2</v>
      </c>
      <c r="F1416" s="23">
        <f t="shared" si="1571"/>
        <v>7.75</v>
      </c>
      <c r="G1416" s="23">
        <f t="shared" si="1572"/>
        <v>4.2</v>
      </c>
      <c r="H1416" s="4">
        <f t="shared" si="1573"/>
        <v>9.7450000000000002E-3</v>
      </c>
      <c r="I1416" s="2">
        <f t="shared" si="1574"/>
        <v>0.61834710629921263</v>
      </c>
      <c r="J1416" s="4">
        <f t="shared" si="1575"/>
        <v>0.31074119370078734</v>
      </c>
      <c r="K1416" s="4">
        <f t="shared" si="1576"/>
        <v>0.92908829999999998</v>
      </c>
      <c r="L1416" s="13">
        <f t="shared" si="1577"/>
        <v>1.9899103139013459</v>
      </c>
      <c r="M1416" s="3"/>
      <c r="N1416" s="3"/>
    </row>
    <row r="1417" spans="1:14" x14ac:dyDescent="0.2">
      <c r="A1417" s="4">
        <v>489298</v>
      </c>
      <c r="B1417" s="4">
        <v>100</v>
      </c>
      <c r="C1417" s="4">
        <v>7</v>
      </c>
      <c r="D1417" s="23">
        <v>4.25</v>
      </c>
      <c r="E1417" s="23">
        <v>2.25</v>
      </c>
      <c r="F1417" s="23">
        <f t="shared" si="1571"/>
        <v>4.25</v>
      </c>
      <c r="G1417" s="23">
        <f t="shared" si="1572"/>
        <v>2.25</v>
      </c>
      <c r="H1417" s="4">
        <f t="shared" si="1573"/>
        <v>9.7450000000000002E-3</v>
      </c>
      <c r="I1417" s="2">
        <f t="shared" si="1574"/>
        <v>0.34836456692913387</v>
      </c>
      <c r="J1417" s="4">
        <f t="shared" si="1575"/>
        <v>0.14936130807086609</v>
      </c>
      <c r="K1417" s="4">
        <f t="shared" si="1576"/>
        <v>0.49772587499999998</v>
      </c>
      <c r="L1417" s="13">
        <f t="shared" si="1577"/>
        <v>2.3323615160349864</v>
      </c>
      <c r="M1417" s="3">
        <f t="shared" ref="M1417" si="1590">AVERAGE(I1417:I1418)</f>
        <v>0.33530089566929133</v>
      </c>
      <c r="N1417" s="3">
        <f t="shared" ref="N1417" si="1591">AVERAGE(J1417:J1418)</f>
        <v>0.1568946918307087</v>
      </c>
    </row>
    <row r="1418" spans="1:14" x14ac:dyDescent="0.2">
      <c r="A1418" s="4"/>
      <c r="B1418" s="4">
        <v>100</v>
      </c>
      <c r="C1418" s="4">
        <v>7</v>
      </c>
      <c r="D1418" s="23">
        <v>4.05</v>
      </c>
      <c r="E1418" s="23">
        <v>2.2000000000000002</v>
      </c>
      <c r="F1418" s="23">
        <f t="shared" si="1571"/>
        <v>4.05</v>
      </c>
      <c r="G1418" s="23">
        <f t="shared" si="1572"/>
        <v>2.2000000000000002</v>
      </c>
      <c r="H1418" s="4">
        <f t="shared" si="1573"/>
        <v>9.7450000000000002E-3</v>
      </c>
      <c r="I1418" s="2">
        <f t="shared" si="1574"/>
        <v>0.32223722440944885</v>
      </c>
      <c r="J1418" s="4">
        <f t="shared" si="1575"/>
        <v>0.16442807559055128</v>
      </c>
      <c r="K1418" s="4">
        <f t="shared" si="1576"/>
        <v>0.48666530000000013</v>
      </c>
      <c r="L1418" s="13">
        <f t="shared" si="1577"/>
        <v>1.9597457627118635</v>
      </c>
      <c r="M1418" s="3"/>
      <c r="N1418" s="3"/>
    </row>
    <row r="1419" spans="1:14" x14ac:dyDescent="0.2">
      <c r="A1419" s="4">
        <v>489299</v>
      </c>
      <c r="B1419" s="4">
        <v>100</v>
      </c>
      <c r="C1419" s="4">
        <v>7</v>
      </c>
      <c r="D1419" s="23">
        <v>3.55</v>
      </c>
      <c r="E1419" s="23">
        <v>1.9</v>
      </c>
      <c r="F1419" s="23">
        <f t="shared" si="1571"/>
        <v>3.55</v>
      </c>
      <c r="G1419" s="23">
        <f t="shared" si="1572"/>
        <v>1.9</v>
      </c>
      <c r="H1419" s="4">
        <f t="shared" si="1573"/>
        <v>9.7450000000000002E-3</v>
      </c>
      <c r="I1419" s="2">
        <f t="shared" si="1574"/>
        <v>0.28740076771653539</v>
      </c>
      <c r="J1419" s="4">
        <f t="shared" si="1575"/>
        <v>0.13290108228346467</v>
      </c>
      <c r="K1419" s="4">
        <f t="shared" si="1576"/>
        <v>0.42030185000000009</v>
      </c>
      <c r="L1419" s="13">
        <f t="shared" si="1577"/>
        <v>2.162516382699867</v>
      </c>
      <c r="M1419" s="3">
        <f t="shared" ref="M1419" si="1592">AVERAGE(I1419:I1420)</f>
        <v>0.29175532480314958</v>
      </c>
      <c r="N1419" s="3">
        <f t="shared" ref="N1419" si="1593">AVERAGE(J1419:J1420)</f>
        <v>0.12301623769685052</v>
      </c>
    </row>
    <row r="1420" spans="1:14" x14ac:dyDescent="0.2">
      <c r="A1420" s="4"/>
      <c r="B1420" s="4">
        <v>100</v>
      </c>
      <c r="C1420" s="4">
        <v>7</v>
      </c>
      <c r="D1420" s="23">
        <v>3.55</v>
      </c>
      <c r="E1420" s="23">
        <v>1.85</v>
      </c>
      <c r="F1420" s="23">
        <f t="shared" si="1571"/>
        <v>3.55</v>
      </c>
      <c r="G1420" s="23">
        <f t="shared" si="1572"/>
        <v>1.85</v>
      </c>
      <c r="H1420" s="4">
        <f t="shared" si="1573"/>
        <v>9.7450000000000002E-3</v>
      </c>
      <c r="I1420" s="2">
        <f t="shared" si="1574"/>
        <v>0.29610988188976373</v>
      </c>
      <c r="J1420" s="4">
        <f t="shared" si="1575"/>
        <v>0.11313139311023637</v>
      </c>
      <c r="K1420" s="4">
        <f t="shared" si="1576"/>
        <v>0.40924127500000007</v>
      </c>
      <c r="L1420" s="13">
        <f t="shared" si="1577"/>
        <v>2.6173979984603499</v>
      </c>
      <c r="M1420" s="3"/>
      <c r="N1420" s="3"/>
    </row>
    <row r="1421" spans="1:14" x14ac:dyDescent="0.2">
      <c r="A1421" s="4">
        <v>489300</v>
      </c>
      <c r="B1421" s="4">
        <v>100</v>
      </c>
      <c r="C1421" s="4">
        <v>7</v>
      </c>
      <c r="D1421" s="23">
        <v>2.8</v>
      </c>
      <c r="E1421" s="23">
        <v>1.4</v>
      </c>
      <c r="F1421" s="23">
        <f t="shared" si="1571"/>
        <v>2.8</v>
      </c>
      <c r="G1421" s="23">
        <f t="shared" si="1572"/>
        <v>1.4</v>
      </c>
      <c r="H1421" s="4">
        <f t="shared" si="1573"/>
        <v>9.7450000000000002E-3</v>
      </c>
      <c r="I1421" s="2">
        <f t="shared" si="1574"/>
        <v>0.2438551968503937</v>
      </c>
      <c r="J1421" s="4">
        <f t="shared" si="1575"/>
        <v>6.584090314960632E-2</v>
      </c>
      <c r="K1421" s="4">
        <f t="shared" si="1576"/>
        <v>0.30969610000000003</v>
      </c>
      <c r="L1421" s="13">
        <f t="shared" si="1577"/>
        <v>3.7037037037037024</v>
      </c>
      <c r="M1421" s="3">
        <f t="shared" ref="M1421" si="1594">AVERAGE(I1421:I1422)</f>
        <v>0.2438551968503937</v>
      </c>
      <c r="N1421" s="3">
        <f t="shared" ref="N1421" si="1595">AVERAGE(J1421:J1422)</f>
        <v>5.478032814960631E-2</v>
      </c>
    </row>
    <row r="1422" spans="1:14" x14ac:dyDescent="0.2">
      <c r="A1422" s="4"/>
      <c r="B1422" s="4">
        <v>100</v>
      </c>
      <c r="C1422" s="4">
        <v>7</v>
      </c>
      <c r="D1422" s="23">
        <v>2.7</v>
      </c>
      <c r="E1422" s="23">
        <v>1.3</v>
      </c>
      <c r="F1422" s="23">
        <f t="shared" si="1571"/>
        <v>2.7</v>
      </c>
      <c r="G1422" s="23">
        <f t="shared" si="1572"/>
        <v>1.3</v>
      </c>
      <c r="H1422" s="4">
        <f t="shared" si="1573"/>
        <v>9.7450000000000002E-3</v>
      </c>
      <c r="I1422" s="2">
        <f t="shared" si="1574"/>
        <v>0.24385519685039372</v>
      </c>
      <c r="J1422" s="4">
        <f t="shared" si="1575"/>
        <v>4.37197531496063E-2</v>
      </c>
      <c r="K1422" s="4">
        <f t="shared" si="1576"/>
        <v>0.28757495</v>
      </c>
      <c r="L1422" s="13">
        <f t="shared" si="1577"/>
        <v>5.5776892430278888</v>
      </c>
      <c r="M1422" s="3"/>
      <c r="N1422" s="3"/>
    </row>
    <row r="1423" spans="1:14" x14ac:dyDescent="0.2">
      <c r="A1423" s="4">
        <v>489302</v>
      </c>
      <c r="B1423" s="4">
        <v>100</v>
      </c>
      <c r="C1423" s="4">
        <v>8</v>
      </c>
      <c r="D1423" s="23">
        <v>2.5499999999999998</v>
      </c>
      <c r="E1423" s="23">
        <v>2</v>
      </c>
      <c r="F1423" s="23">
        <f t="shared" si="1571"/>
        <v>2.5499999999999998</v>
      </c>
      <c r="G1423" s="23">
        <f t="shared" si="1572"/>
        <v>2</v>
      </c>
      <c r="H1423" s="4">
        <f t="shared" si="1573"/>
        <v>3.8630000000000001E-3</v>
      </c>
      <c r="I1423" s="2">
        <f t="shared" si="1574"/>
        <v>3.7976027559055103E-2</v>
      </c>
      <c r="J1423" s="4">
        <f t="shared" si="1575"/>
        <v>0.13740417244094494</v>
      </c>
      <c r="K1423" s="4">
        <f t="shared" si="1576"/>
        <v>0.17538020000000004</v>
      </c>
      <c r="L1423" s="13">
        <f t="shared" si="1577"/>
        <v>0.27638190954773845</v>
      </c>
      <c r="M1423" s="3">
        <f t="shared" ref="M1423" si="1596">AVERAGE(I1423:I1424)</f>
        <v>3.6249844488188972E-2</v>
      </c>
      <c r="N1423" s="3">
        <f t="shared" ref="N1423" si="1597">AVERAGE(J1423:J1424)</f>
        <v>0.13913035551181105</v>
      </c>
    </row>
    <row r="1424" spans="1:14" x14ac:dyDescent="0.2">
      <c r="A1424" s="4"/>
      <c r="B1424" s="4">
        <v>100</v>
      </c>
      <c r="C1424" s="4">
        <v>8</v>
      </c>
      <c r="D1424" s="23">
        <v>2.5</v>
      </c>
      <c r="E1424" s="23">
        <v>2</v>
      </c>
      <c r="F1424" s="23">
        <f t="shared" si="1571"/>
        <v>2.5</v>
      </c>
      <c r="G1424" s="23">
        <f t="shared" si="1572"/>
        <v>2</v>
      </c>
      <c r="H1424" s="4">
        <f t="shared" si="1573"/>
        <v>3.8630000000000001E-3</v>
      </c>
      <c r="I1424" s="2">
        <f t="shared" si="1574"/>
        <v>3.452366141732284E-2</v>
      </c>
      <c r="J1424" s="4">
        <f t="shared" si="1575"/>
        <v>0.14085653858267716</v>
      </c>
      <c r="K1424" s="4">
        <f t="shared" si="1576"/>
        <v>0.17538019999999999</v>
      </c>
      <c r="L1424" s="13">
        <f t="shared" si="1577"/>
        <v>0.24509803921568632</v>
      </c>
      <c r="M1424" s="3"/>
      <c r="N1424" s="3"/>
    </row>
    <row r="1425" spans="1:14" x14ac:dyDescent="0.2">
      <c r="A1425" s="4">
        <v>489303</v>
      </c>
      <c r="B1425" s="4">
        <v>100</v>
      </c>
      <c r="C1425" s="4">
        <v>8</v>
      </c>
      <c r="D1425" s="23">
        <v>2.2999999999999998</v>
      </c>
      <c r="E1425" s="23">
        <v>1.7</v>
      </c>
      <c r="F1425" s="23">
        <f t="shared" si="1571"/>
        <v>2.2999999999999998</v>
      </c>
      <c r="G1425" s="23">
        <f t="shared" si="1572"/>
        <v>1.7</v>
      </c>
      <c r="H1425" s="4">
        <f t="shared" si="1573"/>
        <v>3.8630000000000001E-3</v>
      </c>
      <c r="I1425" s="2">
        <f t="shared" si="1574"/>
        <v>4.1428393700787387E-2</v>
      </c>
      <c r="J1425" s="4">
        <f t="shared" si="1575"/>
        <v>0.10764477629921262</v>
      </c>
      <c r="K1425" s="4">
        <f t="shared" si="1576"/>
        <v>0.14907317</v>
      </c>
      <c r="L1425" s="13">
        <f t="shared" si="1577"/>
        <v>0.38486209108402802</v>
      </c>
      <c r="M1425" s="3">
        <f t="shared" ref="M1425" si="1598">AVERAGE(I1425:I1426)</f>
        <v>4.4880759842519678E-2</v>
      </c>
      <c r="N1425" s="3">
        <f t="shared" ref="N1425" si="1599">AVERAGE(J1425:J1426)</f>
        <v>9.7615652657480331E-2</v>
      </c>
    </row>
    <row r="1426" spans="1:14" x14ac:dyDescent="0.2">
      <c r="A1426" s="4"/>
      <c r="B1426" s="4">
        <v>100</v>
      </c>
      <c r="C1426" s="4">
        <v>8</v>
      </c>
      <c r="D1426" s="23">
        <v>2.25</v>
      </c>
      <c r="E1426" s="23">
        <v>1.55</v>
      </c>
      <c r="F1426" s="23">
        <f t="shared" si="1571"/>
        <v>2.25</v>
      </c>
      <c r="G1426" s="23">
        <f t="shared" si="1572"/>
        <v>1.55</v>
      </c>
      <c r="H1426" s="4">
        <f t="shared" si="1573"/>
        <v>3.8630000000000001E-3</v>
      </c>
      <c r="I1426" s="2">
        <f t="shared" si="1574"/>
        <v>4.8333125984251969E-2</v>
      </c>
      <c r="J1426" s="4">
        <f t="shared" si="1575"/>
        <v>8.7586529015748038E-2</v>
      </c>
      <c r="K1426" s="4">
        <f t="shared" si="1576"/>
        <v>0.135919655</v>
      </c>
      <c r="L1426" s="13">
        <f t="shared" si="1577"/>
        <v>0.55183287347260546</v>
      </c>
      <c r="M1426" s="3"/>
      <c r="N1426" s="3"/>
    </row>
    <row r="1427" spans="1:14" x14ac:dyDescent="0.2">
      <c r="A1427" s="4">
        <v>489304</v>
      </c>
      <c r="B1427" s="4">
        <v>100</v>
      </c>
      <c r="C1427" s="4">
        <v>7</v>
      </c>
      <c r="D1427" s="23">
        <v>7.25</v>
      </c>
      <c r="E1427" s="23">
        <v>4.1500000000000004</v>
      </c>
      <c r="F1427" s="23">
        <f t="shared" si="1571"/>
        <v>7.25</v>
      </c>
      <c r="G1427" s="23">
        <f t="shared" si="1572"/>
        <v>4.1500000000000004</v>
      </c>
      <c r="H1427" s="4">
        <f t="shared" si="1573"/>
        <v>9.7450000000000002E-3</v>
      </c>
      <c r="I1427" s="2">
        <f t="shared" si="1574"/>
        <v>0.53996507874015753</v>
      </c>
      <c r="J1427" s="4">
        <f t="shared" si="1575"/>
        <v>0.37806264625984276</v>
      </c>
      <c r="K1427" s="4">
        <f t="shared" si="1576"/>
        <v>0.91802772500000029</v>
      </c>
      <c r="L1427" s="13">
        <f t="shared" si="1577"/>
        <v>1.4282423404745443</v>
      </c>
      <c r="M1427" s="3">
        <f t="shared" ref="M1427" si="1600">AVERAGE(I1427:I1428)</f>
        <v>0.53561052165354339</v>
      </c>
      <c r="N1427" s="3">
        <f t="shared" ref="N1427" si="1601">AVERAGE(J1427:J1428)</f>
        <v>0.3437051908464569</v>
      </c>
    </row>
    <row r="1428" spans="1:14" x14ac:dyDescent="0.2">
      <c r="A1428" s="4"/>
      <c r="B1428" s="4">
        <v>100</v>
      </c>
      <c r="C1428" s="4">
        <v>7</v>
      </c>
      <c r="D1428" s="23">
        <v>6.85</v>
      </c>
      <c r="E1428" s="23">
        <v>3.8</v>
      </c>
      <c r="F1428" s="23">
        <f t="shared" si="1571"/>
        <v>6.85</v>
      </c>
      <c r="G1428" s="23">
        <f t="shared" si="1572"/>
        <v>3.8</v>
      </c>
      <c r="H1428" s="4">
        <f t="shared" si="1573"/>
        <v>9.7450000000000002E-3</v>
      </c>
      <c r="I1428" s="2">
        <f t="shared" si="1574"/>
        <v>0.53125596456692914</v>
      </c>
      <c r="J1428" s="4">
        <f t="shared" si="1575"/>
        <v>0.30934773543307098</v>
      </c>
      <c r="K1428" s="4">
        <f t="shared" si="1576"/>
        <v>0.84060370000000018</v>
      </c>
      <c r="L1428" s="13">
        <f t="shared" si="1577"/>
        <v>1.7173423423423417</v>
      </c>
      <c r="M1428" s="3"/>
      <c r="N1428" s="3"/>
    </row>
    <row r="1429" spans="1:14" x14ac:dyDescent="0.2">
      <c r="A1429" s="4">
        <v>489305</v>
      </c>
      <c r="B1429" s="4">
        <v>100</v>
      </c>
      <c r="C1429" s="4">
        <v>7</v>
      </c>
      <c r="D1429" s="23">
        <v>3.45</v>
      </c>
      <c r="E1429" s="23">
        <v>1.85</v>
      </c>
      <c r="F1429" s="23">
        <f t="shared" si="1571"/>
        <v>3.45</v>
      </c>
      <c r="G1429" s="23">
        <f t="shared" si="1572"/>
        <v>1.85</v>
      </c>
      <c r="H1429" s="4">
        <f t="shared" si="1573"/>
        <v>9.7450000000000002E-3</v>
      </c>
      <c r="I1429" s="2">
        <f t="shared" si="1574"/>
        <v>0.27869165354330711</v>
      </c>
      <c r="J1429" s="4">
        <f t="shared" si="1575"/>
        <v>0.13054962145669294</v>
      </c>
      <c r="K1429" s="4">
        <f t="shared" si="1576"/>
        <v>0.40924127500000007</v>
      </c>
      <c r="L1429" s="13">
        <f t="shared" si="1577"/>
        <v>2.1347565043362238</v>
      </c>
      <c r="M1429" s="3">
        <f t="shared" ref="M1429" si="1602">AVERAGE(I1429:I1430)</f>
        <v>0.26998253937007877</v>
      </c>
      <c r="N1429" s="3">
        <f t="shared" ref="N1429" si="1603">AVERAGE(J1429:J1430)</f>
        <v>0.15031931062992121</v>
      </c>
    </row>
    <row r="1430" spans="1:14" x14ac:dyDescent="0.2">
      <c r="A1430" s="4"/>
      <c r="B1430" s="4">
        <v>100</v>
      </c>
      <c r="C1430" s="4">
        <v>7</v>
      </c>
      <c r="D1430" s="23">
        <v>3.45</v>
      </c>
      <c r="E1430" s="23">
        <v>1.95</v>
      </c>
      <c r="F1430" s="23">
        <f t="shared" si="1571"/>
        <v>3.45</v>
      </c>
      <c r="G1430" s="23">
        <f t="shared" si="1572"/>
        <v>1.95</v>
      </c>
      <c r="H1430" s="4">
        <f t="shared" si="1573"/>
        <v>9.7450000000000002E-3</v>
      </c>
      <c r="I1430" s="2">
        <f t="shared" si="1574"/>
        <v>0.26127342519685048</v>
      </c>
      <c r="J1430" s="4">
        <f t="shared" si="1575"/>
        <v>0.17008899980314951</v>
      </c>
      <c r="K1430" s="4">
        <f t="shared" si="1576"/>
        <v>0.43136242499999999</v>
      </c>
      <c r="L1430" s="13">
        <f t="shared" si="1577"/>
        <v>1.5360983102918602</v>
      </c>
      <c r="M1430" s="3"/>
      <c r="N1430" s="3"/>
    </row>
    <row r="1431" spans="1:14" x14ac:dyDescent="0.2">
      <c r="A1431" s="4">
        <v>489306</v>
      </c>
      <c r="B1431" s="4">
        <v>100</v>
      </c>
      <c r="C1431" s="4">
        <v>6</v>
      </c>
      <c r="D1431" s="23">
        <v>3.95</v>
      </c>
      <c r="E1431" s="23">
        <v>2.0499999999999998</v>
      </c>
      <c r="F1431" s="23">
        <f t="shared" si="1571"/>
        <v>3.95</v>
      </c>
      <c r="G1431" s="23">
        <f t="shared" si="1572"/>
        <v>2.0499999999999998</v>
      </c>
      <c r="H1431" s="4">
        <f t="shared" si="1573"/>
        <v>3.5767E-2</v>
      </c>
      <c r="I1431" s="2">
        <f t="shared" si="1574"/>
        <v>1.214669850393701</v>
      </c>
      <c r="J1431" s="4">
        <f t="shared" si="1575"/>
        <v>0.44974749460629909</v>
      </c>
      <c r="K1431" s="4">
        <f t="shared" si="1576"/>
        <v>1.6644173450000002</v>
      </c>
      <c r="L1431" s="13">
        <f t="shared" si="1577"/>
        <v>2.7007818052594184</v>
      </c>
      <c r="M1431" s="3">
        <f t="shared" ref="M1431" si="1604">AVERAGE(I1431:I1432)</f>
        <v>1.214669850393701</v>
      </c>
      <c r="N1431" s="3">
        <f t="shared" ref="N1431" si="1605">AVERAGE(J1431:J1432)</f>
        <v>0.47004526710629924</v>
      </c>
    </row>
    <row r="1432" spans="1:14" x14ac:dyDescent="0.2">
      <c r="A1432" s="4"/>
      <c r="B1432" s="4">
        <v>100</v>
      </c>
      <c r="C1432" s="4">
        <v>6</v>
      </c>
      <c r="D1432" s="23">
        <v>4</v>
      </c>
      <c r="E1432" s="23">
        <v>2.1</v>
      </c>
      <c r="F1432" s="23">
        <f t="shared" si="1571"/>
        <v>4</v>
      </c>
      <c r="G1432" s="23">
        <f t="shared" si="1572"/>
        <v>2.1</v>
      </c>
      <c r="H1432" s="4">
        <f t="shared" si="1573"/>
        <v>3.5767E-2</v>
      </c>
      <c r="I1432" s="2">
        <f t="shared" si="1574"/>
        <v>1.2146698503937008</v>
      </c>
      <c r="J1432" s="4">
        <f t="shared" si="1575"/>
        <v>0.49034303960629932</v>
      </c>
      <c r="K1432" s="4">
        <f t="shared" si="1576"/>
        <v>1.7050128900000001</v>
      </c>
      <c r="L1432" s="13">
        <f t="shared" si="1577"/>
        <v>2.4771838331160358</v>
      </c>
      <c r="M1432" s="3"/>
      <c r="N1432" s="3"/>
    </row>
    <row r="1433" spans="1:14" x14ac:dyDescent="0.2">
      <c r="A1433" s="4">
        <v>489307</v>
      </c>
      <c r="B1433" s="4">
        <v>100</v>
      </c>
      <c r="C1433" s="4">
        <v>6</v>
      </c>
      <c r="D1433" s="23">
        <v>4</v>
      </c>
      <c r="E1433" s="23">
        <v>2.0499999999999998</v>
      </c>
      <c r="F1433" s="23">
        <f t="shared" si="1571"/>
        <v>4</v>
      </c>
      <c r="G1433" s="23">
        <f t="shared" si="1572"/>
        <v>2.0499999999999998</v>
      </c>
      <c r="H1433" s="4">
        <f t="shared" si="1573"/>
        <v>3.5767E-2</v>
      </c>
      <c r="I1433" s="2">
        <f t="shared" si="1574"/>
        <v>1.2466348464566932</v>
      </c>
      <c r="J1433" s="4">
        <f t="shared" si="1575"/>
        <v>0.41778249854330712</v>
      </c>
      <c r="K1433" s="4">
        <f t="shared" si="1576"/>
        <v>1.6644173450000004</v>
      </c>
      <c r="L1433" s="13">
        <f t="shared" si="1577"/>
        <v>2.9839326702371847</v>
      </c>
      <c r="M1433" s="3">
        <f t="shared" ref="M1433" si="1606">AVERAGE(I1433:I1434)</f>
        <v>1.2466348464566932</v>
      </c>
      <c r="N1433" s="3">
        <f t="shared" ref="N1433" si="1607">AVERAGE(J1433:J1434)</f>
        <v>0.41778249854330712</v>
      </c>
    </row>
    <row r="1434" spans="1:14" x14ac:dyDescent="0.2">
      <c r="A1434" s="4"/>
      <c r="B1434" s="4">
        <v>100</v>
      </c>
      <c r="C1434" s="4">
        <v>6</v>
      </c>
      <c r="D1434" s="23">
        <v>4</v>
      </c>
      <c r="E1434" s="23">
        <v>2.0499999999999998</v>
      </c>
      <c r="F1434" s="23">
        <f t="shared" si="1571"/>
        <v>4</v>
      </c>
      <c r="G1434" s="23">
        <f t="shared" si="1572"/>
        <v>2.0499999999999998</v>
      </c>
      <c r="H1434" s="4">
        <f t="shared" si="1573"/>
        <v>3.5767E-2</v>
      </c>
      <c r="I1434" s="2">
        <f t="shared" si="1574"/>
        <v>1.2466348464566932</v>
      </c>
      <c r="J1434" s="4">
        <f t="shared" si="1575"/>
        <v>0.41778249854330712</v>
      </c>
      <c r="K1434" s="4">
        <f t="shared" si="1576"/>
        <v>1.6644173450000004</v>
      </c>
      <c r="L1434" s="13">
        <f t="shared" si="1577"/>
        <v>2.9839326702371847</v>
      </c>
      <c r="M1434" s="3"/>
      <c r="N1434" s="3"/>
    </row>
    <row r="1435" spans="1:14" x14ac:dyDescent="0.2">
      <c r="A1435" s="4">
        <v>489308</v>
      </c>
      <c r="B1435" s="4">
        <v>100</v>
      </c>
      <c r="C1435" s="4">
        <v>7</v>
      </c>
      <c r="D1435" s="23">
        <v>5.6</v>
      </c>
      <c r="E1435" s="23">
        <v>3.1</v>
      </c>
      <c r="F1435" s="23">
        <f t="shared" si="1571"/>
        <v>5.6</v>
      </c>
      <c r="G1435" s="23">
        <f t="shared" si="1572"/>
        <v>3.1</v>
      </c>
      <c r="H1435" s="4">
        <f t="shared" si="1573"/>
        <v>9.7450000000000002E-3</v>
      </c>
      <c r="I1435" s="2">
        <f t="shared" si="1574"/>
        <v>0.43545570866141725</v>
      </c>
      <c r="J1435" s="4">
        <f t="shared" si="1575"/>
        <v>0.2502999413385828</v>
      </c>
      <c r="K1435" s="4">
        <f t="shared" si="1576"/>
        <v>0.68575565000000005</v>
      </c>
      <c r="L1435" s="13">
        <f t="shared" si="1577"/>
        <v>1.7397355601948492</v>
      </c>
      <c r="M1435" s="3">
        <f t="shared" ref="M1435" si="1608">AVERAGE(I1435:I1436)</f>
        <v>0.42239203740157483</v>
      </c>
      <c r="N1435" s="3">
        <f t="shared" ref="N1435" si="1609">AVERAGE(J1435:J1436)</f>
        <v>0.26889390009842529</v>
      </c>
    </row>
    <row r="1436" spans="1:14" x14ac:dyDescent="0.2">
      <c r="A1436" s="4"/>
      <c r="B1436" s="4">
        <v>100</v>
      </c>
      <c r="C1436" s="4">
        <v>7</v>
      </c>
      <c r="D1436" s="23">
        <v>5.5</v>
      </c>
      <c r="E1436" s="23">
        <v>3.15</v>
      </c>
      <c r="F1436" s="23">
        <f t="shared" si="1571"/>
        <v>5.5</v>
      </c>
      <c r="G1436" s="23">
        <f t="shared" si="1572"/>
        <v>3.15</v>
      </c>
      <c r="H1436" s="4">
        <f t="shared" si="1573"/>
        <v>9.7450000000000002E-3</v>
      </c>
      <c r="I1436" s="2">
        <f t="shared" si="1574"/>
        <v>0.40932836614173235</v>
      </c>
      <c r="J1436" s="4">
        <f t="shared" si="1575"/>
        <v>0.28748785885826778</v>
      </c>
      <c r="K1436" s="4">
        <f t="shared" si="1576"/>
        <v>0.69681622500000007</v>
      </c>
      <c r="L1436" s="13">
        <f t="shared" si="1577"/>
        <v>1.4238109663738261</v>
      </c>
      <c r="M1436" s="3"/>
      <c r="N1436" s="3"/>
    </row>
    <row r="1437" spans="1:14" x14ac:dyDescent="0.2">
      <c r="A1437" s="4">
        <v>489309</v>
      </c>
      <c r="B1437" s="4">
        <v>100</v>
      </c>
      <c r="C1437" s="4">
        <v>7</v>
      </c>
      <c r="D1437" s="23">
        <v>2.8</v>
      </c>
      <c r="E1437" s="23">
        <v>1.5</v>
      </c>
      <c r="F1437" s="23">
        <f t="shared" si="1571"/>
        <v>2.8</v>
      </c>
      <c r="G1437" s="23">
        <f t="shared" si="1572"/>
        <v>1.5</v>
      </c>
      <c r="H1437" s="4">
        <f t="shared" si="1573"/>
        <v>9.7450000000000002E-3</v>
      </c>
      <c r="I1437" s="2">
        <f t="shared" si="1574"/>
        <v>0.22643696850393699</v>
      </c>
      <c r="J1437" s="4">
        <f t="shared" si="1575"/>
        <v>0.10538028149606299</v>
      </c>
      <c r="K1437" s="4">
        <f t="shared" si="1576"/>
        <v>0.33181724999999995</v>
      </c>
      <c r="L1437" s="13">
        <f t="shared" si="1577"/>
        <v>2.1487603305785123</v>
      </c>
      <c r="M1437" s="3">
        <f t="shared" ref="M1437" si="1610">AVERAGE(I1437:I1438)</f>
        <v>0.22643696850393702</v>
      </c>
      <c r="N1437" s="3">
        <f t="shared" ref="N1437" si="1611">AVERAGE(J1437:J1438)</f>
        <v>9.9849993996063008E-2</v>
      </c>
    </row>
    <row r="1438" spans="1:14" x14ac:dyDescent="0.2">
      <c r="A1438" s="4"/>
      <c r="B1438" s="4">
        <v>100</v>
      </c>
      <c r="C1438" s="4">
        <v>7</v>
      </c>
      <c r="D1438" s="23">
        <v>2.75</v>
      </c>
      <c r="E1438" s="23">
        <v>1.45</v>
      </c>
      <c r="F1438" s="23">
        <f t="shared" si="1571"/>
        <v>2.75</v>
      </c>
      <c r="G1438" s="23">
        <f t="shared" si="1572"/>
        <v>1.45</v>
      </c>
      <c r="H1438" s="4">
        <f t="shared" si="1573"/>
        <v>9.7450000000000002E-3</v>
      </c>
      <c r="I1438" s="2">
        <f t="shared" si="1574"/>
        <v>0.22643696850393705</v>
      </c>
      <c r="J1438" s="4">
        <f t="shared" si="1575"/>
        <v>9.4319706496063041E-2</v>
      </c>
      <c r="K1438" s="4">
        <f t="shared" si="1576"/>
        <v>0.3207566750000001</v>
      </c>
      <c r="L1438" s="13">
        <f t="shared" si="1577"/>
        <v>2.4007386888273308</v>
      </c>
      <c r="M1438" s="3"/>
      <c r="N1438" s="3"/>
    </row>
    <row r="1439" spans="1:14" x14ac:dyDescent="0.2">
      <c r="A1439" s="4">
        <v>489310</v>
      </c>
      <c r="B1439" s="4">
        <v>100</v>
      </c>
      <c r="C1439" s="4">
        <v>7</v>
      </c>
      <c r="D1439" s="23">
        <v>2.8</v>
      </c>
      <c r="E1439" s="23">
        <v>1.45</v>
      </c>
      <c r="F1439" s="23">
        <f t="shared" si="1571"/>
        <v>2.8</v>
      </c>
      <c r="G1439" s="23">
        <f t="shared" si="1572"/>
        <v>1.45</v>
      </c>
      <c r="H1439" s="4">
        <f t="shared" si="1573"/>
        <v>9.7450000000000002E-3</v>
      </c>
      <c r="I1439" s="2">
        <f t="shared" si="1574"/>
        <v>0.23514608267716536</v>
      </c>
      <c r="J1439" s="4">
        <f t="shared" si="1575"/>
        <v>8.5610592322834703E-2</v>
      </c>
      <c r="K1439" s="4">
        <f t="shared" si="1576"/>
        <v>0.32075667500000005</v>
      </c>
      <c r="L1439" s="13">
        <f t="shared" si="1577"/>
        <v>2.7466937945066108</v>
      </c>
      <c r="M1439" s="3">
        <f t="shared" ref="M1439" si="1612">AVERAGE(I1439:I1440)</f>
        <v>0.23514608267716536</v>
      </c>
      <c r="N1439" s="3">
        <f t="shared" ref="N1439" si="1613">AVERAGE(J1439:J1440)</f>
        <v>8.008030482283468E-2</v>
      </c>
    </row>
    <row r="1440" spans="1:14" x14ac:dyDescent="0.2">
      <c r="A1440" s="4"/>
      <c r="B1440" s="4">
        <v>100</v>
      </c>
      <c r="C1440" s="4">
        <v>7</v>
      </c>
      <c r="D1440" s="23">
        <v>2.75</v>
      </c>
      <c r="E1440" s="23">
        <v>1.4</v>
      </c>
      <c r="F1440" s="23">
        <f t="shared" si="1571"/>
        <v>2.75</v>
      </c>
      <c r="G1440" s="23">
        <f t="shared" si="1572"/>
        <v>1.4</v>
      </c>
      <c r="H1440" s="4">
        <f t="shared" si="1573"/>
        <v>9.7450000000000002E-3</v>
      </c>
      <c r="I1440" s="2">
        <f t="shared" si="1574"/>
        <v>0.23514608267716539</v>
      </c>
      <c r="J1440" s="4">
        <f t="shared" si="1575"/>
        <v>7.4550017322834658E-2</v>
      </c>
      <c r="K1440" s="4">
        <f t="shared" si="1576"/>
        <v>0.30969610000000003</v>
      </c>
      <c r="L1440" s="13">
        <f t="shared" si="1577"/>
        <v>3.1542056074766354</v>
      </c>
      <c r="M1440" s="3"/>
      <c r="N1440" s="3"/>
    </row>
    <row r="1441" spans="1:14" x14ac:dyDescent="0.2">
      <c r="A1441" s="4">
        <v>489312</v>
      </c>
      <c r="B1441" s="4">
        <v>100</v>
      </c>
      <c r="C1441" s="4">
        <v>8</v>
      </c>
      <c r="D1441" s="23">
        <v>3</v>
      </c>
      <c r="E1441" s="23">
        <v>2.25</v>
      </c>
      <c r="F1441" s="23">
        <f t="shared" si="1571"/>
        <v>3</v>
      </c>
      <c r="G1441" s="23">
        <f t="shared" si="1572"/>
        <v>2.25</v>
      </c>
      <c r="H1441" s="4">
        <f t="shared" si="1573"/>
        <v>3.8630000000000001E-3</v>
      </c>
      <c r="I1441" s="2">
        <f t="shared" si="1574"/>
        <v>5.1785492125984253E-2</v>
      </c>
      <c r="J1441" s="4">
        <f t="shared" si="1575"/>
        <v>0.14551723287401572</v>
      </c>
      <c r="K1441" s="4">
        <f t="shared" si="1576"/>
        <v>0.19730272499999996</v>
      </c>
      <c r="L1441" s="13">
        <f t="shared" si="1577"/>
        <v>0.35587188612099652</v>
      </c>
      <c r="M1441" s="3">
        <f t="shared" ref="M1441" si="1614">AVERAGE(I1441:I1442)</f>
        <v>4.6606942913385817E-2</v>
      </c>
      <c r="N1441" s="3">
        <f t="shared" ref="N1441" si="1615">AVERAGE(J1441:J1442)</f>
        <v>0.15946479208661421</v>
      </c>
    </row>
    <row r="1442" spans="1:14" x14ac:dyDescent="0.2">
      <c r="A1442" s="4"/>
      <c r="B1442" s="4">
        <v>100</v>
      </c>
      <c r="C1442" s="4">
        <v>8</v>
      </c>
      <c r="D1442" s="23">
        <v>3.05</v>
      </c>
      <c r="E1442" s="23">
        <v>2.4500000000000002</v>
      </c>
      <c r="F1442" s="23">
        <f t="shared" si="1571"/>
        <v>3.05</v>
      </c>
      <c r="G1442" s="23">
        <f t="shared" si="1572"/>
        <v>2.4500000000000002</v>
      </c>
      <c r="H1442" s="4">
        <f t="shared" si="1573"/>
        <v>3.8630000000000001E-3</v>
      </c>
      <c r="I1442" s="2">
        <f t="shared" si="1574"/>
        <v>4.142839370078738E-2</v>
      </c>
      <c r="J1442" s="4">
        <f t="shared" si="1575"/>
        <v>0.1734123512992127</v>
      </c>
      <c r="K1442" s="4">
        <f t="shared" si="1576"/>
        <v>0.21484074500000008</v>
      </c>
      <c r="L1442" s="13">
        <f t="shared" si="1577"/>
        <v>0.23890105514632662</v>
      </c>
      <c r="M1442" s="3"/>
      <c r="N1442" s="3"/>
    </row>
    <row r="1443" spans="1:14" x14ac:dyDescent="0.2">
      <c r="A1443" s="4">
        <v>489313</v>
      </c>
      <c r="B1443" s="4">
        <v>100</v>
      </c>
      <c r="C1443" s="4">
        <v>8</v>
      </c>
      <c r="D1443" s="23">
        <v>4.9000000000000004</v>
      </c>
      <c r="E1443" s="23">
        <v>2.95</v>
      </c>
      <c r="F1443" s="23">
        <f t="shared" si="1571"/>
        <v>4.9000000000000004</v>
      </c>
      <c r="G1443" s="23">
        <f t="shared" si="1572"/>
        <v>2.95</v>
      </c>
      <c r="H1443" s="4">
        <f t="shared" si="1573"/>
        <v>3.8630000000000001E-3</v>
      </c>
      <c r="I1443" s="2">
        <f t="shared" si="1574"/>
        <v>0.13464227952755908</v>
      </c>
      <c r="J1443" s="4">
        <f t="shared" si="1575"/>
        <v>0.12404351547244101</v>
      </c>
      <c r="K1443" s="4">
        <f t="shared" si="1576"/>
        <v>0.25868579500000011</v>
      </c>
      <c r="L1443" s="13">
        <f t="shared" si="1577"/>
        <v>1.0854439187308653</v>
      </c>
      <c r="M1443" s="3">
        <f t="shared" ref="M1443" si="1616">AVERAGE(I1443:I1444)</f>
        <v>0.12773754724409453</v>
      </c>
      <c r="N1443" s="3">
        <f t="shared" ref="N1443" si="1617">AVERAGE(J1443:J1444)</f>
        <v>0.13971725775590552</v>
      </c>
    </row>
    <row r="1444" spans="1:14" x14ac:dyDescent="0.2">
      <c r="A1444" s="4"/>
      <c r="B1444" s="4">
        <v>100</v>
      </c>
      <c r="C1444" s="4">
        <v>8</v>
      </c>
      <c r="D1444" s="23">
        <v>4.9000000000000004</v>
      </c>
      <c r="E1444" s="23">
        <v>3.15</v>
      </c>
      <c r="F1444" s="23">
        <f t="shared" si="1571"/>
        <v>4.9000000000000004</v>
      </c>
      <c r="G1444" s="23">
        <f t="shared" si="1572"/>
        <v>3.15</v>
      </c>
      <c r="H1444" s="4">
        <f t="shared" si="1573"/>
        <v>3.8630000000000001E-3</v>
      </c>
      <c r="I1444" s="2">
        <f t="shared" si="1574"/>
        <v>0.12083281496062996</v>
      </c>
      <c r="J1444" s="4">
        <f t="shared" si="1575"/>
        <v>0.15539100003937004</v>
      </c>
      <c r="K1444" s="4">
        <f t="shared" si="1576"/>
        <v>0.27622381499999998</v>
      </c>
      <c r="L1444" s="13">
        <f t="shared" si="1577"/>
        <v>0.77760497667185113</v>
      </c>
      <c r="M1444" s="3"/>
      <c r="N1444" s="3"/>
    </row>
    <row r="1445" spans="1:14" x14ac:dyDescent="0.2">
      <c r="A1445" s="4">
        <v>489314</v>
      </c>
      <c r="B1445" s="4">
        <v>100</v>
      </c>
      <c r="C1445" s="4">
        <v>7</v>
      </c>
      <c r="D1445" s="23">
        <v>4</v>
      </c>
      <c r="E1445" s="23">
        <v>2.35</v>
      </c>
      <c r="F1445" s="23">
        <f t="shared" si="1571"/>
        <v>4</v>
      </c>
      <c r="G1445" s="23">
        <f t="shared" si="1572"/>
        <v>2.35</v>
      </c>
      <c r="H1445" s="4">
        <f t="shared" si="1573"/>
        <v>9.7450000000000002E-3</v>
      </c>
      <c r="I1445" s="2">
        <f t="shared" si="1574"/>
        <v>0.28740076771653539</v>
      </c>
      <c r="J1445" s="4">
        <f t="shared" si="1575"/>
        <v>0.2324462572834646</v>
      </c>
      <c r="K1445" s="4">
        <f t="shared" si="1576"/>
        <v>0.51984702500000002</v>
      </c>
      <c r="L1445" s="13">
        <f t="shared" si="1577"/>
        <v>1.2364181341326335</v>
      </c>
      <c r="M1445" s="3">
        <f t="shared" ref="M1445" si="1618">AVERAGE(I1445:I1446)</f>
        <v>0.28304621062992125</v>
      </c>
      <c r="N1445" s="3">
        <f t="shared" ref="N1445" si="1619">AVERAGE(J1445:J1446)</f>
        <v>0.2257402393700787</v>
      </c>
    </row>
    <row r="1446" spans="1:14" x14ac:dyDescent="0.2">
      <c r="A1446" s="4"/>
      <c r="B1446" s="4">
        <v>100</v>
      </c>
      <c r="C1446" s="4">
        <v>7</v>
      </c>
      <c r="D1446" s="23">
        <v>3.85</v>
      </c>
      <c r="E1446" s="23">
        <v>2.25</v>
      </c>
      <c r="F1446" s="23">
        <f t="shared" si="1571"/>
        <v>3.85</v>
      </c>
      <c r="G1446" s="23">
        <f t="shared" si="1572"/>
        <v>2.25</v>
      </c>
      <c r="H1446" s="4">
        <f t="shared" si="1573"/>
        <v>9.7450000000000002E-3</v>
      </c>
      <c r="I1446" s="2">
        <f t="shared" si="1574"/>
        <v>0.27869165354330711</v>
      </c>
      <c r="J1446" s="4">
        <f t="shared" si="1575"/>
        <v>0.21903422145669282</v>
      </c>
      <c r="K1446" s="4">
        <f t="shared" si="1576"/>
        <v>0.49772587499999993</v>
      </c>
      <c r="L1446" s="13">
        <f t="shared" si="1577"/>
        <v>1.2723658051689868</v>
      </c>
      <c r="M1446" s="3"/>
      <c r="N1446" s="3"/>
    </row>
    <row r="1447" spans="1:14" x14ac:dyDescent="0.2">
      <c r="A1447" s="4">
        <v>489315</v>
      </c>
      <c r="B1447" s="4">
        <v>100</v>
      </c>
      <c r="C1447" s="4">
        <v>7</v>
      </c>
      <c r="D1447" s="23">
        <v>4.2</v>
      </c>
      <c r="E1447" s="23">
        <v>2.4500000000000002</v>
      </c>
      <c r="F1447" s="23">
        <f t="shared" si="1571"/>
        <v>4.2</v>
      </c>
      <c r="G1447" s="23">
        <f t="shared" si="1572"/>
        <v>2.4500000000000002</v>
      </c>
      <c r="H1447" s="4">
        <f t="shared" si="1573"/>
        <v>9.7450000000000002E-3</v>
      </c>
      <c r="I1447" s="2">
        <f t="shared" si="1574"/>
        <v>0.30481899606299218</v>
      </c>
      <c r="J1447" s="4">
        <f t="shared" si="1575"/>
        <v>0.23714917893700796</v>
      </c>
      <c r="K1447" s="4">
        <f t="shared" si="1576"/>
        <v>0.54196817500000016</v>
      </c>
      <c r="L1447" s="13">
        <f t="shared" si="1577"/>
        <v>1.2853470437017993</v>
      </c>
      <c r="M1447" s="3">
        <f t="shared" ref="M1447" si="1620">AVERAGE(I1447:I1448)</f>
        <v>0.30917355314960626</v>
      </c>
      <c r="N1447" s="3">
        <f t="shared" ref="N1447" si="1621">AVERAGE(J1447:J1448)</f>
        <v>0.2051431843503938</v>
      </c>
    </row>
    <row r="1448" spans="1:14" x14ac:dyDescent="0.2">
      <c r="A1448" s="4"/>
      <c r="B1448" s="4">
        <v>100</v>
      </c>
      <c r="C1448" s="4">
        <v>7</v>
      </c>
      <c r="D1448" s="23">
        <v>4</v>
      </c>
      <c r="E1448" s="23">
        <v>2.2000000000000002</v>
      </c>
      <c r="F1448" s="23">
        <f t="shared" si="1571"/>
        <v>4</v>
      </c>
      <c r="G1448" s="23">
        <f t="shared" si="1572"/>
        <v>2.2000000000000002</v>
      </c>
      <c r="H1448" s="4">
        <f t="shared" si="1573"/>
        <v>9.7450000000000002E-3</v>
      </c>
      <c r="I1448" s="2">
        <f t="shared" si="1574"/>
        <v>0.3135281102362204</v>
      </c>
      <c r="J1448" s="4">
        <f t="shared" si="1575"/>
        <v>0.17313718976377962</v>
      </c>
      <c r="K1448" s="4">
        <f t="shared" si="1576"/>
        <v>0.48666530000000002</v>
      </c>
      <c r="L1448" s="13">
        <f t="shared" si="1577"/>
        <v>1.8108651911468798</v>
      </c>
      <c r="M1448" s="3"/>
      <c r="N1448" s="3"/>
    </row>
    <row r="1449" spans="1:14" x14ac:dyDescent="0.2">
      <c r="A1449" s="4">
        <v>489316</v>
      </c>
      <c r="B1449" s="4">
        <v>100</v>
      </c>
      <c r="C1449" s="4">
        <v>6</v>
      </c>
      <c r="D1449" s="23">
        <v>2.85</v>
      </c>
      <c r="E1449" s="23">
        <v>1.55</v>
      </c>
      <c r="F1449" s="23">
        <f t="shared" si="1571"/>
        <v>2.85</v>
      </c>
      <c r="G1449" s="23">
        <f t="shared" si="1572"/>
        <v>1.55</v>
      </c>
      <c r="H1449" s="4">
        <f t="shared" si="1573"/>
        <v>3.5767E-2</v>
      </c>
      <c r="I1449" s="2">
        <f t="shared" si="1574"/>
        <v>0.83108989763779528</v>
      </c>
      <c r="J1449" s="4">
        <f t="shared" si="1575"/>
        <v>0.4273719973622046</v>
      </c>
      <c r="K1449" s="4">
        <f t="shared" si="1576"/>
        <v>1.2584618949999999</v>
      </c>
      <c r="L1449" s="13">
        <f t="shared" si="1577"/>
        <v>1.9446522064323117</v>
      </c>
      <c r="M1449" s="3">
        <f t="shared" ref="M1449" si="1622">AVERAGE(I1449:I1450)</f>
        <v>0.91100238779527565</v>
      </c>
      <c r="N1449" s="3">
        <f t="shared" ref="N1449" si="1623">AVERAGE(J1449:J1450)</f>
        <v>0.40835282470472445</v>
      </c>
    </row>
    <row r="1450" spans="1:14" x14ac:dyDescent="0.2">
      <c r="A1450" s="4"/>
      <c r="B1450" s="4">
        <v>100</v>
      </c>
      <c r="C1450" s="4">
        <v>6</v>
      </c>
      <c r="D1450" s="23">
        <v>3.25</v>
      </c>
      <c r="E1450" s="23">
        <v>1.7</v>
      </c>
      <c r="F1450" s="23">
        <f t="shared" si="1571"/>
        <v>3.25</v>
      </c>
      <c r="G1450" s="23">
        <f t="shared" si="1572"/>
        <v>1.7</v>
      </c>
      <c r="H1450" s="4">
        <f t="shared" si="1573"/>
        <v>3.5767E-2</v>
      </c>
      <c r="I1450" s="2">
        <f t="shared" si="1574"/>
        <v>0.99091487795275601</v>
      </c>
      <c r="J1450" s="4">
        <f t="shared" si="1575"/>
        <v>0.38933365204724424</v>
      </c>
      <c r="K1450" s="4">
        <f t="shared" si="1576"/>
        <v>1.3802485300000003</v>
      </c>
      <c r="L1450" s="13">
        <f t="shared" si="1577"/>
        <v>2.5451559934318548</v>
      </c>
      <c r="M1450" s="3"/>
      <c r="N1450" s="3"/>
    </row>
    <row r="1451" spans="1:14" x14ac:dyDescent="0.2">
      <c r="A1451" s="4">
        <v>489317</v>
      </c>
      <c r="B1451" s="4">
        <v>100</v>
      </c>
      <c r="C1451" s="4">
        <v>7</v>
      </c>
      <c r="D1451" s="23">
        <v>4.0999999999999996</v>
      </c>
      <c r="E1451" s="23">
        <v>2.2999999999999998</v>
      </c>
      <c r="F1451" s="23">
        <f t="shared" si="1571"/>
        <v>4.0999999999999996</v>
      </c>
      <c r="G1451" s="23">
        <f t="shared" si="1572"/>
        <v>2.2999999999999998</v>
      </c>
      <c r="H1451" s="4">
        <f t="shared" si="1573"/>
        <v>9.7450000000000002E-3</v>
      </c>
      <c r="I1451" s="2">
        <f t="shared" si="1574"/>
        <v>0.3135281102362204</v>
      </c>
      <c r="J1451" s="4">
        <f t="shared" si="1575"/>
        <v>0.19525833976377946</v>
      </c>
      <c r="K1451" s="4">
        <f t="shared" si="1576"/>
        <v>0.50878644999999989</v>
      </c>
      <c r="L1451" s="13">
        <f t="shared" si="1577"/>
        <v>1.6057091882247996</v>
      </c>
      <c r="M1451" s="3">
        <f t="shared" ref="M1451" si="1624">AVERAGE(I1451:I1452)</f>
        <v>0.31352811023622051</v>
      </c>
      <c r="N1451" s="3">
        <f t="shared" ref="N1451" si="1625">AVERAGE(J1451:J1452)</f>
        <v>0.16760690226377944</v>
      </c>
    </row>
    <row r="1452" spans="1:14" x14ac:dyDescent="0.2">
      <c r="A1452" s="4"/>
      <c r="B1452" s="4">
        <v>100</v>
      </c>
      <c r="C1452" s="4">
        <v>7</v>
      </c>
      <c r="D1452" s="23">
        <v>3.85</v>
      </c>
      <c r="E1452" s="23">
        <v>2.0499999999999998</v>
      </c>
      <c r="F1452" s="23">
        <f t="shared" si="1571"/>
        <v>3.85</v>
      </c>
      <c r="G1452" s="23">
        <f t="shared" si="1572"/>
        <v>2.0499999999999998</v>
      </c>
      <c r="H1452" s="4">
        <f t="shared" si="1573"/>
        <v>9.7450000000000002E-3</v>
      </c>
      <c r="I1452" s="2">
        <f t="shared" si="1574"/>
        <v>0.31352811023622057</v>
      </c>
      <c r="J1452" s="4">
        <f t="shared" si="1575"/>
        <v>0.13995546476377946</v>
      </c>
      <c r="K1452" s="4">
        <f t="shared" si="1576"/>
        <v>0.45348357500000003</v>
      </c>
      <c r="L1452" s="13">
        <f t="shared" si="1577"/>
        <v>2.2401991288114518</v>
      </c>
      <c r="M1452" s="3"/>
      <c r="N1452" s="3"/>
    </row>
    <row r="1453" spans="1:14" x14ac:dyDescent="0.2">
      <c r="A1453" s="4">
        <v>489318</v>
      </c>
      <c r="B1453" s="4">
        <v>100</v>
      </c>
      <c r="C1453" s="4">
        <v>7</v>
      </c>
      <c r="D1453" s="23">
        <v>2.7</v>
      </c>
      <c r="E1453" s="23">
        <v>1.45</v>
      </c>
      <c r="F1453" s="23">
        <f t="shared" si="1571"/>
        <v>2.7</v>
      </c>
      <c r="G1453" s="23">
        <f t="shared" si="1572"/>
        <v>1.45</v>
      </c>
      <c r="H1453" s="4">
        <f t="shared" si="1573"/>
        <v>9.7450000000000002E-3</v>
      </c>
      <c r="I1453" s="2">
        <f t="shared" si="1574"/>
        <v>0.21772785433070868</v>
      </c>
      <c r="J1453" s="4">
        <f t="shared" si="1575"/>
        <v>0.10302882066929137</v>
      </c>
      <c r="K1453" s="4">
        <f t="shared" si="1576"/>
        <v>0.32075667500000005</v>
      </c>
      <c r="L1453" s="13">
        <f t="shared" si="1577"/>
        <v>2.1132713440405744</v>
      </c>
      <c r="M1453" s="3">
        <f t="shared" ref="M1453" si="1626">AVERAGE(I1453:I1454)</f>
        <v>0.22643696850393702</v>
      </c>
      <c r="N1453" s="3">
        <f t="shared" ref="N1453" si="1627">AVERAGE(J1453:J1454)</f>
        <v>0.10538028149606299</v>
      </c>
    </row>
    <row r="1454" spans="1:14" x14ac:dyDescent="0.2">
      <c r="A1454" s="4"/>
      <c r="B1454" s="4">
        <v>100</v>
      </c>
      <c r="C1454" s="4">
        <v>7</v>
      </c>
      <c r="D1454" s="23">
        <v>2.9</v>
      </c>
      <c r="E1454" s="23">
        <v>1.55</v>
      </c>
      <c r="F1454" s="23">
        <f t="shared" si="1571"/>
        <v>2.9</v>
      </c>
      <c r="G1454" s="23">
        <f t="shared" si="1572"/>
        <v>1.55</v>
      </c>
      <c r="H1454" s="4">
        <f t="shared" si="1573"/>
        <v>9.7450000000000002E-3</v>
      </c>
      <c r="I1454" s="2">
        <f t="shared" si="1574"/>
        <v>0.23514608267716536</v>
      </c>
      <c r="J1454" s="4">
        <f t="shared" si="1575"/>
        <v>0.10773174232283463</v>
      </c>
      <c r="K1454" s="4">
        <f t="shared" si="1576"/>
        <v>0.34287782499999997</v>
      </c>
      <c r="L1454" s="13">
        <f t="shared" si="1577"/>
        <v>2.182700080840744</v>
      </c>
      <c r="M1454" s="3"/>
      <c r="N1454" s="3"/>
    </row>
    <row r="1455" spans="1:14" x14ac:dyDescent="0.2">
      <c r="A1455" s="4">
        <v>489319</v>
      </c>
      <c r="B1455" s="4">
        <v>100</v>
      </c>
      <c r="C1455" s="4">
        <v>7</v>
      </c>
      <c r="D1455" s="23">
        <v>2.65</v>
      </c>
      <c r="E1455" s="23">
        <v>1.35</v>
      </c>
      <c r="F1455" s="23">
        <f t="shared" si="1571"/>
        <v>2.65</v>
      </c>
      <c r="G1455" s="23">
        <f t="shared" si="1572"/>
        <v>1.35</v>
      </c>
      <c r="H1455" s="4">
        <f t="shared" si="1573"/>
        <v>9.7450000000000002E-3</v>
      </c>
      <c r="I1455" s="2">
        <f t="shared" si="1574"/>
        <v>0.22643696850393699</v>
      </c>
      <c r="J1455" s="4">
        <f t="shared" si="1575"/>
        <v>7.2198556496063035E-2</v>
      </c>
      <c r="K1455" s="4">
        <f t="shared" si="1576"/>
        <v>0.29863552500000001</v>
      </c>
      <c r="L1455" s="13">
        <f t="shared" si="1577"/>
        <v>3.1363088057901063</v>
      </c>
      <c r="M1455" s="3">
        <f t="shared" ref="M1455" si="1628">AVERAGE(I1455:I1456)</f>
        <v>0.22208241141732282</v>
      </c>
      <c r="N1455" s="3">
        <f t="shared" ref="N1455" si="1629">AVERAGE(J1455:J1456)</f>
        <v>8.2083401082677171E-2</v>
      </c>
    </row>
    <row r="1456" spans="1:14" x14ac:dyDescent="0.2">
      <c r="A1456" s="4"/>
      <c r="B1456" s="4">
        <v>100</v>
      </c>
      <c r="C1456" s="4">
        <v>7</v>
      </c>
      <c r="D1456" s="23">
        <v>2.65</v>
      </c>
      <c r="E1456" s="23">
        <v>1.4</v>
      </c>
      <c r="F1456" s="23">
        <f t="shared" si="1571"/>
        <v>2.65</v>
      </c>
      <c r="G1456" s="23">
        <f t="shared" si="1572"/>
        <v>1.4</v>
      </c>
      <c r="H1456" s="4">
        <f t="shared" si="1573"/>
        <v>9.7450000000000002E-3</v>
      </c>
      <c r="I1456" s="2">
        <f t="shared" si="1574"/>
        <v>0.21772785433070865</v>
      </c>
      <c r="J1456" s="4">
        <f t="shared" si="1575"/>
        <v>9.1968245669291307E-2</v>
      </c>
      <c r="K1456" s="4">
        <f t="shared" si="1576"/>
        <v>0.30969609999999997</v>
      </c>
      <c r="L1456" s="13">
        <f t="shared" si="1577"/>
        <v>2.3674242424242431</v>
      </c>
      <c r="M1456" s="3"/>
      <c r="N1456" s="3"/>
    </row>
    <row r="1457" spans="1:14" x14ac:dyDescent="0.2">
      <c r="A1457" s="4">
        <v>489320</v>
      </c>
      <c r="B1457" s="4">
        <v>100</v>
      </c>
      <c r="C1457" s="4">
        <v>8</v>
      </c>
      <c r="D1457" s="23">
        <v>2.95</v>
      </c>
      <c r="E1457" s="23">
        <v>2.15</v>
      </c>
      <c r="F1457" s="23">
        <f t="shared" si="1571"/>
        <v>2.95</v>
      </c>
      <c r="G1457" s="23">
        <f t="shared" si="1572"/>
        <v>2.15</v>
      </c>
      <c r="H1457" s="4">
        <f t="shared" si="1573"/>
        <v>3.8630000000000001E-3</v>
      </c>
      <c r="I1457" s="2">
        <f t="shared" si="1574"/>
        <v>5.5237858267716551E-2</v>
      </c>
      <c r="J1457" s="4">
        <f t="shared" si="1575"/>
        <v>0.13329585673228345</v>
      </c>
      <c r="K1457" s="4">
        <f t="shared" si="1576"/>
        <v>0.18853371499999999</v>
      </c>
      <c r="L1457" s="13">
        <f t="shared" si="1577"/>
        <v>0.41440041440041459</v>
      </c>
      <c r="M1457" s="3">
        <f t="shared" ref="M1457" si="1630">AVERAGE(I1457:I1458)</f>
        <v>5.696404133858269E-2</v>
      </c>
      <c r="N1457" s="3">
        <f t="shared" ref="N1457" si="1631">AVERAGE(J1457:J1458)</f>
        <v>0.14033868366141733</v>
      </c>
    </row>
    <row r="1458" spans="1:14" x14ac:dyDescent="0.2">
      <c r="A1458" s="4"/>
      <c r="B1458" s="4">
        <v>100</v>
      </c>
      <c r="C1458" s="4">
        <v>8</v>
      </c>
      <c r="D1458" s="23">
        <v>3.2</v>
      </c>
      <c r="E1458" s="23">
        <v>2.35</v>
      </c>
      <c r="F1458" s="23">
        <f t="shared" si="1571"/>
        <v>3.2</v>
      </c>
      <c r="G1458" s="23">
        <f t="shared" si="1572"/>
        <v>2.35</v>
      </c>
      <c r="H1458" s="4">
        <f t="shared" si="1573"/>
        <v>3.8630000000000001E-3</v>
      </c>
      <c r="I1458" s="2">
        <f t="shared" si="1574"/>
        <v>5.8690224409448828E-2</v>
      </c>
      <c r="J1458" s="4">
        <f t="shared" si="1575"/>
        <v>0.14738151059055118</v>
      </c>
      <c r="K1458" s="4">
        <f t="shared" si="1576"/>
        <v>0.20607173500000001</v>
      </c>
      <c r="L1458" s="13">
        <f t="shared" si="1577"/>
        <v>0.39821972358866248</v>
      </c>
      <c r="M1458" s="3"/>
      <c r="N1458" s="3"/>
    </row>
    <row r="1459" spans="1:14" x14ac:dyDescent="0.2">
      <c r="A1459" s="4">
        <v>489321</v>
      </c>
      <c r="B1459" s="4">
        <v>100</v>
      </c>
      <c r="C1459" s="4">
        <v>8</v>
      </c>
      <c r="D1459" s="23">
        <v>3</v>
      </c>
      <c r="E1459" s="23">
        <v>2.2000000000000002</v>
      </c>
      <c r="F1459" s="23">
        <f t="shared" si="1571"/>
        <v>3</v>
      </c>
      <c r="G1459" s="23">
        <f t="shared" si="1572"/>
        <v>2.2000000000000002</v>
      </c>
      <c r="H1459" s="4">
        <f t="shared" si="1573"/>
        <v>3.8630000000000001E-3</v>
      </c>
      <c r="I1459" s="2">
        <f t="shared" si="1574"/>
        <v>5.523785826771653E-2</v>
      </c>
      <c r="J1459" s="4">
        <f t="shared" si="1575"/>
        <v>0.13768036173228351</v>
      </c>
      <c r="K1459" s="4">
        <f t="shared" si="1576"/>
        <v>0.19291822000000003</v>
      </c>
      <c r="L1459" s="13">
        <f t="shared" si="1577"/>
        <v>0.40120361083249734</v>
      </c>
      <c r="M1459" s="3">
        <f t="shared" ref="M1459" si="1632">AVERAGE(I1459:I1460)</f>
        <v>5.5237858267716544E-2</v>
      </c>
      <c r="N1459" s="3">
        <f t="shared" ref="N1459" si="1633">AVERAGE(J1459:J1460)</f>
        <v>0.13110360423228348</v>
      </c>
    </row>
    <row r="1460" spans="1:14" x14ac:dyDescent="0.2">
      <c r="A1460" s="4"/>
      <c r="B1460" s="4">
        <v>100</v>
      </c>
      <c r="C1460" s="4">
        <v>8</v>
      </c>
      <c r="D1460" s="23">
        <v>2.85</v>
      </c>
      <c r="E1460" s="23">
        <v>2.0499999999999998</v>
      </c>
      <c r="F1460" s="23">
        <f t="shared" si="1571"/>
        <v>2.85</v>
      </c>
      <c r="G1460" s="23">
        <f t="shared" si="1572"/>
        <v>2.0499999999999998</v>
      </c>
      <c r="H1460" s="4">
        <f t="shared" si="1573"/>
        <v>3.8630000000000001E-3</v>
      </c>
      <c r="I1460" s="2">
        <f t="shared" si="1574"/>
        <v>5.5237858267716551E-2</v>
      </c>
      <c r="J1460" s="4">
        <f t="shared" si="1575"/>
        <v>0.12452684673228344</v>
      </c>
      <c r="K1460" s="4">
        <f t="shared" si="1576"/>
        <v>0.179764705</v>
      </c>
      <c r="L1460" s="13">
        <f t="shared" si="1577"/>
        <v>0.44358192403659574</v>
      </c>
      <c r="M1460" s="3"/>
      <c r="N1460" s="3"/>
    </row>
    <row r="1461" spans="1:14" x14ac:dyDescent="0.2">
      <c r="A1461" s="4">
        <v>489322</v>
      </c>
      <c r="B1461" s="4">
        <v>100</v>
      </c>
      <c r="C1461" s="4">
        <v>8</v>
      </c>
      <c r="D1461" s="23">
        <v>3.1</v>
      </c>
      <c r="E1461" s="23">
        <v>2.1</v>
      </c>
      <c r="F1461" s="23">
        <f t="shared" si="1571"/>
        <v>3.1</v>
      </c>
      <c r="G1461" s="23">
        <f t="shared" si="1572"/>
        <v>2.1</v>
      </c>
      <c r="H1461" s="4">
        <f t="shared" si="1573"/>
        <v>3.8630000000000001E-3</v>
      </c>
      <c r="I1461" s="2">
        <f t="shared" si="1574"/>
        <v>6.904732283464568E-2</v>
      </c>
      <c r="J1461" s="4">
        <f t="shared" si="1575"/>
        <v>0.11510188716535436</v>
      </c>
      <c r="K1461" s="4">
        <f t="shared" si="1576"/>
        <v>0.18414921000000004</v>
      </c>
      <c r="L1461" s="13">
        <f t="shared" si="1577"/>
        <v>0.59988002399520091</v>
      </c>
      <c r="M1461" s="3">
        <f t="shared" ref="M1461" si="1634">AVERAGE(I1461:I1462)</f>
        <v>7.0773505905511819E-2</v>
      </c>
      <c r="N1461" s="3">
        <f t="shared" ref="N1461" si="1635">AVERAGE(J1461:J1462)</f>
        <v>0.11337570409448822</v>
      </c>
    </row>
    <row r="1462" spans="1:14" x14ac:dyDescent="0.2">
      <c r="A1462" s="4"/>
      <c r="B1462" s="4">
        <v>100</v>
      </c>
      <c r="C1462" s="4">
        <v>8</v>
      </c>
      <c r="D1462" s="23">
        <v>3.15</v>
      </c>
      <c r="E1462" s="23">
        <v>2.1</v>
      </c>
      <c r="F1462" s="23">
        <f t="shared" si="1571"/>
        <v>3.15</v>
      </c>
      <c r="G1462" s="23">
        <f t="shared" si="1572"/>
        <v>2.1</v>
      </c>
      <c r="H1462" s="4">
        <f t="shared" si="1573"/>
        <v>3.8630000000000001E-3</v>
      </c>
      <c r="I1462" s="2">
        <f t="shared" si="1574"/>
        <v>7.2499688976377943E-2</v>
      </c>
      <c r="J1462" s="4">
        <f t="shared" si="1575"/>
        <v>0.11164952102362208</v>
      </c>
      <c r="K1462" s="4">
        <f t="shared" si="1576"/>
        <v>0.18414921000000001</v>
      </c>
      <c r="L1462" s="13">
        <f t="shared" si="1577"/>
        <v>0.64935064935064912</v>
      </c>
      <c r="M1462" s="3"/>
      <c r="N1462" s="3"/>
    </row>
    <row r="1463" spans="1:14" x14ac:dyDescent="0.2">
      <c r="A1463" s="4">
        <v>489323</v>
      </c>
      <c r="B1463" s="4">
        <v>100</v>
      </c>
      <c r="C1463" s="4">
        <v>7</v>
      </c>
      <c r="D1463" s="23">
        <v>4.75</v>
      </c>
      <c r="E1463" s="23">
        <v>2.5</v>
      </c>
      <c r="F1463" s="23">
        <f t="shared" si="1571"/>
        <v>4.75</v>
      </c>
      <c r="G1463" s="23">
        <f t="shared" si="1572"/>
        <v>2.5</v>
      </c>
      <c r="H1463" s="4">
        <f t="shared" si="1573"/>
        <v>9.7450000000000002E-3</v>
      </c>
      <c r="I1463" s="2">
        <f t="shared" si="1574"/>
        <v>0.39191013779527567</v>
      </c>
      <c r="J1463" s="4">
        <f t="shared" si="1575"/>
        <v>0.16111861220472457</v>
      </c>
      <c r="K1463" s="4">
        <f t="shared" si="1576"/>
        <v>0.55302875000000018</v>
      </c>
      <c r="L1463" s="13">
        <f t="shared" si="1577"/>
        <v>2.4324324324324307</v>
      </c>
      <c r="M1463" s="3">
        <f t="shared" ref="M1463" si="1636">AVERAGE(I1463:I1464)</f>
        <v>0.37884646653543308</v>
      </c>
      <c r="N1463" s="3">
        <f t="shared" ref="N1463" si="1637">AVERAGE(J1463:J1464)</f>
        <v>0.22395487096456712</v>
      </c>
    </row>
    <row r="1464" spans="1:14" x14ac:dyDescent="0.2">
      <c r="A1464" s="4"/>
      <c r="B1464" s="4">
        <v>100</v>
      </c>
      <c r="C1464" s="4">
        <v>7</v>
      </c>
      <c r="D1464" s="23">
        <v>5.05</v>
      </c>
      <c r="E1464" s="23">
        <v>2.95</v>
      </c>
      <c r="F1464" s="23">
        <f t="shared" si="1571"/>
        <v>5.05</v>
      </c>
      <c r="G1464" s="23">
        <f t="shared" si="1572"/>
        <v>2.95</v>
      </c>
      <c r="H1464" s="4">
        <f t="shared" si="1573"/>
        <v>9.7450000000000002E-3</v>
      </c>
      <c r="I1464" s="2">
        <f t="shared" si="1574"/>
        <v>0.36578279527559049</v>
      </c>
      <c r="J1464" s="4">
        <f t="shared" si="1575"/>
        <v>0.28679112972440968</v>
      </c>
      <c r="K1464" s="4">
        <f t="shared" si="1576"/>
        <v>0.65257392500000022</v>
      </c>
      <c r="L1464" s="13">
        <f t="shared" si="1577"/>
        <v>1.2754327361068922</v>
      </c>
      <c r="M1464" s="3"/>
      <c r="N1464" s="3"/>
    </row>
    <row r="1465" spans="1:14" x14ac:dyDescent="0.2">
      <c r="A1465" s="4">
        <v>489324</v>
      </c>
      <c r="B1465" s="4">
        <v>100</v>
      </c>
      <c r="C1465" s="4">
        <v>7</v>
      </c>
      <c r="D1465" s="23">
        <v>5.3</v>
      </c>
      <c r="E1465" s="23">
        <v>3</v>
      </c>
      <c r="F1465" s="23">
        <f t="shared" si="1571"/>
        <v>5.3</v>
      </c>
      <c r="G1465" s="23">
        <f t="shared" si="1572"/>
        <v>3</v>
      </c>
      <c r="H1465" s="4">
        <f t="shared" si="1573"/>
        <v>9.7450000000000002E-3</v>
      </c>
      <c r="I1465" s="2">
        <f t="shared" si="1574"/>
        <v>0.40061925196850395</v>
      </c>
      <c r="J1465" s="4">
        <f t="shared" si="1575"/>
        <v>0.26301524803149601</v>
      </c>
      <c r="K1465" s="4">
        <f t="shared" si="1576"/>
        <v>0.66363449999999991</v>
      </c>
      <c r="L1465" s="13">
        <f t="shared" si="1577"/>
        <v>1.5231788079470203</v>
      </c>
      <c r="M1465" s="3">
        <f t="shared" ref="M1465" si="1638">AVERAGE(I1465:I1466)</f>
        <v>0.41368292322834649</v>
      </c>
      <c r="N1465" s="3">
        <f t="shared" ref="N1465" si="1639">AVERAGE(J1465:J1466)</f>
        <v>0.24995157677165353</v>
      </c>
    </row>
    <row r="1466" spans="1:14" x14ac:dyDescent="0.2">
      <c r="A1466" s="4"/>
      <c r="B1466" s="4">
        <v>100</v>
      </c>
      <c r="C1466" s="4">
        <v>7</v>
      </c>
      <c r="D1466" s="23">
        <v>5.45</v>
      </c>
      <c r="E1466" s="23">
        <v>3</v>
      </c>
      <c r="F1466" s="23">
        <f t="shared" si="1571"/>
        <v>5.45</v>
      </c>
      <c r="G1466" s="23">
        <f t="shared" si="1572"/>
        <v>3</v>
      </c>
      <c r="H1466" s="4">
        <f t="shared" si="1573"/>
        <v>9.7450000000000002E-3</v>
      </c>
      <c r="I1466" s="2">
        <f t="shared" si="1574"/>
        <v>0.42674659448818902</v>
      </c>
      <c r="J1466" s="4">
        <f t="shared" si="1575"/>
        <v>0.23688790551181105</v>
      </c>
      <c r="K1466" s="4">
        <f t="shared" si="1576"/>
        <v>0.66363450000000013</v>
      </c>
      <c r="L1466" s="13">
        <f t="shared" si="1577"/>
        <v>1.8014705882352942</v>
      </c>
      <c r="M1466" s="3"/>
      <c r="N1466" s="3"/>
    </row>
    <row r="1467" spans="1:14" x14ac:dyDescent="0.2">
      <c r="A1467" s="4">
        <v>489325</v>
      </c>
      <c r="B1467" s="4">
        <v>100</v>
      </c>
      <c r="C1467" s="4">
        <v>7</v>
      </c>
      <c r="D1467" s="23">
        <v>7.6</v>
      </c>
      <c r="E1467" s="23">
        <v>4.25</v>
      </c>
      <c r="F1467" s="23">
        <f t="shared" si="1571"/>
        <v>7.6</v>
      </c>
      <c r="G1467" s="23">
        <f t="shared" si="1572"/>
        <v>4.25</v>
      </c>
      <c r="H1467" s="4">
        <f t="shared" si="1573"/>
        <v>9.7450000000000002E-3</v>
      </c>
      <c r="I1467" s="2">
        <f t="shared" si="1574"/>
        <v>0.58351064960629917</v>
      </c>
      <c r="J1467" s="4">
        <f t="shared" si="1575"/>
        <v>0.35663822539370088</v>
      </c>
      <c r="K1467" s="4">
        <f t="shared" si="1576"/>
        <v>0.94014887499999999</v>
      </c>
      <c r="L1467" s="13">
        <f t="shared" si="1577"/>
        <v>1.6361416361416357</v>
      </c>
      <c r="M1467" s="3">
        <f t="shared" ref="M1467" si="1640">AVERAGE(I1467:I1468)</f>
        <v>0.59657432086614182</v>
      </c>
      <c r="N1467" s="3">
        <f t="shared" ref="N1467" si="1641">AVERAGE(J1467:J1468)</f>
        <v>0.35463512913385831</v>
      </c>
    </row>
    <row r="1468" spans="1:14" x14ac:dyDescent="0.2">
      <c r="A1468" s="4"/>
      <c r="B1468" s="4">
        <v>100</v>
      </c>
      <c r="C1468" s="4">
        <v>7</v>
      </c>
      <c r="D1468" s="23">
        <v>7.85</v>
      </c>
      <c r="E1468" s="23">
        <v>4.3499999999999996</v>
      </c>
      <c r="F1468" s="23">
        <f t="shared" si="1571"/>
        <v>7.85</v>
      </c>
      <c r="G1468" s="23">
        <f t="shared" si="1572"/>
        <v>4.3499999999999996</v>
      </c>
      <c r="H1468" s="4">
        <f t="shared" si="1573"/>
        <v>9.7450000000000002E-3</v>
      </c>
      <c r="I1468" s="2">
        <f t="shared" si="1574"/>
        <v>0.60963799212598435</v>
      </c>
      <c r="J1468" s="4">
        <f t="shared" si="1575"/>
        <v>0.35263203287401579</v>
      </c>
      <c r="K1468" s="4">
        <f t="shared" si="1576"/>
        <v>0.96227002500000014</v>
      </c>
      <c r="L1468" s="13">
        <f t="shared" si="1577"/>
        <v>1.728821931341072</v>
      </c>
      <c r="M1468" s="3"/>
      <c r="N1468" s="3"/>
    </row>
    <row r="1469" spans="1:14" x14ac:dyDescent="0.2">
      <c r="A1469" s="4">
        <v>489326</v>
      </c>
      <c r="B1469" s="4">
        <v>100</v>
      </c>
      <c r="C1469" s="4">
        <v>7</v>
      </c>
      <c r="D1469" s="23">
        <v>3.7</v>
      </c>
      <c r="E1469" s="23">
        <v>2</v>
      </c>
      <c r="F1469" s="23">
        <f t="shared" ref="F1469:F1490" si="1642">IF($C1469=5,D1469-$D$5,IF($C1469=6,D1469-$D$6,IF($C1469=7,D1469-$D$7,IF($C1469=8,D1469-$D$8,D1469))))</f>
        <v>3.7</v>
      </c>
      <c r="G1469" s="23">
        <f t="shared" ref="G1469:G1490" si="1643">IF($C1469=5,E1469-$D$5,IF($C1469=6,E1469-$D$6,IF($C1469=7,E1469-$D$7,IF($C1469=8,E1469-$D$8,E1469))))</f>
        <v>2</v>
      </c>
      <c r="H1469" s="4">
        <f t="shared" ref="H1469:H1490" si="1644">IF(C1469=1,32.7101,IF(C1469=2,8.14893,IF(C1469=3,1.42818,IF(C1469=4,0.44041,IF(C1469=5,0.123026,IF(C1469=6,0.035767,IF(C1469=7,0.009745,0.003863)))))))</f>
        <v>9.7450000000000002E-3</v>
      </c>
      <c r="I1469" s="2">
        <f t="shared" ref="I1469:I1490" si="1645">H1469*$A$3*(F1469-G1469)*1000/B1469</f>
        <v>0.29610988188976384</v>
      </c>
      <c r="J1469" s="4">
        <f t="shared" ref="J1469:J1490" si="1646">2.27*($A$3*G1469-($A$3-1)*F1469)*H1469*1000/B1469</f>
        <v>0.14631311811023626</v>
      </c>
      <c r="K1469" s="4">
        <f t="shared" ref="K1469:K1490" si="1647">(I1469+J1469)</f>
        <v>0.44242300000000012</v>
      </c>
      <c r="L1469" s="13">
        <f t="shared" ref="L1469:L1490" si="1648">(I1469/J1469)</f>
        <v>2.0238095238095237</v>
      </c>
      <c r="M1469" s="3">
        <f t="shared" ref="M1469" si="1649">AVERAGE(I1469:I1470)</f>
        <v>0.30481899606299223</v>
      </c>
      <c r="N1469" s="3">
        <f t="shared" ref="N1469" si="1650">AVERAGE(J1469:J1470)</f>
        <v>0.15419486643700786</v>
      </c>
    </row>
    <row r="1470" spans="1:14" x14ac:dyDescent="0.2">
      <c r="A1470" s="4"/>
      <c r="B1470" s="4">
        <v>100</v>
      </c>
      <c r="C1470" s="4">
        <v>7</v>
      </c>
      <c r="D1470" s="23">
        <v>3.95</v>
      </c>
      <c r="E1470" s="23">
        <v>2.15</v>
      </c>
      <c r="F1470" s="23">
        <f t="shared" si="1642"/>
        <v>3.95</v>
      </c>
      <c r="G1470" s="23">
        <f t="shared" si="1643"/>
        <v>2.15</v>
      </c>
      <c r="H1470" s="4">
        <f t="shared" si="1644"/>
        <v>9.7450000000000002E-3</v>
      </c>
      <c r="I1470" s="2">
        <f t="shared" si="1645"/>
        <v>0.31352811023622057</v>
      </c>
      <c r="J1470" s="4">
        <f t="shared" si="1646"/>
        <v>0.16207661476377949</v>
      </c>
      <c r="K1470" s="4">
        <f t="shared" si="1647"/>
        <v>0.47560472500000006</v>
      </c>
      <c r="L1470" s="13">
        <f t="shared" si="1648"/>
        <v>1.9344438473938752</v>
      </c>
      <c r="M1470" s="3"/>
      <c r="N1470" s="3"/>
    </row>
    <row r="1471" spans="1:14" x14ac:dyDescent="0.2">
      <c r="A1471" s="4">
        <v>489327</v>
      </c>
      <c r="B1471" s="4">
        <v>100</v>
      </c>
      <c r="C1471" s="4">
        <v>7</v>
      </c>
      <c r="D1471" s="23">
        <v>3</v>
      </c>
      <c r="E1471" s="23">
        <v>1.6</v>
      </c>
      <c r="F1471" s="23">
        <f t="shared" si="1642"/>
        <v>3</v>
      </c>
      <c r="G1471" s="23">
        <f t="shared" si="1643"/>
        <v>1.6</v>
      </c>
      <c r="H1471" s="4">
        <f t="shared" si="1644"/>
        <v>9.7450000000000002E-3</v>
      </c>
      <c r="I1471" s="2">
        <f t="shared" si="1645"/>
        <v>0.2438551968503937</v>
      </c>
      <c r="J1471" s="4">
        <f t="shared" si="1646"/>
        <v>0.11008320314960636</v>
      </c>
      <c r="K1471" s="4">
        <f t="shared" si="1647"/>
        <v>0.35393840000000004</v>
      </c>
      <c r="L1471" s="13">
        <f t="shared" si="1648"/>
        <v>2.2151898734177204</v>
      </c>
      <c r="M1471" s="3">
        <f t="shared" ref="M1471" si="1651">AVERAGE(I1471:I1472)</f>
        <v>0.23514608267716536</v>
      </c>
      <c r="N1471" s="3">
        <f t="shared" ref="N1471" si="1652">AVERAGE(J1471:J1472)</f>
        <v>0.10773174232283467</v>
      </c>
    </row>
    <row r="1472" spans="1:14" x14ac:dyDescent="0.2">
      <c r="A1472" s="4"/>
      <c r="B1472" s="4">
        <v>100</v>
      </c>
      <c r="C1472" s="4">
        <v>7</v>
      </c>
      <c r="D1472" s="23">
        <v>2.8</v>
      </c>
      <c r="E1472" s="23">
        <v>1.5</v>
      </c>
      <c r="F1472" s="23">
        <f t="shared" si="1642"/>
        <v>2.8</v>
      </c>
      <c r="G1472" s="23">
        <f t="shared" si="1643"/>
        <v>1.5</v>
      </c>
      <c r="H1472" s="4">
        <f t="shared" si="1644"/>
        <v>9.7450000000000002E-3</v>
      </c>
      <c r="I1472" s="2">
        <f t="shared" si="1645"/>
        <v>0.22643696850393699</v>
      </c>
      <c r="J1472" s="4">
        <f t="shared" si="1646"/>
        <v>0.10538028149606299</v>
      </c>
      <c r="K1472" s="4">
        <f t="shared" si="1647"/>
        <v>0.33181724999999995</v>
      </c>
      <c r="L1472" s="13">
        <f t="shared" si="1648"/>
        <v>2.1487603305785123</v>
      </c>
      <c r="M1472" s="3"/>
      <c r="N1472" s="3"/>
    </row>
    <row r="1473" spans="1:14" x14ac:dyDescent="0.2">
      <c r="A1473" s="4">
        <v>489329</v>
      </c>
      <c r="B1473" s="4">
        <v>100</v>
      </c>
      <c r="C1473" s="4">
        <v>8</v>
      </c>
      <c r="D1473" s="23">
        <v>3.8</v>
      </c>
      <c r="E1473" s="23">
        <v>2.9</v>
      </c>
      <c r="F1473" s="23">
        <f t="shared" si="1642"/>
        <v>3.8</v>
      </c>
      <c r="G1473" s="23">
        <f t="shared" si="1643"/>
        <v>2.9</v>
      </c>
      <c r="H1473" s="4">
        <f t="shared" si="1644"/>
        <v>3.8630000000000001E-3</v>
      </c>
      <c r="I1473" s="2">
        <f t="shared" si="1645"/>
        <v>6.2142590551181091E-2</v>
      </c>
      <c r="J1473" s="4">
        <f t="shared" si="1646"/>
        <v>0.19215869944881894</v>
      </c>
      <c r="K1473" s="4">
        <f t="shared" si="1647"/>
        <v>0.25430129000000001</v>
      </c>
      <c r="L1473" s="13">
        <f t="shared" si="1648"/>
        <v>0.32339202299676595</v>
      </c>
      <c r="M1473" s="3">
        <f t="shared" ref="M1473" si="1653">AVERAGE(I1473:I1474)</f>
        <v>6.5594956692913389E-2</v>
      </c>
      <c r="N1473" s="3">
        <f t="shared" ref="N1473" si="1654">AVERAGE(J1473:J1474)</f>
        <v>0.18432182830708663</v>
      </c>
    </row>
    <row r="1474" spans="1:14" x14ac:dyDescent="0.2">
      <c r="A1474" s="4"/>
      <c r="B1474" s="4">
        <v>100</v>
      </c>
      <c r="C1474" s="4">
        <v>8</v>
      </c>
      <c r="D1474" s="23">
        <v>3.8</v>
      </c>
      <c r="E1474" s="23">
        <v>2.8</v>
      </c>
      <c r="F1474" s="23">
        <f t="shared" si="1642"/>
        <v>3.8</v>
      </c>
      <c r="G1474" s="23">
        <f t="shared" si="1643"/>
        <v>2.8</v>
      </c>
      <c r="H1474" s="4">
        <f t="shared" si="1644"/>
        <v>3.8630000000000001E-3</v>
      </c>
      <c r="I1474" s="2">
        <f t="shared" si="1645"/>
        <v>6.904732283464568E-2</v>
      </c>
      <c r="J1474" s="4">
        <f t="shared" si="1646"/>
        <v>0.17648495716535431</v>
      </c>
      <c r="K1474" s="4">
        <f t="shared" si="1647"/>
        <v>0.24553227999999999</v>
      </c>
      <c r="L1474" s="13">
        <f t="shared" si="1648"/>
        <v>0.39123630672926457</v>
      </c>
      <c r="M1474" s="3"/>
      <c r="N1474" s="3"/>
    </row>
    <row r="1475" spans="1:14" x14ac:dyDescent="0.2">
      <c r="A1475" s="4">
        <v>489330</v>
      </c>
      <c r="B1475" s="4">
        <v>100</v>
      </c>
      <c r="C1475" s="4">
        <v>8</v>
      </c>
      <c r="D1475" s="23">
        <v>3.35</v>
      </c>
      <c r="E1475" s="23">
        <v>2.5499999999999998</v>
      </c>
      <c r="F1475" s="23">
        <f t="shared" si="1642"/>
        <v>3.35</v>
      </c>
      <c r="G1475" s="23">
        <f t="shared" si="1643"/>
        <v>2.5499999999999998</v>
      </c>
      <c r="H1475" s="4">
        <f t="shared" si="1644"/>
        <v>3.8630000000000001E-3</v>
      </c>
      <c r="I1475" s="2">
        <f t="shared" si="1645"/>
        <v>5.5237858267716551E-2</v>
      </c>
      <c r="J1475" s="4">
        <f t="shared" si="1646"/>
        <v>0.16837189673228348</v>
      </c>
      <c r="K1475" s="4">
        <f t="shared" si="1647"/>
        <v>0.22360975500000002</v>
      </c>
      <c r="L1475" s="13">
        <f t="shared" si="1648"/>
        <v>0.32807053516506057</v>
      </c>
      <c r="M1475" s="3">
        <f t="shared" ref="M1475" si="1655">AVERAGE(I1475:I1476)</f>
        <v>5.5237858267716544E-2</v>
      </c>
      <c r="N1475" s="3">
        <f t="shared" ref="N1475" si="1656">AVERAGE(J1475:J1476)</f>
        <v>0.16398739173228349</v>
      </c>
    </row>
    <row r="1476" spans="1:14" x14ac:dyDescent="0.2">
      <c r="A1476" s="4"/>
      <c r="B1476" s="4">
        <v>100</v>
      </c>
      <c r="C1476" s="4">
        <v>8</v>
      </c>
      <c r="D1476" s="23">
        <v>3.25</v>
      </c>
      <c r="E1476" s="23">
        <v>2.4500000000000002</v>
      </c>
      <c r="F1476" s="23">
        <f t="shared" si="1642"/>
        <v>3.25</v>
      </c>
      <c r="G1476" s="23">
        <f t="shared" si="1643"/>
        <v>2.4500000000000002</v>
      </c>
      <c r="H1476" s="4">
        <f t="shared" si="1644"/>
        <v>3.8630000000000001E-3</v>
      </c>
      <c r="I1476" s="2">
        <f t="shared" si="1645"/>
        <v>5.523785826771653E-2</v>
      </c>
      <c r="J1476" s="4">
        <f t="shared" si="1646"/>
        <v>0.15960288673228351</v>
      </c>
      <c r="K1476" s="4">
        <f t="shared" si="1647"/>
        <v>0.21484074500000006</v>
      </c>
      <c r="L1476" s="13">
        <f t="shared" si="1648"/>
        <v>0.34609560891196178</v>
      </c>
      <c r="M1476" s="3"/>
      <c r="N1476" s="3"/>
    </row>
    <row r="1477" spans="1:14" x14ac:dyDescent="0.2">
      <c r="A1477" s="4">
        <v>489331</v>
      </c>
      <c r="B1477" s="4">
        <v>100</v>
      </c>
      <c r="C1477" s="4">
        <v>8</v>
      </c>
      <c r="D1477" s="23">
        <v>4.5</v>
      </c>
      <c r="E1477" s="23">
        <v>3</v>
      </c>
      <c r="F1477" s="23">
        <f t="shared" si="1642"/>
        <v>4.5</v>
      </c>
      <c r="G1477" s="23">
        <f t="shared" si="1643"/>
        <v>3</v>
      </c>
      <c r="H1477" s="4">
        <f t="shared" si="1644"/>
        <v>3.8630000000000001E-3</v>
      </c>
      <c r="I1477" s="2">
        <f t="shared" si="1645"/>
        <v>0.10357098425196851</v>
      </c>
      <c r="J1477" s="4">
        <f t="shared" si="1646"/>
        <v>0.15949931574803147</v>
      </c>
      <c r="K1477" s="4">
        <f t="shared" si="1647"/>
        <v>0.26307029999999998</v>
      </c>
      <c r="L1477" s="13">
        <f t="shared" si="1648"/>
        <v>0.64935064935064946</v>
      </c>
      <c r="M1477" s="3">
        <f t="shared" ref="M1477" si="1657">AVERAGE(I1477:I1478)</f>
        <v>0.10357098425196851</v>
      </c>
      <c r="N1477" s="3">
        <f t="shared" ref="N1477" si="1658">AVERAGE(J1477:J1478)</f>
        <v>0.14853805324803149</v>
      </c>
    </row>
    <row r="1478" spans="1:14" x14ac:dyDescent="0.2">
      <c r="A1478" s="4"/>
      <c r="B1478" s="4">
        <v>100</v>
      </c>
      <c r="C1478" s="4">
        <v>8</v>
      </c>
      <c r="D1478" s="23">
        <v>4.25</v>
      </c>
      <c r="E1478" s="23">
        <v>2.75</v>
      </c>
      <c r="F1478" s="23">
        <f t="shared" si="1642"/>
        <v>4.25</v>
      </c>
      <c r="G1478" s="23">
        <f t="shared" si="1643"/>
        <v>2.75</v>
      </c>
      <c r="H1478" s="4">
        <f t="shared" si="1644"/>
        <v>3.8630000000000001E-3</v>
      </c>
      <c r="I1478" s="2">
        <f t="shared" si="1645"/>
        <v>0.10357098425196851</v>
      </c>
      <c r="J1478" s="4">
        <f t="shared" si="1646"/>
        <v>0.13757679074803147</v>
      </c>
      <c r="K1478" s="4">
        <f t="shared" si="1647"/>
        <v>0.24114777499999998</v>
      </c>
      <c r="L1478" s="13">
        <f t="shared" si="1648"/>
        <v>0.75282308657465513</v>
      </c>
      <c r="M1478" s="3"/>
      <c r="N1478" s="3"/>
    </row>
    <row r="1479" spans="1:14" x14ac:dyDescent="0.2">
      <c r="A1479" s="4">
        <v>489332</v>
      </c>
      <c r="B1479" s="4">
        <v>100</v>
      </c>
      <c r="C1479" s="4">
        <v>7</v>
      </c>
      <c r="D1479" s="23">
        <v>4.0999999999999996</v>
      </c>
      <c r="E1479" s="23">
        <v>2.35</v>
      </c>
      <c r="F1479" s="23">
        <f t="shared" si="1642"/>
        <v>4.0999999999999996</v>
      </c>
      <c r="G1479" s="23">
        <f t="shared" si="1643"/>
        <v>2.35</v>
      </c>
      <c r="H1479" s="4">
        <f t="shared" si="1644"/>
        <v>9.7450000000000002E-3</v>
      </c>
      <c r="I1479" s="2">
        <f t="shared" si="1645"/>
        <v>0.30481899606299206</v>
      </c>
      <c r="J1479" s="4">
        <f t="shared" si="1646"/>
        <v>0.21502802893700795</v>
      </c>
      <c r="K1479" s="4">
        <f t="shared" si="1647"/>
        <v>0.51984702500000002</v>
      </c>
      <c r="L1479" s="13">
        <f t="shared" si="1648"/>
        <v>1.4175779667881725</v>
      </c>
      <c r="M1479" s="3">
        <f t="shared" ref="M1479" si="1659">AVERAGE(I1479:I1480)</f>
        <v>0.30481899606299206</v>
      </c>
      <c r="N1479" s="3">
        <f t="shared" ref="N1479" si="1660">AVERAGE(J1479:J1480)</f>
        <v>0.24267946643700797</v>
      </c>
    </row>
    <row r="1480" spans="1:14" x14ac:dyDescent="0.2">
      <c r="A1480" s="4"/>
      <c r="B1480" s="4">
        <v>100</v>
      </c>
      <c r="C1480" s="4">
        <v>7</v>
      </c>
      <c r="D1480" s="23">
        <v>4.3499999999999996</v>
      </c>
      <c r="E1480" s="23">
        <v>2.6</v>
      </c>
      <c r="F1480" s="23">
        <f t="shared" si="1642"/>
        <v>4.3499999999999996</v>
      </c>
      <c r="G1480" s="23">
        <f t="shared" si="1643"/>
        <v>2.6</v>
      </c>
      <c r="H1480" s="4">
        <f t="shared" si="1644"/>
        <v>9.7450000000000002E-3</v>
      </c>
      <c r="I1480" s="2">
        <f t="shared" si="1645"/>
        <v>0.30481899606299206</v>
      </c>
      <c r="J1480" s="4">
        <f t="shared" si="1646"/>
        <v>0.27033090393700798</v>
      </c>
      <c r="K1480" s="4">
        <f t="shared" si="1647"/>
        <v>0.57514989999999999</v>
      </c>
      <c r="L1480" s="13">
        <f t="shared" si="1648"/>
        <v>1.1275773195876282</v>
      </c>
      <c r="M1480" s="3"/>
      <c r="N1480" s="3"/>
    </row>
    <row r="1481" spans="1:14" x14ac:dyDescent="0.2">
      <c r="A1481" s="4">
        <v>489333</v>
      </c>
      <c r="B1481" s="4">
        <v>100</v>
      </c>
      <c r="C1481" s="4">
        <v>7</v>
      </c>
      <c r="D1481" s="23">
        <v>6.15</v>
      </c>
      <c r="E1481" s="23">
        <v>3.4</v>
      </c>
      <c r="F1481" s="23">
        <f t="shared" si="1642"/>
        <v>6.15</v>
      </c>
      <c r="G1481" s="23">
        <f t="shared" si="1643"/>
        <v>3.4</v>
      </c>
      <c r="H1481" s="4">
        <f t="shared" si="1644"/>
        <v>9.7450000000000002E-3</v>
      </c>
      <c r="I1481" s="2">
        <f t="shared" si="1645"/>
        <v>0.47900127952755917</v>
      </c>
      <c r="J1481" s="4">
        <f t="shared" si="1646"/>
        <v>0.27311782047244093</v>
      </c>
      <c r="K1481" s="4">
        <f t="shared" si="1647"/>
        <v>0.75211910000000004</v>
      </c>
      <c r="L1481" s="13">
        <f t="shared" si="1648"/>
        <v>1.7538265306122454</v>
      </c>
      <c r="M1481" s="3">
        <f t="shared" ref="M1481" si="1661">AVERAGE(I1481:I1482)</f>
        <v>0.48771039370078739</v>
      </c>
      <c r="N1481" s="3">
        <f t="shared" ref="N1481" si="1662">AVERAGE(J1481:J1482)</f>
        <v>0.26993899379921266</v>
      </c>
    </row>
    <row r="1482" spans="1:14" x14ac:dyDescent="0.2">
      <c r="A1482" s="4"/>
      <c r="B1482" s="4">
        <v>100</v>
      </c>
      <c r="C1482" s="4">
        <v>7</v>
      </c>
      <c r="D1482" s="23">
        <v>6.3</v>
      </c>
      <c r="E1482" s="23">
        <v>3.45</v>
      </c>
      <c r="F1482" s="23">
        <f t="shared" si="1642"/>
        <v>6.3</v>
      </c>
      <c r="G1482" s="23">
        <f t="shared" si="1643"/>
        <v>3.45</v>
      </c>
      <c r="H1482" s="4">
        <f t="shared" si="1644"/>
        <v>9.7450000000000002E-3</v>
      </c>
      <c r="I1482" s="2">
        <f t="shared" si="1645"/>
        <v>0.49641950787401568</v>
      </c>
      <c r="J1482" s="4">
        <f t="shared" si="1646"/>
        <v>0.26676016712598438</v>
      </c>
      <c r="K1482" s="4">
        <f t="shared" si="1647"/>
        <v>0.76317967500000006</v>
      </c>
      <c r="L1482" s="13">
        <f t="shared" si="1648"/>
        <v>1.8609206660137108</v>
      </c>
      <c r="M1482" s="3"/>
      <c r="N1482" s="3"/>
    </row>
    <row r="1483" spans="1:14" x14ac:dyDescent="0.2">
      <c r="A1483" s="4">
        <v>489334</v>
      </c>
      <c r="B1483" s="4">
        <v>100</v>
      </c>
      <c r="C1483" s="4">
        <v>6</v>
      </c>
      <c r="D1483" s="23">
        <v>2.4</v>
      </c>
      <c r="E1483" s="23">
        <v>1.2</v>
      </c>
      <c r="F1483" s="23">
        <f t="shared" si="1642"/>
        <v>2.4</v>
      </c>
      <c r="G1483" s="23">
        <f t="shared" si="1643"/>
        <v>1.2</v>
      </c>
      <c r="H1483" s="4">
        <f t="shared" si="1644"/>
        <v>3.5767E-2</v>
      </c>
      <c r="I1483" s="2">
        <f t="shared" si="1645"/>
        <v>0.7671599055118109</v>
      </c>
      <c r="J1483" s="4">
        <f t="shared" si="1646"/>
        <v>0.20713317448818905</v>
      </c>
      <c r="K1483" s="4">
        <f t="shared" si="1647"/>
        <v>0.97429307999999992</v>
      </c>
      <c r="L1483" s="13">
        <f t="shared" si="1648"/>
        <v>3.7037037037037019</v>
      </c>
      <c r="M1483" s="3">
        <f t="shared" ref="M1483" si="1663">AVERAGE(I1483:I1484)</f>
        <v>0.73519490944881893</v>
      </c>
      <c r="N1483" s="3">
        <f t="shared" ref="N1483" si="1664">AVERAGE(J1483:J1484)</f>
        <v>0.25939594305118124</v>
      </c>
    </row>
    <row r="1484" spans="1:14" x14ac:dyDescent="0.2">
      <c r="A1484" s="4"/>
      <c r="B1484" s="4">
        <v>100</v>
      </c>
      <c r="C1484" s="4">
        <v>6</v>
      </c>
      <c r="D1484" s="23">
        <v>2.35</v>
      </c>
      <c r="E1484" s="23">
        <v>1.25</v>
      </c>
      <c r="F1484" s="23">
        <f t="shared" si="1642"/>
        <v>2.35</v>
      </c>
      <c r="G1484" s="23">
        <f t="shared" si="1643"/>
        <v>1.25</v>
      </c>
      <c r="H1484" s="4">
        <f t="shared" si="1644"/>
        <v>3.5767E-2</v>
      </c>
      <c r="I1484" s="2">
        <f t="shared" si="1645"/>
        <v>0.70322991338582697</v>
      </c>
      <c r="J1484" s="4">
        <f t="shared" si="1646"/>
        <v>0.31165871161417341</v>
      </c>
      <c r="K1484" s="4">
        <f t="shared" si="1647"/>
        <v>1.0148886250000004</v>
      </c>
      <c r="L1484" s="13">
        <f t="shared" si="1648"/>
        <v>2.2564102564102555</v>
      </c>
      <c r="M1484" s="3"/>
      <c r="N1484" s="3"/>
    </row>
    <row r="1485" spans="1:14" x14ac:dyDescent="0.2">
      <c r="A1485" s="4">
        <v>489335</v>
      </c>
      <c r="B1485" s="4">
        <v>100</v>
      </c>
      <c r="C1485" s="4">
        <v>7</v>
      </c>
      <c r="D1485" s="23">
        <v>3.8</v>
      </c>
      <c r="E1485" s="23">
        <v>2.1</v>
      </c>
      <c r="F1485" s="23">
        <f t="shared" si="1642"/>
        <v>3.8</v>
      </c>
      <c r="G1485" s="23">
        <f t="shared" si="1643"/>
        <v>2.1</v>
      </c>
      <c r="H1485" s="4">
        <f t="shared" si="1644"/>
        <v>9.7450000000000002E-3</v>
      </c>
      <c r="I1485" s="2">
        <f t="shared" si="1645"/>
        <v>0.29610988188976373</v>
      </c>
      <c r="J1485" s="4">
        <f t="shared" si="1646"/>
        <v>0.16843426811023629</v>
      </c>
      <c r="K1485" s="4">
        <f t="shared" si="1647"/>
        <v>0.46454415000000004</v>
      </c>
      <c r="L1485" s="13">
        <f t="shared" si="1648"/>
        <v>1.7580144777662865</v>
      </c>
      <c r="M1485" s="3">
        <f t="shared" ref="M1485" si="1665">AVERAGE(I1485:I1486)</f>
        <v>0.28740076771653544</v>
      </c>
      <c r="N1485" s="3">
        <f t="shared" ref="N1485" si="1666">AVERAGE(J1485:J1486)</f>
        <v>0.15502223228346462</v>
      </c>
    </row>
    <row r="1486" spans="1:14" x14ac:dyDescent="0.2">
      <c r="A1486" s="4"/>
      <c r="B1486" s="4">
        <v>100</v>
      </c>
      <c r="C1486" s="4">
        <v>7</v>
      </c>
      <c r="D1486" s="23">
        <v>3.5</v>
      </c>
      <c r="E1486" s="23">
        <v>1.9</v>
      </c>
      <c r="F1486" s="23">
        <f t="shared" si="1642"/>
        <v>3.5</v>
      </c>
      <c r="G1486" s="23">
        <f t="shared" si="1643"/>
        <v>1.9</v>
      </c>
      <c r="H1486" s="4">
        <f t="shared" si="1644"/>
        <v>9.7450000000000002E-3</v>
      </c>
      <c r="I1486" s="2">
        <f t="shared" si="1645"/>
        <v>0.27869165354330711</v>
      </c>
      <c r="J1486" s="4">
        <f t="shared" si="1646"/>
        <v>0.14161019645669298</v>
      </c>
      <c r="K1486" s="4">
        <f t="shared" si="1647"/>
        <v>0.42030185000000009</v>
      </c>
      <c r="L1486" s="13">
        <f t="shared" si="1648"/>
        <v>1.9680196801968011</v>
      </c>
      <c r="M1486" s="3"/>
      <c r="N1486" s="3"/>
    </row>
    <row r="1487" spans="1:14" x14ac:dyDescent="0.2">
      <c r="A1487" s="4">
        <v>489336</v>
      </c>
      <c r="B1487" s="4">
        <v>100</v>
      </c>
      <c r="C1487" s="4">
        <v>7</v>
      </c>
      <c r="D1487" s="23">
        <v>2.85</v>
      </c>
      <c r="E1487" s="23">
        <v>1.55</v>
      </c>
      <c r="F1487" s="23">
        <f t="shared" si="1642"/>
        <v>2.85</v>
      </c>
      <c r="G1487" s="23">
        <f t="shared" si="1643"/>
        <v>1.55</v>
      </c>
      <c r="H1487" s="4">
        <f t="shared" si="1644"/>
        <v>9.7450000000000002E-3</v>
      </c>
      <c r="I1487" s="2">
        <f t="shared" si="1645"/>
        <v>0.22643696850393705</v>
      </c>
      <c r="J1487" s="4">
        <f t="shared" si="1646"/>
        <v>0.11644085649606296</v>
      </c>
      <c r="K1487" s="4">
        <f t="shared" si="1647"/>
        <v>0.34287782500000002</v>
      </c>
      <c r="L1487" s="13">
        <f t="shared" si="1648"/>
        <v>1.944652206432312</v>
      </c>
      <c r="M1487" s="3">
        <f t="shared" ref="M1487" si="1667">AVERAGE(I1487:I1488)</f>
        <v>0.23079152559055122</v>
      </c>
      <c r="N1487" s="3">
        <f t="shared" ref="N1487" si="1668">AVERAGE(J1487:J1488)</f>
        <v>0.11208629940944879</v>
      </c>
    </row>
    <row r="1488" spans="1:14" x14ac:dyDescent="0.2">
      <c r="A1488" s="4"/>
      <c r="B1488" s="4">
        <v>100</v>
      </c>
      <c r="C1488" s="4">
        <v>7</v>
      </c>
      <c r="D1488" s="23">
        <v>2.9</v>
      </c>
      <c r="E1488" s="23">
        <v>1.55</v>
      </c>
      <c r="F1488" s="23">
        <f t="shared" si="1642"/>
        <v>2.9</v>
      </c>
      <c r="G1488" s="23">
        <f t="shared" si="1643"/>
        <v>1.55</v>
      </c>
      <c r="H1488" s="4">
        <f t="shared" si="1644"/>
        <v>9.7450000000000002E-3</v>
      </c>
      <c r="I1488" s="2">
        <f t="shared" si="1645"/>
        <v>0.23514608267716536</v>
      </c>
      <c r="J1488" s="4">
        <f t="shared" si="1646"/>
        <v>0.10773174232283463</v>
      </c>
      <c r="K1488" s="4">
        <f t="shared" si="1647"/>
        <v>0.34287782499999997</v>
      </c>
      <c r="L1488" s="13">
        <f t="shared" si="1648"/>
        <v>2.182700080840744</v>
      </c>
      <c r="M1488" s="3"/>
      <c r="N1488" s="3"/>
    </row>
    <row r="1489" spans="1:14" x14ac:dyDescent="0.2">
      <c r="A1489" s="4">
        <v>489337</v>
      </c>
      <c r="B1489" s="4">
        <v>100</v>
      </c>
      <c r="C1489" s="4">
        <v>7</v>
      </c>
      <c r="D1489" s="23">
        <v>3.3</v>
      </c>
      <c r="E1489" s="23">
        <v>1.7</v>
      </c>
      <c r="F1489" s="23">
        <f t="shared" si="1642"/>
        <v>3.3</v>
      </c>
      <c r="G1489" s="23">
        <f t="shared" si="1643"/>
        <v>1.7</v>
      </c>
      <c r="H1489" s="4">
        <f t="shared" si="1644"/>
        <v>9.7450000000000002E-3</v>
      </c>
      <c r="I1489" s="2">
        <f t="shared" si="1645"/>
        <v>0.27869165354330705</v>
      </c>
      <c r="J1489" s="4">
        <f t="shared" si="1646"/>
        <v>9.7367896456692971E-2</v>
      </c>
      <c r="K1489" s="4">
        <f t="shared" si="1647"/>
        <v>0.37605955000000002</v>
      </c>
      <c r="L1489" s="13">
        <f t="shared" si="1648"/>
        <v>2.8622540250447206</v>
      </c>
      <c r="M1489" s="3">
        <f t="shared" ref="M1489" si="1669">AVERAGE(I1489:I1490)</f>
        <v>0.27869165354330705</v>
      </c>
      <c r="N1489" s="3">
        <f t="shared" ref="N1489" si="1670">AVERAGE(J1489:J1490)</f>
        <v>9.1837608956692934E-2</v>
      </c>
    </row>
    <row r="1490" spans="1:14" x14ac:dyDescent="0.2">
      <c r="B1490" s="4">
        <v>100</v>
      </c>
      <c r="C1490" s="4">
        <v>7</v>
      </c>
      <c r="D1490" s="23">
        <v>3.25</v>
      </c>
      <c r="E1490" s="23">
        <v>1.65</v>
      </c>
      <c r="F1490" s="23">
        <f t="shared" si="1642"/>
        <v>3.25</v>
      </c>
      <c r="G1490" s="23">
        <f t="shared" si="1643"/>
        <v>1.65</v>
      </c>
      <c r="H1490" s="4">
        <f t="shared" si="1644"/>
        <v>9.7450000000000002E-3</v>
      </c>
      <c r="I1490" s="2">
        <f t="shared" si="1645"/>
        <v>0.27869165354330711</v>
      </c>
      <c r="J1490" s="4">
        <f t="shared" si="1646"/>
        <v>8.6307321456692898E-2</v>
      </c>
      <c r="K1490" s="4">
        <f t="shared" si="1647"/>
        <v>0.364998975</v>
      </c>
      <c r="L1490" s="13">
        <f t="shared" si="1648"/>
        <v>3.2290615539858738</v>
      </c>
      <c r="M1490" s="3"/>
      <c r="N1490" s="3"/>
    </row>
    <row r="1491" spans="1:14" x14ac:dyDescent="0.2">
      <c r="B1491" s="4"/>
      <c r="C1491" s="4"/>
      <c r="D1491" s="23"/>
      <c r="E1491" s="23"/>
      <c r="F1491" s="23"/>
      <c r="G1491" s="23"/>
    </row>
    <row r="1492" spans="1:14" x14ac:dyDescent="0.2">
      <c r="A1492" s="4"/>
      <c r="B1492" s="4"/>
      <c r="C1492" s="4"/>
      <c r="D1492" s="23"/>
      <c r="E1492" s="23"/>
      <c r="F1492" s="23"/>
      <c r="G1492" s="23"/>
    </row>
    <row r="1493" spans="1:14" x14ac:dyDescent="0.2">
      <c r="A1493" s="4"/>
      <c r="B1493" s="4"/>
      <c r="C1493" s="4"/>
      <c r="D1493" s="23"/>
      <c r="E1493" s="23"/>
      <c r="F1493" s="23"/>
      <c r="G1493" s="23"/>
    </row>
    <row r="1494" spans="1:14" x14ac:dyDescent="0.2">
      <c r="A1494" s="4"/>
      <c r="B1494" s="4"/>
      <c r="C1494" s="4"/>
      <c r="D1494" s="23"/>
      <c r="E1494" s="23"/>
      <c r="F1494" s="23"/>
      <c r="G1494" s="23"/>
    </row>
    <row r="1495" spans="1:14" x14ac:dyDescent="0.2">
      <c r="A1495" s="4"/>
      <c r="B1495" s="4"/>
      <c r="C1495" s="4"/>
      <c r="D1495" s="23"/>
      <c r="E1495" s="23"/>
      <c r="F1495" s="23"/>
      <c r="G1495" s="23"/>
    </row>
    <row r="1496" spans="1:14" x14ac:dyDescent="0.2">
      <c r="A1496" s="4"/>
      <c r="B1496" s="4"/>
      <c r="C1496" s="4"/>
      <c r="D1496" s="23"/>
      <c r="E1496" s="23"/>
      <c r="F1496" s="23"/>
      <c r="G1496" s="23"/>
    </row>
    <row r="1497" spans="1:14" x14ac:dyDescent="0.2">
      <c r="A1497" s="4"/>
      <c r="B1497" s="4"/>
      <c r="C1497" s="4"/>
      <c r="D1497" s="23"/>
      <c r="E1497" s="23"/>
      <c r="F1497" s="23"/>
      <c r="G1497" s="23"/>
    </row>
    <row r="1498" spans="1:14" x14ac:dyDescent="0.2">
      <c r="A1498" s="4"/>
      <c r="B1498" s="4"/>
      <c r="C1498" s="4"/>
      <c r="D1498" s="23"/>
      <c r="E1498" s="23"/>
      <c r="F1498" s="23"/>
      <c r="G1498" s="23"/>
    </row>
    <row r="1499" spans="1:14" x14ac:dyDescent="0.2">
      <c r="A1499" s="4"/>
      <c r="B1499" s="4"/>
      <c r="C1499" s="4"/>
      <c r="D1499" s="23"/>
      <c r="E1499" s="23"/>
      <c r="F1499" s="23"/>
      <c r="G1499" s="23"/>
    </row>
    <row r="1500" spans="1:14" x14ac:dyDescent="0.2">
      <c r="A1500" s="4"/>
      <c r="B1500" s="4"/>
      <c r="C1500" s="4"/>
      <c r="D1500" s="23"/>
      <c r="E1500" s="23"/>
      <c r="F1500" s="23"/>
      <c r="G1500" s="23"/>
    </row>
    <row r="1501" spans="1:14" x14ac:dyDescent="0.2">
      <c r="A1501" s="4"/>
      <c r="B1501" s="4"/>
      <c r="C1501" s="4"/>
      <c r="D1501" s="23"/>
      <c r="E1501" s="23"/>
      <c r="F1501" s="23"/>
      <c r="G1501" s="23"/>
    </row>
    <row r="1502" spans="1:14" x14ac:dyDescent="0.2">
      <c r="A1502" s="4"/>
      <c r="B1502" s="4"/>
      <c r="C1502" s="4"/>
      <c r="D1502" s="23"/>
      <c r="E1502" s="23"/>
      <c r="F1502" s="23"/>
      <c r="G1502" s="23"/>
    </row>
    <row r="1503" spans="1:14" x14ac:dyDescent="0.2">
      <c r="A1503" s="4"/>
      <c r="B1503" s="4"/>
      <c r="C1503" s="4"/>
      <c r="D1503" s="23"/>
      <c r="E1503" s="23"/>
      <c r="F1503" s="23"/>
      <c r="G1503" s="23"/>
    </row>
    <row r="1504" spans="1:14" x14ac:dyDescent="0.2">
      <c r="A1504" s="4"/>
      <c r="B1504" s="4"/>
      <c r="C1504" s="4"/>
      <c r="D1504" s="23"/>
      <c r="E1504" s="23"/>
      <c r="F1504" s="23"/>
      <c r="G1504" s="23"/>
    </row>
    <row r="1505" spans="1:7" x14ac:dyDescent="0.2">
      <c r="A1505" s="4"/>
      <c r="B1505" s="4"/>
      <c r="C1505" s="4"/>
      <c r="D1505" s="23"/>
      <c r="E1505" s="23"/>
      <c r="F1505" s="23"/>
      <c r="G1505" s="23"/>
    </row>
    <row r="1506" spans="1:7" x14ac:dyDescent="0.2">
      <c r="A1506" s="4"/>
      <c r="B1506" s="4"/>
      <c r="C1506" s="4"/>
      <c r="D1506" s="23"/>
      <c r="E1506" s="23"/>
      <c r="F1506" s="23"/>
      <c r="G1506" s="23"/>
    </row>
    <row r="1507" spans="1:7" x14ac:dyDescent="0.2">
      <c r="A1507" s="4"/>
      <c r="B1507" s="4"/>
      <c r="C1507" s="4"/>
      <c r="D1507" s="23"/>
      <c r="E1507" s="23"/>
      <c r="F1507" s="23"/>
      <c r="G1507" s="23"/>
    </row>
    <row r="1508" spans="1:7" x14ac:dyDescent="0.2">
      <c r="A1508" s="4"/>
      <c r="B1508" s="4"/>
      <c r="C1508" s="4"/>
      <c r="D1508" s="23"/>
      <c r="E1508" s="23"/>
      <c r="F1508" s="23"/>
      <c r="G1508" s="23"/>
    </row>
    <row r="1509" spans="1:7" x14ac:dyDescent="0.2">
      <c r="A1509" s="4"/>
      <c r="B1509" s="4"/>
      <c r="C1509" s="4"/>
      <c r="D1509" s="23"/>
      <c r="E1509" s="23"/>
      <c r="F1509" s="23"/>
      <c r="G1509" s="23"/>
    </row>
    <row r="1510" spans="1:7" x14ac:dyDescent="0.2">
      <c r="A1510" s="4"/>
      <c r="B1510" s="4"/>
      <c r="C1510" s="4"/>
      <c r="D1510" s="23"/>
      <c r="E1510" s="23"/>
      <c r="F1510" s="23"/>
      <c r="G1510" s="23"/>
    </row>
    <row r="1511" spans="1:7" x14ac:dyDescent="0.2">
      <c r="A1511" s="4"/>
      <c r="B1511" s="4"/>
      <c r="C1511" s="4"/>
      <c r="D1511" s="23"/>
      <c r="E1511" s="23"/>
      <c r="F1511" s="23"/>
      <c r="G1511" s="23"/>
    </row>
    <row r="1512" spans="1:7" x14ac:dyDescent="0.2">
      <c r="A1512" s="4"/>
      <c r="B1512" s="4"/>
      <c r="C1512" s="4"/>
      <c r="D1512" s="23"/>
      <c r="E1512" s="23"/>
      <c r="F1512" s="23"/>
      <c r="G1512" s="23"/>
    </row>
    <row r="1513" spans="1:7" x14ac:dyDescent="0.2">
      <c r="A1513" s="4"/>
      <c r="B1513" s="4"/>
      <c r="C1513" s="4"/>
      <c r="D1513" s="23"/>
      <c r="E1513" s="23"/>
      <c r="F1513" s="23"/>
      <c r="G1513" s="23"/>
    </row>
    <row r="1514" spans="1:7" x14ac:dyDescent="0.2">
      <c r="A1514" s="4"/>
      <c r="B1514" s="4"/>
      <c r="C1514" s="4"/>
      <c r="D1514" s="23"/>
      <c r="E1514" s="23"/>
      <c r="F1514" s="23"/>
      <c r="G1514" s="23"/>
    </row>
    <row r="1515" spans="1:7" x14ac:dyDescent="0.2">
      <c r="A1515" s="4"/>
      <c r="B1515" s="4"/>
      <c r="C1515" s="4"/>
      <c r="D1515" s="23"/>
      <c r="E1515" s="23"/>
      <c r="F1515" s="23"/>
      <c r="G1515" s="23"/>
    </row>
    <row r="1516" spans="1:7" x14ac:dyDescent="0.2">
      <c r="A1516" s="4"/>
      <c r="B1516" s="4"/>
      <c r="C1516" s="4"/>
      <c r="D1516" s="23"/>
      <c r="E1516" s="23"/>
      <c r="F1516" s="23"/>
      <c r="G1516" s="23"/>
    </row>
    <row r="1517" spans="1:7" x14ac:dyDescent="0.2">
      <c r="A1517" s="4"/>
      <c r="B1517" s="4"/>
      <c r="C1517" s="4"/>
      <c r="D1517" s="23"/>
      <c r="E1517" s="23"/>
      <c r="F1517" s="23"/>
      <c r="G1517" s="23"/>
    </row>
    <row r="1518" spans="1:7" x14ac:dyDescent="0.2">
      <c r="A1518" s="4"/>
      <c r="B1518" s="4"/>
      <c r="C1518" s="4"/>
      <c r="D1518" s="23"/>
      <c r="E1518" s="23"/>
      <c r="F1518" s="23"/>
      <c r="G1518" s="23"/>
    </row>
    <row r="1519" spans="1:7" x14ac:dyDescent="0.2">
      <c r="A1519" s="4"/>
      <c r="B1519" s="4"/>
      <c r="C1519" s="4"/>
      <c r="D1519" s="23"/>
      <c r="E1519" s="23"/>
      <c r="F1519" s="23"/>
      <c r="G1519" s="23"/>
    </row>
    <row r="1520" spans="1:7" x14ac:dyDescent="0.2">
      <c r="A1520" s="4"/>
      <c r="B1520" s="4"/>
      <c r="C1520" s="4"/>
      <c r="D1520" s="23"/>
      <c r="E1520" s="23"/>
      <c r="F1520" s="23"/>
      <c r="G1520" s="23"/>
    </row>
    <row r="1521" spans="1:7" x14ac:dyDescent="0.2">
      <c r="A1521" s="4"/>
      <c r="B1521" s="4"/>
      <c r="C1521" s="4"/>
      <c r="D1521" s="23"/>
      <c r="E1521" s="23"/>
      <c r="F1521" s="23"/>
      <c r="G1521" s="23"/>
    </row>
    <row r="1522" spans="1:7" x14ac:dyDescent="0.2">
      <c r="A1522" s="4"/>
      <c r="B1522" s="4"/>
      <c r="C1522" s="4"/>
      <c r="D1522" s="23"/>
      <c r="E1522" s="23"/>
      <c r="F1522" s="23"/>
      <c r="G1522" s="23"/>
    </row>
    <row r="1523" spans="1:7" x14ac:dyDescent="0.2">
      <c r="A1523" s="4"/>
      <c r="B1523" s="4"/>
      <c r="C1523" s="4"/>
      <c r="D1523" s="23"/>
      <c r="E1523" s="23"/>
      <c r="F1523" s="23"/>
      <c r="G1523" s="23"/>
    </row>
    <row r="1524" spans="1:7" x14ac:dyDescent="0.2">
      <c r="A1524" s="4"/>
      <c r="B1524" s="4"/>
      <c r="C1524" s="4"/>
      <c r="D1524" s="23"/>
      <c r="E1524" s="23"/>
      <c r="F1524" s="23"/>
      <c r="G1524" s="23"/>
    </row>
    <row r="1525" spans="1:7" x14ac:dyDescent="0.2">
      <c r="A1525" s="4"/>
      <c r="B1525" s="4"/>
      <c r="C1525" s="4"/>
      <c r="D1525" s="23"/>
      <c r="E1525" s="23"/>
      <c r="F1525" s="23"/>
      <c r="G1525" s="23"/>
    </row>
    <row r="1526" spans="1:7" x14ac:dyDescent="0.2">
      <c r="A1526" s="4"/>
      <c r="B1526" s="4"/>
      <c r="C1526" s="4"/>
      <c r="D1526" s="23"/>
      <c r="E1526" s="23"/>
      <c r="F1526" s="23"/>
      <c r="G1526" s="23"/>
    </row>
    <row r="1527" spans="1:7" x14ac:dyDescent="0.2">
      <c r="A1527" s="4"/>
      <c r="B1527" s="4"/>
      <c r="C1527" s="4"/>
      <c r="D1527" s="23"/>
      <c r="E1527" s="23"/>
      <c r="F1527" s="23"/>
      <c r="G1527" s="23"/>
    </row>
    <row r="1528" spans="1:7" x14ac:dyDescent="0.2">
      <c r="A1528" s="4"/>
      <c r="B1528" s="4"/>
      <c r="C1528" s="4"/>
      <c r="D1528" s="23"/>
      <c r="E1528" s="23"/>
      <c r="F1528" s="23"/>
      <c r="G1528" s="23"/>
    </row>
    <row r="1529" spans="1:7" x14ac:dyDescent="0.2">
      <c r="A1529" s="4"/>
      <c r="B1529" s="4"/>
      <c r="C1529" s="4"/>
      <c r="D1529" s="23"/>
      <c r="E1529" s="23"/>
      <c r="F1529" s="23"/>
      <c r="G1529" s="23"/>
    </row>
    <row r="1530" spans="1:7" x14ac:dyDescent="0.2">
      <c r="A1530" s="4"/>
      <c r="B1530" s="4"/>
      <c r="C1530" s="4"/>
      <c r="D1530" s="23"/>
      <c r="E1530" s="23"/>
      <c r="F1530" s="23"/>
      <c r="G1530" s="23"/>
    </row>
    <row r="1531" spans="1:7" x14ac:dyDescent="0.2">
      <c r="A1531" s="4"/>
      <c r="B1531" s="4"/>
      <c r="C1531" s="4"/>
      <c r="D1531" s="23"/>
      <c r="E1531" s="23"/>
      <c r="F1531" s="23"/>
      <c r="G1531" s="23"/>
    </row>
    <row r="1532" spans="1:7" x14ac:dyDescent="0.2">
      <c r="A1532" s="4"/>
      <c r="B1532" s="4"/>
      <c r="C1532" s="4"/>
      <c r="D1532" s="23"/>
      <c r="E1532" s="23"/>
      <c r="F1532" s="23"/>
      <c r="G1532" s="23"/>
    </row>
    <row r="1533" spans="1:7" x14ac:dyDescent="0.2">
      <c r="A1533" s="4"/>
      <c r="B1533" s="4"/>
      <c r="C1533" s="4"/>
      <c r="D1533" s="23"/>
      <c r="E1533" s="23"/>
      <c r="F1533" s="23"/>
      <c r="G1533" s="23"/>
    </row>
    <row r="1534" spans="1:7" x14ac:dyDescent="0.2">
      <c r="A1534" s="4"/>
      <c r="B1534" s="4"/>
      <c r="C1534" s="4"/>
      <c r="D1534" s="23"/>
      <c r="E1534" s="23"/>
      <c r="F1534" s="23"/>
      <c r="G1534" s="23"/>
    </row>
    <row r="1535" spans="1:7" x14ac:dyDescent="0.2">
      <c r="A1535" s="4"/>
      <c r="B1535" s="4"/>
      <c r="C1535" s="4"/>
      <c r="D1535" s="23"/>
      <c r="E1535" s="23"/>
      <c r="F1535" s="23"/>
      <c r="G1535" s="23"/>
    </row>
    <row r="1536" spans="1:7" x14ac:dyDescent="0.2">
      <c r="A1536" s="4"/>
      <c r="B1536" s="4"/>
      <c r="C1536" s="4"/>
      <c r="D1536" s="23"/>
      <c r="E1536" s="23"/>
      <c r="F1536" s="23"/>
      <c r="G1536" s="23"/>
    </row>
    <row r="1537" spans="1:7" x14ac:dyDescent="0.2">
      <c r="A1537" s="4"/>
      <c r="B1537" s="4"/>
      <c r="C1537" s="4"/>
      <c r="D1537" s="23"/>
      <c r="E1537" s="23"/>
      <c r="F1537" s="23"/>
      <c r="G1537" s="23"/>
    </row>
    <row r="1538" spans="1:7" x14ac:dyDescent="0.2">
      <c r="A1538" s="4"/>
      <c r="B1538" s="4"/>
      <c r="C1538" s="4"/>
      <c r="D1538" s="23"/>
      <c r="E1538" s="23"/>
      <c r="F1538" s="23"/>
      <c r="G1538" s="23"/>
    </row>
    <row r="1539" spans="1:7" x14ac:dyDescent="0.2">
      <c r="A1539" s="4"/>
      <c r="B1539" s="4"/>
      <c r="C1539" s="4"/>
      <c r="D1539" s="23"/>
      <c r="E1539" s="23"/>
      <c r="F1539" s="23"/>
      <c r="G1539" s="23"/>
    </row>
    <row r="1540" spans="1:7" x14ac:dyDescent="0.2">
      <c r="A1540" s="4"/>
      <c r="B1540" s="4"/>
      <c r="C1540" s="4"/>
      <c r="D1540" s="23"/>
      <c r="E1540" s="23"/>
      <c r="F1540" s="23"/>
      <c r="G1540" s="23"/>
    </row>
    <row r="1541" spans="1:7" x14ac:dyDescent="0.2">
      <c r="A1541" s="4"/>
      <c r="B1541" s="4"/>
      <c r="C1541" s="4"/>
      <c r="D1541" s="23"/>
      <c r="E1541" s="23"/>
      <c r="F1541" s="23"/>
      <c r="G1541" s="23"/>
    </row>
    <row r="1542" spans="1:7" x14ac:dyDescent="0.2">
      <c r="A1542" s="4"/>
      <c r="B1542" s="4"/>
      <c r="C1542" s="4"/>
      <c r="D1542" s="23"/>
      <c r="E1542" s="23"/>
      <c r="F1542" s="23"/>
      <c r="G1542" s="23"/>
    </row>
    <row r="1543" spans="1:7" x14ac:dyDescent="0.2">
      <c r="A1543" s="4"/>
      <c r="B1543" s="4"/>
      <c r="C1543" s="4"/>
      <c r="D1543" s="23"/>
      <c r="E1543" s="23"/>
      <c r="F1543" s="23"/>
      <c r="G1543" s="23"/>
    </row>
    <row r="1544" spans="1:7" x14ac:dyDescent="0.2">
      <c r="A1544" s="4"/>
      <c r="B1544" s="4"/>
      <c r="C1544" s="4"/>
      <c r="D1544" s="23"/>
      <c r="E1544" s="23"/>
      <c r="F1544" s="23"/>
      <c r="G1544" s="23"/>
    </row>
    <row r="1545" spans="1:7" x14ac:dyDescent="0.2">
      <c r="A1545" s="4"/>
      <c r="B1545" s="4"/>
      <c r="C1545" s="4"/>
      <c r="D1545" s="23"/>
      <c r="E1545" s="23"/>
      <c r="F1545" s="23"/>
      <c r="G1545" s="23"/>
    </row>
    <row r="1546" spans="1:7" x14ac:dyDescent="0.2">
      <c r="A1546" s="4"/>
      <c r="B1546" s="4"/>
      <c r="C1546" s="4"/>
      <c r="D1546" s="23"/>
      <c r="E1546" s="23"/>
      <c r="F1546" s="23"/>
      <c r="G1546" s="23"/>
    </row>
    <row r="1547" spans="1:7" x14ac:dyDescent="0.2">
      <c r="A1547" s="4"/>
      <c r="B1547" s="4"/>
      <c r="C1547" s="4"/>
      <c r="D1547" s="23"/>
      <c r="E1547" s="23"/>
      <c r="F1547" s="23"/>
      <c r="G1547" s="23"/>
    </row>
    <row r="1548" spans="1:7" x14ac:dyDescent="0.2">
      <c r="A1548" s="4"/>
      <c r="B1548" s="4"/>
      <c r="C1548" s="4"/>
      <c r="D1548" s="23"/>
      <c r="E1548" s="23"/>
      <c r="F1548" s="23"/>
      <c r="G1548" s="23"/>
    </row>
    <row r="1549" spans="1:7" x14ac:dyDescent="0.2">
      <c r="A1549" s="4"/>
      <c r="B1549" s="4"/>
      <c r="C1549" s="4"/>
      <c r="D1549" s="23"/>
      <c r="E1549" s="23"/>
      <c r="F1549" s="23"/>
      <c r="G1549" s="23"/>
    </row>
    <row r="1550" spans="1:7" x14ac:dyDescent="0.2">
      <c r="A1550" s="4"/>
      <c r="B1550" s="4"/>
      <c r="C1550" s="4"/>
      <c r="D1550" s="23"/>
      <c r="E1550" s="23"/>
      <c r="F1550" s="23"/>
      <c r="G1550" s="23"/>
    </row>
    <row r="1551" spans="1:7" x14ac:dyDescent="0.2">
      <c r="A1551" s="4"/>
      <c r="B1551" s="4"/>
      <c r="C1551" s="4"/>
      <c r="D1551" s="23"/>
      <c r="E1551" s="23"/>
      <c r="F1551" s="23"/>
      <c r="G1551" s="23"/>
    </row>
    <row r="1552" spans="1:7" x14ac:dyDescent="0.2">
      <c r="A1552" s="4"/>
      <c r="B1552" s="4"/>
      <c r="C1552" s="4"/>
      <c r="D1552" s="23"/>
      <c r="E1552" s="23"/>
      <c r="F1552" s="23"/>
      <c r="G1552" s="23"/>
    </row>
    <row r="1553" spans="1:7" x14ac:dyDescent="0.2">
      <c r="A1553" s="4"/>
      <c r="B1553" s="4"/>
      <c r="C1553" s="4"/>
      <c r="D1553" s="23"/>
      <c r="E1553" s="23"/>
      <c r="F1553" s="23"/>
      <c r="G1553" s="23"/>
    </row>
    <row r="1554" spans="1:7" x14ac:dyDescent="0.2">
      <c r="A1554" s="4"/>
      <c r="B1554" s="4"/>
      <c r="C1554" s="4"/>
      <c r="D1554" s="23"/>
      <c r="E1554" s="23"/>
      <c r="F1554" s="23"/>
      <c r="G1554" s="23"/>
    </row>
    <row r="1555" spans="1:7" x14ac:dyDescent="0.2">
      <c r="A1555" s="4"/>
      <c r="B1555" s="4"/>
      <c r="C1555" s="4"/>
      <c r="D1555" s="23"/>
      <c r="E1555" s="23"/>
      <c r="F1555" s="23"/>
      <c r="G1555" s="23"/>
    </row>
    <row r="1556" spans="1:7" x14ac:dyDescent="0.2">
      <c r="A1556" s="4"/>
      <c r="B1556" s="4"/>
      <c r="C1556" s="4"/>
      <c r="D1556" s="23"/>
      <c r="E1556" s="23"/>
      <c r="F1556" s="23"/>
      <c r="G1556" s="23"/>
    </row>
    <row r="1557" spans="1:7" x14ac:dyDescent="0.2">
      <c r="A1557" s="4"/>
      <c r="B1557" s="4"/>
      <c r="C1557" s="4"/>
      <c r="D1557" s="23"/>
      <c r="E1557" s="23"/>
      <c r="F1557" s="23"/>
      <c r="G1557" s="23"/>
    </row>
    <row r="1558" spans="1:7" x14ac:dyDescent="0.2">
      <c r="A1558" s="4"/>
      <c r="B1558" s="4"/>
      <c r="C1558" s="4"/>
      <c r="D1558" s="23"/>
      <c r="E1558" s="23"/>
      <c r="F1558" s="23"/>
      <c r="G1558" s="23"/>
    </row>
    <row r="1559" spans="1:7" x14ac:dyDescent="0.2">
      <c r="A1559" s="4"/>
      <c r="B1559" s="4"/>
      <c r="C1559" s="4"/>
      <c r="D1559" s="23"/>
      <c r="E1559" s="23"/>
      <c r="F1559" s="23"/>
      <c r="G1559" s="23"/>
    </row>
    <row r="1560" spans="1:7" x14ac:dyDescent="0.2">
      <c r="A1560" s="4"/>
      <c r="B1560" s="4"/>
      <c r="C1560" s="4"/>
      <c r="D1560" s="23"/>
      <c r="E1560" s="23"/>
      <c r="F1560" s="23"/>
      <c r="G1560" s="23"/>
    </row>
    <row r="1561" spans="1:7" x14ac:dyDescent="0.2">
      <c r="A1561" s="4"/>
      <c r="B1561" s="4"/>
      <c r="C1561" s="4"/>
      <c r="D1561" s="23"/>
      <c r="E1561" s="23"/>
      <c r="F1561" s="23"/>
      <c r="G1561" s="23"/>
    </row>
    <row r="1562" spans="1:7" x14ac:dyDescent="0.2">
      <c r="A1562" s="4"/>
      <c r="B1562" s="4"/>
      <c r="C1562" s="4"/>
      <c r="D1562" s="23"/>
      <c r="E1562" s="23"/>
      <c r="F1562" s="23"/>
      <c r="G1562" s="23"/>
    </row>
    <row r="1563" spans="1:7" x14ac:dyDescent="0.2">
      <c r="A1563" s="4"/>
      <c r="B1563" s="4"/>
      <c r="C1563" s="4"/>
      <c r="D1563" s="23"/>
      <c r="E1563" s="23"/>
      <c r="F1563" s="23"/>
      <c r="G1563" s="23"/>
    </row>
    <row r="1564" spans="1:7" x14ac:dyDescent="0.2">
      <c r="A1564" s="4"/>
      <c r="B1564" s="4"/>
      <c r="C1564" s="4"/>
      <c r="D1564" s="23"/>
      <c r="E1564" s="23"/>
      <c r="F1564" s="23"/>
      <c r="G1564" s="23"/>
    </row>
    <row r="1565" spans="1:7" x14ac:dyDescent="0.2">
      <c r="A1565" s="4"/>
      <c r="B1565" s="4"/>
      <c r="C1565" s="4"/>
      <c r="D1565" s="23"/>
      <c r="E1565" s="23"/>
      <c r="F1565" s="23"/>
      <c r="G1565" s="23"/>
    </row>
    <row r="1566" spans="1:7" x14ac:dyDescent="0.2">
      <c r="A1566" s="4"/>
      <c r="B1566" s="4"/>
      <c r="C1566" s="4"/>
      <c r="D1566" s="23"/>
      <c r="E1566" s="23"/>
      <c r="F1566" s="23"/>
      <c r="G1566" s="23"/>
    </row>
    <row r="1567" spans="1:7" x14ac:dyDescent="0.2">
      <c r="A1567" s="4"/>
      <c r="B1567" s="4"/>
      <c r="C1567" s="4"/>
      <c r="D1567" s="23"/>
      <c r="E1567" s="23"/>
      <c r="F1567" s="23"/>
      <c r="G1567" s="23"/>
    </row>
    <row r="1568" spans="1:7" x14ac:dyDescent="0.2">
      <c r="A1568" s="4"/>
      <c r="B1568" s="4"/>
      <c r="C1568" s="4"/>
      <c r="D1568" s="23"/>
      <c r="E1568" s="23"/>
      <c r="F1568" s="23"/>
      <c r="G1568" s="23"/>
    </row>
    <row r="1569" spans="1:7" x14ac:dyDescent="0.2">
      <c r="A1569" s="4"/>
      <c r="B1569" s="4"/>
      <c r="C1569" s="4"/>
      <c r="D1569" s="23"/>
      <c r="E1569" s="23"/>
      <c r="F1569" s="23"/>
      <c r="G1569" s="23"/>
    </row>
    <row r="1570" spans="1:7" x14ac:dyDescent="0.2">
      <c r="A1570" s="4"/>
      <c r="B1570" s="4"/>
      <c r="C1570" s="4"/>
      <c r="D1570" s="23"/>
      <c r="E1570" s="23"/>
      <c r="F1570" s="23"/>
      <c r="G1570" s="23"/>
    </row>
    <row r="1571" spans="1:7" x14ac:dyDescent="0.2">
      <c r="A1571" s="4"/>
      <c r="B1571" s="4"/>
      <c r="C1571" s="4"/>
      <c r="D1571" s="23"/>
      <c r="E1571" s="23"/>
      <c r="F1571" s="23"/>
      <c r="G1571" s="23"/>
    </row>
    <row r="1572" spans="1:7" x14ac:dyDescent="0.2">
      <c r="A1572" s="4"/>
      <c r="B1572" s="4"/>
      <c r="C1572" s="4"/>
      <c r="D1572" s="23"/>
      <c r="E1572" s="23"/>
      <c r="F1572" s="23"/>
      <c r="G1572" s="23"/>
    </row>
    <row r="1573" spans="1:7" x14ac:dyDescent="0.2">
      <c r="A1573" s="4"/>
      <c r="B1573" s="4"/>
      <c r="C1573" s="4"/>
      <c r="D1573" s="23"/>
      <c r="E1573" s="23"/>
      <c r="F1573" s="23"/>
      <c r="G1573" s="23"/>
    </row>
    <row r="1574" spans="1:7" x14ac:dyDescent="0.2">
      <c r="A1574" s="4"/>
      <c r="B1574" s="4"/>
      <c r="C1574" s="4"/>
      <c r="D1574" s="23"/>
      <c r="E1574" s="23"/>
      <c r="F1574" s="23"/>
      <c r="G1574" s="23"/>
    </row>
    <row r="1575" spans="1:7" x14ac:dyDescent="0.2">
      <c r="A1575" s="4"/>
      <c r="B1575" s="4"/>
      <c r="C1575" s="4"/>
      <c r="D1575" s="23"/>
      <c r="E1575" s="23"/>
      <c r="F1575" s="23"/>
      <c r="G1575" s="23"/>
    </row>
    <row r="1576" spans="1:7" x14ac:dyDescent="0.2">
      <c r="A1576" s="4"/>
      <c r="B1576" s="4"/>
      <c r="C1576" s="4"/>
      <c r="D1576" s="23"/>
      <c r="E1576" s="23"/>
      <c r="F1576" s="23"/>
      <c r="G1576" s="23"/>
    </row>
    <row r="1577" spans="1:7" x14ac:dyDescent="0.2">
      <c r="A1577" s="4"/>
      <c r="B1577" s="4"/>
      <c r="C1577" s="4"/>
      <c r="D1577" s="23"/>
      <c r="E1577" s="23"/>
      <c r="F1577" s="23"/>
      <c r="G1577" s="23"/>
    </row>
    <row r="1578" spans="1:7" x14ac:dyDescent="0.2">
      <c r="A1578" s="4"/>
      <c r="B1578" s="4"/>
      <c r="C1578" s="4"/>
      <c r="D1578" s="23"/>
      <c r="E1578" s="23"/>
      <c r="F1578" s="23"/>
      <c r="G1578" s="23"/>
    </row>
    <row r="1579" spans="1:7" x14ac:dyDescent="0.2">
      <c r="A1579" s="4"/>
      <c r="B1579" s="4"/>
      <c r="C1579" s="4"/>
      <c r="D1579" s="23"/>
      <c r="E1579" s="23"/>
      <c r="F1579" s="23"/>
      <c r="G1579" s="23"/>
    </row>
    <row r="1580" spans="1:7" x14ac:dyDescent="0.2">
      <c r="A1580" s="4"/>
      <c r="B1580" s="4"/>
      <c r="C1580" s="4"/>
      <c r="D1580" s="23"/>
      <c r="E1580" s="23"/>
      <c r="F1580" s="23"/>
      <c r="G1580" s="23"/>
    </row>
    <row r="1581" spans="1:7" x14ac:dyDescent="0.2">
      <c r="A1581" s="4"/>
      <c r="B1581" s="4"/>
      <c r="C1581" s="4"/>
      <c r="D1581" s="23"/>
      <c r="E1581" s="23"/>
      <c r="F1581" s="23"/>
      <c r="G1581" s="23"/>
    </row>
    <row r="1582" spans="1:7" x14ac:dyDescent="0.2">
      <c r="A1582" s="4"/>
      <c r="B1582" s="4"/>
      <c r="C1582" s="4"/>
      <c r="D1582" s="23"/>
      <c r="E1582" s="23"/>
      <c r="F1582" s="23"/>
      <c r="G1582" s="23"/>
    </row>
    <row r="1583" spans="1:7" x14ac:dyDescent="0.2">
      <c r="A1583" s="4"/>
      <c r="B1583" s="4"/>
      <c r="C1583" s="4"/>
      <c r="D1583" s="23"/>
      <c r="E1583" s="23"/>
      <c r="F1583" s="23"/>
      <c r="G1583" s="23"/>
    </row>
    <row r="1584" spans="1:7" x14ac:dyDescent="0.2">
      <c r="A1584" s="4"/>
      <c r="B1584" s="4"/>
      <c r="C1584" s="4"/>
      <c r="D1584" s="23"/>
      <c r="E1584" s="23"/>
      <c r="F1584" s="23"/>
      <c r="G1584" s="23"/>
    </row>
    <row r="1585" spans="1:7" x14ac:dyDescent="0.2">
      <c r="A1585" s="4"/>
      <c r="B1585" s="4"/>
      <c r="C1585" s="4"/>
      <c r="D1585" s="23"/>
      <c r="E1585" s="23"/>
      <c r="F1585" s="23"/>
      <c r="G1585" s="23"/>
    </row>
    <row r="1586" spans="1:7" x14ac:dyDescent="0.2">
      <c r="A1586" s="4"/>
      <c r="B1586" s="4"/>
      <c r="C1586" s="4"/>
      <c r="D1586" s="23"/>
      <c r="E1586" s="23"/>
      <c r="F1586" s="23"/>
      <c r="G1586" s="23"/>
    </row>
    <row r="1587" spans="1:7" x14ac:dyDescent="0.2">
      <c r="A1587" s="4"/>
      <c r="B1587" s="4"/>
      <c r="C1587" s="4"/>
      <c r="D1587" s="23"/>
      <c r="E1587" s="23"/>
      <c r="F1587" s="23"/>
      <c r="G1587" s="23"/>
    </row>
    <row r="1588" spans="1:7" x14ac:dyDescent="0.2">
      <c r="A1588" s="4"/>
      <c r="B1588" s="4"/>
      <c r="C1588" s="4"/>
      <c r="D1588" s="23"/>
      <c r="E1588" s="23"/>
      <c r="F1588" s="23"/>
      <c r="G1588" s="23"/>
    </row>
    <row r="1589" spans="1:7" x14ac:dyDescent="0.2">
      <c r="A1589" s="4"/>
      <c r="B1589" s="4"/>
      <c r="C1589" s="4"/>
      <c r="D1589" s="23"/>
      <c r="E1589" s="23"/>
      <c r="F1589" s="23"/>
      <c r="G1589" s="23"/>
    </row>
    <row r="1590" spans="1:7" x14ac:dyDescent="0.2">
      <c r="A1590" s="4"/>
      <c r="B1590" s="4"/>
      <c r="C1590" s="4"/>
      <c r="D1590" s="23"/>
      <c r="E1590" s="23"/>
      <c r="F1590" s="23"/>
      <c r="G1590" s="23"/>
    </row>
    <row r="1591" spans="1:7" x14ac:dyDescent="0.2">
      <c r="A1591" s="4"/>
      <c r="B1591" s="4"/>
      <c r="C1591" s="4"/>
      <c r="D1591" s="23"/>
      <c r="E1591" s="23"/>
      <c r="F1591" s="23"/>
      <c r="G1591" s="23"/>
    </row>
    <row r="1592" spans="1:7" x14ac:dyDescent="0.2">
      <c r="A1592" s="4"/>
      <c r="B1592" s="4"/>
      <c r="C1592" s="4"/>
      <c r="D1592" s="23"/>
      <c r="E1592" s="23"/>
      <c r="F1592" s="23"/>
      <c r="G1592" s="23"/>
    </row>
    <row r="1593" spans="1:7" x14ac:dyDescent="0.2">
      <c r="A1593" s="4"/>
      <c r="B1593" s="4"/>
      <c r="C1593" s="4"/>
      <c r="D1593" s="23"/>
      <c r="E1593" s="23"/>
      <c r="F1593" s="23"/>
      <c r="G1593" s="23"/>
    </row>
    <row r="1594" spans="1:7" x14ac:dyDescent="0.2">
      <c r="A1594" s="4"/>
      <c r="B1594" s="4"/>
      <c r="C1594" s="4"/>
      <c r="D1594" s="23"/>
      <c r="E1594" s="23"/>
      <c r="F1594" s="23"/>
      <c r="G1594" s="23"/>
    </row>
    <row r="1595" spans="1:7" x14ac:dyDescent="0.2">
      <c r="A1595" s="4"/>
      <c r="B1595" s="4"/>
      <c r="C1595" s="4"/>
      <c r="D1595" s="23"/>
      <c r="E1595" s="23"/>
      <c r="F1595" s="23"/>
      <c r="G1595" s="23"/>
    </row>
    <row r="1596" spans="1:7" x14ac:dyDescent="0.2">
      <c r="A1596" s="4"/>
      <c r="B1596" s="4"/>
      <c r="C1596" s="4"/>
      <c r="D1596" s="23"/>
      <c r="E1596" s="23"/>
      <c r="F1596" s="23"/>
      <c r="G1596" s="23"/>
    </row>
    <row r="1597" spans="1:7" x14ac:dyDescent="0.2">
      <c r="A1597" s="4"/>
      <c r="B1597" s="4"/>
      <c r="C1597" s="4"/>
      <c r="D1597" s="23"/>
      <c r="E1597" s="23"/>
      <c r="F1597" s="23"/>
      <c r="G1597" s="23"/>
    </row>
    <row r="1598" spans="1:7" x14ac:dyDescent="0.2">
      <c r="A1598" s="4"/>
      <c r="B1598" s="4"/>
      <c r="C1598" s="4"/>
      <c r="D1598" s="23"/>
      <c r="E1598" s="23"/>
      <c r="F1598" s="23"/>
      <c r="G1598" s="23"/>
    </row>
    <row r="1599" spans="1:7" x14ac:dyDescent="0.2">
      <c r="A1599" s="4"/>
      <c r="B1599" s="4"/>
      <c r="C1599" s="4"/>
      <c r="D1599" s="23"/>
      <c r="E1599" s="23"/>
      <c r="F1599" s="23"/>
      <c r="G1599" s="23"/>
    </row>
    <row r="1600" spans="1:7" x14ac:dyDescent="0.2">
      <c r="A1600" s="4"/>
      <c r="B1600" s="4"/>
      <c r="C1600" s="4"/>
      <c r="D1600" s="23"/>
      <c r="E1600" s="23"/>
      <c r="F1600" s="23"/>
      <c r="G1600" s="23"/>
    </row>
    <row r="1601" spans="1:7" x14ac:dyDescent="0.2">
      <c r="A1601" s="4"/>
      <c r="B1601" s="4"/>
      <c r="C1601" s="4"/>
      <c r="D1601" s="23"/>
      <c r="E1601" s="23"/>
      <c r="F1601" s="23"/>
      <c r="G1601" s="23"/>
    </row>
    <row r="1602" spans="1:7" x14ac:dyDescent="0.2">
      <c r="A1602" s="4"/>
      <c r="B1602" s="4"/>
      <c r="C1602" s="4"/>
      <c r="D1602" s="23"/>
      <c r="E1602" s="23"/>
      <c r="F1602" s="23"/>
      <c r="G1602" s="23"/>
    </row>
    <row r="1603" spans="1:7" x14ac:dyDescent="0.2">
      <c r="A1603" s="4"/>
      <c r="B1603" s="4"/>
      <c r="C1603" s="4"/>
      <c r="D1603" s="23"/>
      <c r="E1603" s="23"/>
      <c r="F1603" s="23"/>
      <c r="G1603" s="23"/>
    </row>
    <row r="1604" spans="1:7" x14ac:dyDescent="0.2">
      <c r="A1604" s="4"/>
      <c r="B1604" s="4"/>
      <c r="C1604" s="4"/>
      <c r="D1604" s="23"/>
      <c r="E1604" s="23"/>
      <c r="F1604" s="23"/>
      <c r="G1604" s="23"/>
    </row>
    <row r="1605" spans="1:7" x14ac:dyDescent="0.2">
      <c r="A1605" s="4"/>
      <c r="B1605" s="4"/>
      <c r="C1605" s="4"/>
      <c r="D1605" s="23"/>
      <c r="E1605" s="23"/>
      <c r="F1605" s="23"/>
      <c r="G1605" s="23"/>
    </row>
    <row r="1606" spans="1:7" x14ac:dyDescent="0.2">
      <c r="A1606" s="4"/>
      <c r="B1606" s="4"/>
      <c r="C1606" s="4"/>
      <c r="D1606" s="23"/>
      <c r="E1606" s="23"/>
      <c r="F1606" s="23"/>
      <c r="G1606" s="23"/>
    </row>
    <row r="1607" spans="1:7" x14ac:dyDescent="0.2">
      <c r="A1607" s="4"/>
      <c r="B1607" s="4"/>
      <c r="C1607" s="4"/>
      <c r="D1607" s="23"/>
      <c r="E1607" s="23"/>
      <c r="F1607" s="23"/>
      <c r="G1607" s="23"/>
    </row>
    <row r="1608" spans="1:7" x14ac:dyDescent="0.2">
      <c r="A1608" s="4"/>
      <c r="B1608" s="4"/>
      <c r="C1608" s="4"/>
      <c r="D1608" s="23"/>
      <c r="E1608" s="23"/>
      <c r="F1608" s="23"/>
      <c r="G1608" s="23"/>
    </row>
    <row r="1609" spans="1:7" x14ac:dyDescent="0.2">
      <c r="A1609" s="4"/>
      <c r="B1609" s="4"/>
      <c r="C1609" s="4"/>
      <c r="D1609" s="23"/>
      <c r="E1609" s="23"/>
      <c r="F1609" s="23"/>
      <c r="G1609" s="23"/>
    </row>
    <row r="1610" spans="1:7" x14ac:dyDescent="0.2">
      <c r="A1610" s="4"/>
      <c r="B1610" s="4"/>
      <c r="C1610" s="4"/>
      <c r="D1610" s="23"/>
      <c r="E1610" s="23"/>
      <c r="F1610" s="23"/>
      <c r="G1610" s="23"/>
    </row>
    <row r="1611" spans="1:7" x14ac:dyDescent="0.2">
      <c r="A1611" s="4"/>
      <c r="B1611" s="4"/>
      <c r="C1611" s="4"/>
      <c r="D1611" s="23"/>
      <c r="E1611" s="23"/>
      <c r="F1611" s="23"/>
      <c r="G1611" s="23"/>
    </row>
    <row r="1612" spans="1:7" x14ac:dyDescent="0.2">
      <c r="A1612" s="4"/>
      <c r="B1612" s="4"/>
      <c r="C1612" s="4"/>
      <c r="D1612" s="23"/>
      <c r="E1612" s="23"/>
      <c r="F1612" s="23"/>
      <c r="G1612" s="23"/>
    </row>
    <row r="1613" spans="1:7" x14ac:dyDescent="0.2">
      <c r="A1613" s="4"/>
      <c r="B1613" s="4"/>
      <c r="C1613" s="4"/>
      <c r="D1613" s="23"/>
      <c r="E1613" s="23"/>
      <c r="F1613" s="23"/>
      <c r="G1613" s="23"/>
    </row>
    <row r="1614" spans="1:7" x14ac:dyDescent="0.2">
      <c r="A1614" s="4"/>
      <c r="B1614" s="4"/>
      <c r="C1614" s="4"/>
      <c r="D1614" s="23"/>
      <c r="E1614" s="23"/>
      <c r="F1614" s="23"/>
      <c r="G1614" s="23"/>
    </row>
    <row r="1615" spans="1:7" x14ac:dyDescent="0.2">
      <c r="A1615" s="4"/>
      <c r="B1615" s="4"/>
      <c r="C1615" s="4"/>
      <c r="D1615" s="23"/>
      <c r="E1615" s="23"/>
      <c r="F1615" s="23"/>
      <c r="G1615" s="23"/>
    </row>
    <row r="1616" spans="1:7" x14ac:dyDescent="0.2">
      <c r="A1616" s="4"/>
      <c r="B1616" s="4"/>
      <c r="C1616" s="4"/>
      <c r="D1616" s="23"/>
      <c r="E1616" s="23"/>
      <c r="F1616" s="23"/>
      <c r="G1616" s="23"/>
    </row>
    <row r="1617" spans="1:7" x14ac:dyDescent="0.2">
      <c r="A1617" s="4"/>
      <c r="B1617" s="4"/>
      <c r="C1617" s="4"/>
      <c r="D1617" s="23"/>
      <c r="E1617" s="23"/>
      <c r="F1617" s="23"/>
      <c r="G1617" s="23"/>
    </row>
    <row r="1618" spans="1:7" x14ac:dyDescent="0.2">
      <c r="A1618" s="4"/>
      <c r="B1618" s="4"/>
      <c r="C1618" s="4"/>
      <c r="D1618" s="23"/>
      <c r="E1618" s="23"/>
      <c r="F1618" s="23"/>
      <c r="G1618" s="23"/>
    </row>
    <row r="1619" spans="1:7" x14ac:dyDescent="0.2">
      <c r="A1619" s="4"/>
      <c r="B1619" s="4"/>
      <c r="C1619" s="4"/>
      <c r="D1619" s="23"/>
      <c r="E1619" s="23"/>
      <c r="F1619" s="23"/>
      <c r="G1619" s="23"/>
    </row>
    <row r="1620" spans="1:7" x14ac:dyDescent="0.2">
      <c r="A1620" s="4"/>
      <c r="B1620" s="4"/>
      <c r="C1620" s="4"/>
      <c r="D1620" s="23"/>
      <c r="E1620" s="23"/>
      <c r="F1620" s="23"/>
      <c r="G1620" s="23"/>
    </row>
    <row r="1621" spans="1:7" x14ac:dyDescent="0.2">
      <c r="A1621" s="4"/>
      <c r="B1621" s="4"/>
      <c r="C1621" s="4"/>
      <c r="D1621" s="23"/>
      <c r="E1621" s="23"/>
      <c r="F1621" s="23"/>
      <c r="G1621" s="23"/>
    </row>
    <row r="1622" spans="1:7" x14ac:dyDescent="0.2">
      <c r="A1622" s="4"/>
      <c r="B1622" s="4"/>
      <c r="C1622" s="4"/>
      <c r="D1622" s="23"/>
      <c r="E1622" s="23"/>
      <c r="F1622" s="23"/>
      <c r="G1622" s="23"/>
    </row>
    <row r="1623" spans="1:7" x14ac:dyDescent="0.2">
      <c r="A1623" s="4"/>
      <c r="B1623" s="4"/>
      <c r="C1623" s="4"/>
      <c r="D1623" s="23"/>
      <c r="E1623" s="23"/>
      <c r="F1623" s="23"/>
      <c r="G1623" s="23"/>
    </row>
    <row r="1624" spans="1:7" x14ac:dyDescent="0.2">
      <c r="A1624" s="4"/>
      <c r="B1624" s="4"/>
      <c r="C1624" s="4"/>
      <c r="D1624" s="23"/>
      <c r="E1624" s="23"/>
      <c r="F1624" s="23"/>
      <c r="G1624" s="23"/>
    </row>
    <row r="1625" spans="1:7" x14ac:dyDescent="0.2">
      <c r="A1625" s="4"/>
      <c r="B1625" s="4"/>
      <c r="C1625" s="4"/>
      <c r="D1625" s="23"/>
      <c r="E1625" s="23"/>
      <c r="F1625" s="23"/>
      <c r="G1625" s="23"/>
    </row>
    <row r="1626" spans="1:7" x14ac:dyDescent="0.2">
      <c r="A1626" s="4"/>
      <c r="B1626" s="4"/>
      <c r="C1626" s="4"/>
      <c r="D1626" s="23"/>
      <c r="E1626" s="23"/>
      <c r="F1626" s="23"/>
      <c r="G1626" s="23"/>
    </row>
    <row r="1627" spans="1:7" x14ac:dyDescent="0.2">
      <c r="A1627" s="4"/>
      <c r="B1627" s="4"/>
      <c r="C1627" s="4"/>
      <c r="D1627" s="23"/>
      <c r="E1627" s="23"/>
      <c r="F1627" s="23"/>
      <c r="G1627" s="23"/>
    </row>
    <row r="1628" spans="1:7" x14ac:dyDescent="0.2">
      <c r="A1628" s="4"/>
      <c r="B1628" s="4"/>
      <c r="C1628" s="4"/>
      <c r="D1628" s="23"/>
      <c r="E1628" s="23"/>
      <c r="F1628" s="23"/>
      <c r="G1628" s="23"/>
    </row>
    <row r="1629" spans="1:7" x14ac:dyDescent="0.2">
      <c r="A1629" s="4"/>
      <c r="B1629" s="4"/>
      <c r="C1629" s="4"/>
      <c r="D1629" s="23"/>
      <c r="E1629" s="23"/>
      <c r="F1629" s="23"/>
      <c r="G1629" s="23"/>
    </row>
    <row r="1630" spans="1:7" x14ac:dyDescent="0.2">
      <c r="A1630" s="4"/>
      <c r="B1630" s="4"/>
      <c r="C1630" s="4"/>
      <c r="D1630" s="23"/>
      <c r="E1630" s="23"/>
      <c r="F1630" s="23"/>
      <c r="G1630" s="23"/>
    </row>
    <row r="1631" spans="1:7" x14ac:dyDescent="0.2">
      <c r="A1631" s="4"/>
      <c r="B1631" s="4"/>
      <c r="C1631" s="4"/>
      <c r="D1631" s="23"/>
      <c r="E1631" s="23"/>
      <c r="F1631" s="23"/>
      <c r="G1631" s="23"/>
    </row>
    <row r="1632" spans="1:7" x14ac:dyDescent="0.2">
      <c r="A1632" s="4"/>
      <c r="B1632" s="4"/>
      <c r="C1632" s="4"/>
      <c r="D1632" s="23"/>
      <c r="E1632" s="23"/>
      <c r="F1632" s="23"/>
      <c r="G1632" s="23"/>
    </row>
    <row r="1633" spans="1:7" x14ac:dyDescent="0.2">
      <c r="A1633" s="4"/>
      <c r="B1633" s="4"/>
      <c r="C1633" s="4"/>
      <c r="D1633" s="23"/>
      <c r="E1633" s="23"/>
      <c r="F1633" s="23"/>
      <c r="G1633" s="23"/>
    </row>
    <row r="1634" spans="1:7" x14ac:dyDescent="0.2">
      <c r="A1634" s="4"/>
      <c r="B1634" s="4"/>
      <c r="C1634" s="4"/>
      <c r="D1634" s="23"/>
      <c r="E1634" s="23"/>
      <c r="F1634" s="23"/>
      <c r="G1634" s="23"/>
    </row>
    <row r="1635" spans="1:7" x14ac:dyDescent="0.2">
      <c r="A1635" s="4"/>
      <c r="B1635" s="4"/>
      <c r="C1635" s="4"/>
      <c r="D1635" s="23"/>
      <c r="E1635" s="23"/>
      <c r="F1635" s="23"/>
      <c r="G1635" s="23"/>
    </row>
    <row r="1636" spans="1:7" x14ac:dyDescent="0.2">
      <c r="A1636" s="4"/>
      <c r="B1636" s="4"/>
      <c r="C1636" s="4"/>
      <c r="D1636" s="23"/>
      <c r="E1636" s="23"/>
      <c r="F1636" s="23"/>
      <c r="G1636" s="23"/>
    </row>
    <row r="1637" spans="1:7" x14ac:dyDescent="0.2">
      <c r="A1637" s="4"/>
      <c r="B1637" s="4"/>
      <c r="C1637" s="4"/>
      <c r="D1637" s="23"/>
      <c r="E1637" s="23"/>
      <c r="F1637" s="23"/>
      <c r="G1637" s="23"/>
    </row>
    <row r="1638" spans="1:7" x14ac:dyDescent="0.2">
      <c r="A1638" s="4"/>
      <c r="B1638" s="4"/>
      <c r="C1638" s="4"/>
      <c r="D1638" s="23"/>
      <c r="E1638" s="23"/>
      <c r="F1638" s="23"/>
      <c r="G1638" s="23"/>
    </row>
    <row r="1639" spans="1:7" x14ac:dyDescent="0.2">
      <c r="A1639" s="4"/>
      <c r="B1639" s="4"/>
      <c r="C1639" s="4"/>
      <c r="D1639" s="23"/>
      <c r="E1639" s="23"/>
      <c r="F1639" s="23"/>
      <c r="G1639" s="23"/>
    </row>
    <row r="1640" spans="1:7" x14ac:dyDescent="0.2">
      <c r="A1640" s="4"/>
      <c r="B1640" s="4"/>
      <c r="C1640" s="4"/>
      <c r="D1640" s="23"/>
      <c r="E1640" s="23"/>
      <c r="F1640" s="23"/>
      <c r="G1640" s="23"/>
    </row>
    <row r="1641" spans="1:7" x14ac:dyDescent="0.2">
      <c r="A1641" s="4"/>
      <c r="B1641" s="4"/>
      <c r="C1641" s="4"/>
      <c r="D1641" s="23"/>
      <c r="E1641" s="23"/>
      <c r="F1641" s="23"/>
      <c r="G1641" s="23"/>
    </row>
    <row r="1642" spans="1:7" x14ac:dyDescent="0.2">
      <c r="A1642" s="4"/>
      <c r="B1642" s="4"/>
      <c r="C1642" s="4"/>
      <c r="D1642" s="23"/>
      <c r="E1642" s="23"/>
      <c r="F1642" s="23"/>
      <c r="G1642" s="23"/>
    </row>
    <row r="1643" spans="1:7" x14ac:dyDescent="0.2">
      <c r="A1643" s="4"/>
      <c r="B1643" s="4"/>
      <c r="C1643" s="4"/>
      <c r="D1643" s="23"/>
      <c r="E1643" s="23"/>
      <c r="F1643" s="23"/>
      <c r="G1643" s="23"/>
    </row>
    <row r="1644" spans="1:7" x14ac:dyDescent="0.2">
      <c r="A1644" s="4"/>
      <c r="B1644" s="4"/>
      <c r="C1644" s="4"/>
      <c r="D1644" s="23"/>
      <c r="E1644" s="23"/>
      <c r="F1644" s="23"/>
      <c r="G1644" s="23"/>
    </row>
    <row r="1645" spans="1:7" x14ac:dyDescent="0.2">
      <c r="A1645" s="4"/>
      <c r="B1645" s="4"/>
      <c r="C1645" s="4"/>
      <c r="D1645" s="23"/>
      <c r="E1645" s="23"/>
      <c r="F1645" s="23"/>
      <c r="G1645" s="23"/>
    </row>
    <row r="1646" spans="1:7" x14ac:dyDescent="0.2">
      <c r="A1646" s="4"/>
      <c r="B1646" s="4"/>
      <c r="C1646" s="4"/>
      <c r="D1646" s="23"/>
      <c r="E1646" s="23"/>
      <c r="F1646" s="23"/>
      <c r="G1646" s="23"/>
    </row>
    <row r="1647" spans="1:7" x14ac:dyDescent="0.2">
      <c r="A1647" s="4"/>
      <c r="B1647" s="4"/>
      <c r="C1647" s="4"/>
      <c r="D1647" s="23"/>
      <c r="E1647" s="23"/>
      <c r="F1647" s="23"/>
      <c r="G1647" s="23"/>
    </row>
    <row r="1648" spans="1:7" x14ac:dyDescent="0.2">
      <c r="A1648" s="4"/>
      <c r="B1648" s="4"/>
      <c r="C1648" s="4"/>
      <c r="D1648" s="23"/>
      <c r="E1648" s="23"/>
      <c r="F1648" s="23"/>
      <c r="G1648" s="23"/>
    </row>
    <row r="1649" spans="1:7" x14ac:dyDescent="0.2">
      <c r="A1649" s="4"/>
      <c r="B1649" s="4"/>
      <c r="C1649" s="4"/>
      <c r="D1649" s="23"/>
      <c r="E1649" s="23"/>
      <c r="F1649" s="23"/>
      <c r="G1649" s="23"/>
    </row>
    <row r="1650" spans="1:7" x14ac:dyDescent="0.2">
      <c r="A1650" s="4"/>
      <c r="B1650" s="4"/>
      <c r="C1650" s="4"/>
      <c r="D1650" s="23"/>
      <c r="E1650" s="23"/>
      <c r="F1650" s="23"/>
      <c r="G1650" s="23"/>
    </row>
    <row r="1651" spans="1:7" x14ac:dyDescent="0.2">
      <c r="A1651" s="4"/>
      <c r="B1651" s="4"/>
      <c r="C1651" s="4"/>
      <c r="D1651" s="23"/>
      <c r="E1651" s="23"/>
      <c r="F1651" s="23"/>
      <c r="G1651" s="23"/>
    </row>
    <row r="1652" spans="1:7" x14ac:dyDescent="0.2">
      <c r="A1652" s="4"/>
      <c r="B1652" s="4"/>
      <c r="C1652" s="4"/>
      <c r="D1652" s="23"/>
      <c r="E1652" s="23"/>
      <c r="F1652" s="23"/>
      <c r="G1652" s="23"/>
    </row>
    <row r="1653" spans="1:7" x14ac:dyDescent="0.2">
      <c r="A1653" s="4"/>
      <c r="B1653" s="4"/>
      <c r="C1653" s="4"/>
      <c r="D1653" s="23"/>
      <c r="E1653" s="23"/>
      <c r="F1653" s="23"/>
      <c r="G1653" s="23"/>
    </row>
    <row r="1654" spans="1:7" x14ac:dyDescent="0.2">
      <c r="A1654" s="4"/>
      <c r="B1654" s="4"/>
      <c r="C1654" s="4"/>
      <c r="D1654" s="23"/>
      <c r="E1654" s="23"/>
      <c r="F1654" s="23"/>
      <c r="G1654" s="23"/>
    </row>
    <row r="1655" spans="1:7" x14ac:dyDescent="0.2">
      <c r="A1655" s="4"/>
      <c r="B1655" s="4"/>
      <c r="C1655" s="4"/>
      <c r="D1655" s="23"/>
      <c r="E1655" s="23"/>
      <c r="F1655" s="23"/>
      <c r="G1655" s="23"/>
    </row>
    <row r="1656" spans="1:7" x14ac:dyDescent="0.2">
      <c r="A1656" s="4"/>
      <c r="B1656" s="4"/>
      <c r="C1656" s="4"/>
      <c r="D1656" s="23"/>
      <c r="E1656" s="23"/>
      <c r="F1656" s="23"/>
      <c r="G1656" s="23"/>
    </row>
    <row r="1657" spans="1:7" x14ac:dyDescent="0.2">
      <c r="A1657" s="4"/>
      <c r="B1657" s="4"/>
      <c r="C1657" s="4"/>
      <c r="D1657" s="23"/>
      <c r="E1657" s="23"/>
      <c r="F1657" s="23"/>
      <c r="G1657" s="23"/>
    </row>
    <row r="1658" spans="1:7" x14ac:dyDescent="0.2">
      <c r="A1658" s="4"/>
      <c r="B1658" s="4"/>
      <c r="C1658" s="4"/>
      <c r="D1658" s="23"/>
      <c r="E1658" s="23"/>
      <c r="F1658" s="23"/>
      <c r="G1658" s="23"/>
    </row>
    <row r="1659" spans="1:7" x14ac:dyDescent="0.2">
      <c r="A1659" s="4"/>
      <c r="B1659" s="4"/>
      <c r="C1659" s="4"/>
      <c r="D1659" s="23"/>
      <c r="E1659" s="23"/>
      <c r="F1659" s="23"/>
      <c r="G1659" s="23"/>
    </row>
    <row r="1660" spans="1:7" x14ac:dyDescent="0.2">
      <c r="A1660" s="4"/>
      <c r="B1660" s="4"/>
      <c r="C1660" s="4"/>
      <c r="D1660" s="23"/>
      <c r="E1660" s="23"/>
      <c r="F1660" s="23"/>
      <c r="G1660" s="23"/>
    </row>
    <row r="1661" spans="1:7" x14ac:dyDescent="0.2">
      <c r="A1661" s="4"/>
      <c r="B1661" s="4"/>
      <c r="C1661" s="4"/>
      <c r="D1661" s="23"/>
      <c r="E1661" s="23"/>
      <c r="F1661" s="23"/>
      <c r="G1661" s="23"/>
    </row>
    <row r="1662" spans="1:7" x14ac:dyDescent="0.2">
      <c r="A1662" s="4"/>
      <c r="B1662" s="4"/>
      <c r="C1662" s="4"/>
      <c r="D1662" s="23"/>
      <c r="E1662" s="23"/>
      <c r="F1662" s="23"/>
      <c r="G1662" s="23"/>
    </row>
    <row r="1663" spans="1:7" x14ac:dyDescent="0.2">
      <c r="A1663" s="4"/>
      <c r="B1663" s="4"/>
      <c r="C1663" s="4"/>
      <c r="D1663" s="23"/>
      <c r="E1663" s="23"/>
      <c r="F1663" s="23"/>
      <c r="G1663" s="23"/>
    </row>
    <row r="1664" spans="1:7" x14ac:dyDescent="0.2">
      <c r="A1664" s="4"/>
      <c r="B1664" s="4"/>
      <c r="C1664" s="4"/>
      <c r="D1664" s="23"/>
      <c r="E1664" s="23"/>
      <c r="F1664" s="23"/>
      <c r="G1664" s="23"/>
    </row>
    <row r="1665" spans="1:7" x14ac:dyDescent="0.2">
      <c r="A1665" s="4"/>
      <c r="B1665" s="4"/>
      <c r="C1665" s="4"/>
      <c r="D1665" s="23"/>
      <c r="E1665" s="23"/>
      <c r="F1665" s="23"/>
      <c r="G1665" s="23"/>
    </row>
    <row r="1666" spans="1:7" x14ac:dyDescent="0.2">
      <c r="A1666" s="4"/>
      <c r="B1666" s="4"/>
      <c r="C1666" s="4"/>
      <c r="D1666" s="23"/>
      <c r="E1666" s="23"/>
      <c r="F1666" s="23"/>
      <c r="G1666" s="23"/>
    </row>
    <row r="1667" spans="1:7" x14ac:dyDescent="0.2">
      <c r="A1667" s="4"/>
      <c r="B1667" s="4"/>
      <c r="C1667" s="4"/>
      <c r="D1667" s="23"/>
      <c r="E1667" s="23"/>
      <c r="F1667" s="23"/>
      <c r="G1667" s="23"/>
    </row>
    <row r="1668" spans="1:7" x14ac:dyDescent="0.2">
      <c r="A1668" s="4"/>
      <c r="B1668" s="4"/>
      <c r="C1668" s="4"/>
      <c r="D1668" s="23"/>
      <c r="E1668" s="23"/>
      <c r="F1668" s="23"/>
      <c r="G1668" s="23"/>
    </row>
    <row r="1669" spans="1:7" x14ac:dyDescent="0.2">
      <c r="A1669" s="4"/>
      <c r="B1669" s="4"/>
      <c r="C1669" s="4"/>
      <c r="D1669" s="23"/>
      <c r="E1669" s="23"/>
      <c r="F1669" s="23"/>
      <c r="G1669" s="23"/>
    </row>
    <row r="1670" spans="1:7" x14ac:dyDescent="0.2">
      <c r="A1670" s="4"/>
      <c r="B1670" s="4"/>
      <c r="C1670" s="4"/>
      <c r="D1670" s="23"/>
      <c r="E1670" s="23"/>
      <c r="F1670" s="23"/>
      <c r="G1670" s="23"/>
    </row>
    <row r="1671" spans="1:7" x14ac:dyDescent="0.2">
      <c r="A1671" s="4"/>
      <c r="B1671" s="4"/>
      <c r="C1671" s="4"/>
      <c r="D1671" s="23"/>
      <c r="E1671" s="23"/>
      <c r="F1671" s="23"/>
      <c r="G1671" s="23"/>
    </row>
    <row r="1672" spans="1:7" x14ac:dyDescent="0.2">
      <c r="A1672" s="4"/>
      <c r="B1672" s="4"/>
      <c r="C1672" s="4"/>
      <c r="D1672" s="23"/>
      <c r="E1672" s="23"/>
      <c r="F1672" s="23"/>
      <c r="G1672" s="23"/>
    </row>
    <row r="1673" spans="1:7" x14ac:dyDescent="0.2">
      <c r="A1673" s="4"/>
      <c r="B1673" s="4"/>
      <c r="C1673" s="4"/>
      <c r="D1673" s="23"/>
      <c r="E1673" s="23"/>
      <c r="F1673" s="23"/>
      <c r="G1673" s="23"/>
    </row>
    <row r="1674" spans="1:7" x14ac:dyDescent="0.2">
      <c r="A1674" s="4"/>
      <c r="B1674" s="4"/>
      <c r="C1674" s="4"/>
      <c r="D1674" s="23"/>
      <c r="E1674" s="23"/>
      <c r="F1674" s="23"/>
      <c r="G1674" s="23"/>
    </row>
    <row r="1675" spans="1:7" x14ac:dyDescent="0.2">
      <c r="A1675" s="4"/>
      <c r="B1675" s="4"/>
      <c r="C1675" s="4"/>
      <c r="D1675" s="23"/>
      <c r="E1675" s="23"/>
      <c r="F1675" s="23"/>
      <c r="G1675" s="23"/>
    </row>
    <row r="1676" spans="1:7" x14ac:dyDescent="0.2">
      <c r="A1676" s="4"/>
      <c r="B1676" s="4"/>
      <c r="C1676" s="4"/>
      <c r="D1676" s="23"/>
      <c r="E1676" s="23"/>
      <c r="F1676" s="23"/>
      <c r="G1676" s="23"/>
    </row>
    <row r="1677" spans="1:7" x14ac:dyDescent="0.2">
      <c r="A1677" s="4"/>
      <c r="B1677" s="4"/>
      <c r="C1677" s="4"/>
      <c r="D1677" s="23"/>
      <c r="E1677" s="23"/>
      <c r="F1677" s="23"/>
      <c r="G1677" s="23"/>
    </row>
    <row r="1678" spans="1:7" x14ac:dyDescent="0.2">
      <c r="A1678" s="4"/>
      <c r="B1678" s="4"/>
      <c r="C1678" s="4"/>
      <c r="D1678" s="23"/>
      <c r="E1678" s="23"/>
      <c r="F1678" s="23"/>
      <c r="G1678" s="23"/>
    </row>
    <row r="1679" spans="1:7" x14ac:dyDescent="0.2">
      <c r="A1679" s="4"/>
      <c r="B1679" s="4"/>
      <c r="C1679" s="4"/>
      <c r="D1679" s="23"/>
      <c r="E1679" s="23"/>
      <c r="F1679" s="23"/>
      <c r="G1679" s="23"/>
    </row>
    <row r="1680" spans="1:7" x14ac:dyDescent="0.2">
      <c r="A1680" s="4"/>
      <c r="B1680" s="4"/>
      <c r="C1680" s="4"/>
      <c r="D1680" s="23"/>
      <c r="E1680" s="23"/>
      <c r="F1680" s="23"/>
      <c r="G1680" s="23"/>
    </row>
    <row r="1681" spans="1:7" x14ac:dyDescent="0.2">
      <c r="A1681" s="4"/>
      <c r="B1681" s="4"/>
      <c r="C1681" s="4"/>
      <c r="D1681" s="23"/>
      <c r="E1681" s="23"/>
      <c r="F1681" s="23"/>
      <c r="G1681" s="23"/>
    </row>
    <row r="1682" spans="1:7" x14ac:dyDescent="0.2">
      <c r="A1682" s="4"/>
      <c r="B1682" s="4"/>
      <c r="C1682" s="4"/>
      <c r="D1682" s="23"/>
      <c r="E1682" s="23"/>
      <c r="F1682" s="23"/>
      <c r="G1682" s="23"/>
    </row>
    <row r="1683" spans="1:7" x14ac:dyDescent="0.2">
      <c r="A1683" s="4"/>
      <c r="B1683" s="4"/>
      <c r="C1683" s="4"/>
      <c r="D1683" s="23"/>
      <c r="E1683" s="23"/>
      <c r="F1683" s="23"/>
      <c r="G1683" s="23"/>
    </row>
    <row r="1684" spans="1:7" x14ac:dyDescent="0.2">
      <c r="A1684" s="4"/>
      <c r="B1684" s="4"/>
      <c r="C1684" s="4"/>
      <c r="D1684" s="23"/>
      <c r="E1684" s="23"/>
      <c r="F1684" s="23"/>
      <c r="G1684" s="23"/>
    </row>
    <row r="1685" spans="1:7" x14ac:dyDescent="0.2">
      <c r="A1685" s="4"/>
      <c r="B1685" s="4"/>
      <c r="C1685" s="4"/>
      <c r="D1685" s="23"/>
      <c r="E1685" s="23"/>
      <c r="F1685" s="23"/>
      <c r="G1685" s="23"/>
    </row>
    <row r="1686" spans="1:7" x14ac:dyDescent="0.2">
      <c r="A1686" s="4"/>
      <c r="B1686" s="4"/>
      <c r="C1686" s="4"/>
      <c r="D1686" s="23"/>
      <c r="E1686" s="23"/>
      <c r="F1686" s="23"/>
      <c r="G1686" s="23"/>
    </row>
    <row r="1687" spans="1:7" x14ac:dyDescent="0.2">
      <c r="A1687" s="4"/>
      <c r="B1687" s="4"/>
      <c r="C1687" s="4"/>
      <c r="D1687" s="23"/>
      <c r="E1687" s="23"/>
      <c r="F1687" s="23"/>
      <c r="G1687" s="23"/>
    </row>
    <row r="1688" spans="1:7" x14ac:dyDescent="0.2">
      <c r="A1688" s="4"/>
      <c r="B1688" s="4"/>
      <c r="C1688" s="4"/>
      <c r="D1688" s="23"/>
      <c r="E1688" s="23"/>
      <c r="F1688" s="23"/>
      <c r="G1688" s="23"/>
    </row>
    <row r="1689" spans="1:7" x14ac:dyDescent="0.2">
      <c r="A1689" s="4"/>
      <c r="B1689" s="4"/>
      <c r="C1689" s="4"/>
      <c r="D1689" s="23"/>
      <c r="E1689" s="23"/>
      <c r="F1689" s="23"/>
      <c r="G1689" s="23"/>
    </row>
    <row r="1690" spans="1:7" x14ac:dyDescent="0.2">
      <c r="A1690" s="4"/>
      <c r="B1690" s="4"/>
      <c r="C1690" s="4"/>
      <c r="D1690" s="23"/>
      <c r="E1690" s="23"/>
      <c r="F1690" s="23"/>
      <c r="G1690" s="23"/>
    </row>
    <row r="1691" spans="1:7" x14ac:dyDescent="0.2">
      <c r="A1691" s="4"/>
      <c r="B1691" s="4"/>
      <c r="C1691" s="4"/>
      <c r="D1691" s="23"/>
      <c r="E1691" s="23"/>
      <c r="F1691" s="23"/>
      <c r="G1691" s="23"/>
    </row>
    <row r="1692" spans="1:7" x14ac:dyDescent="0.2">
      <c r="A1692" s="4"/>
      <c r="B1692" s="4"/>
      <c r="C1692" s="4"/>
      <c r="D1692" s="23"/>
      <c r="E1692" s="23"/>
      <c r="F1692" s="23"/>
      <c r="G1692" s="23"/>
    </row>
    <row r="1693" spans="1:7" x14ac:dyDescent="0.2">
      <c r="A1693" s="4"/>
      <c r="B1693" s="4"/>
      <c r="C1693" s="4"/>
      <c r="D1693" s="23"/>
      <c r="E1693" s="23"/>
      <c r="F1693" s="23"/>
      <c r="G1693" s="23"/>
    </row>
    <row r="1694" spans="1:7" x14ac:dyDescent="0.2">
      <c r="A1694" s="4"/>
      <c r="B1694" s="4"/>
      <c r="C1694" s="4"/>
      <c r="D1694" s="23"/>
      <c r="E1694" s="23"/>
      <c r="F1694" s="23"/>
      <c r="G1694" s="23"/>
    </row>
    <row r="1695" spans="1:7" x14ac:dyDescent="0.2">
      <c r="A1695" s="4"/>
      <c r="B1695" s="4"/>
      <c r="C1695" s="4"/>
      <c r="D1695" s="23"/>
      <c r="E1695" s="23"/>
      <c r="F1695" s="23"/>
      <c r="G1695" s="23"/>
    </row>
    <row r="1696" spans="1:7" x14ac:dyDescent="0.2">
      <c r="A1696" s="4"/>
      <c r="B1696" s="4"/>
      <c r="C1696" s="4"/>
      <c r="D1696" s="23"/>
      <c r="E1696" s="23"/>
      <c r="F1696" s="23"/>
      <c r="G1696" s="23"/>
    </row>
    <row r="1697" spans="1:7" x14ac:dyDescent="0.2">
      <c r="A1697" s="4"/>
      <c r="B1697" s="4"/>
      <c r="C1697" s="4"/>
      <c r="D1697" s="23"/>
      <c r="E1697" s="23"/>
      <c r="F1697" s="23"/>
      <c r="G1697" s="23"/>
    </row>
    <row r="1698" spans="1:7" x14ac:dyDescent="0.2">
      <c r="A1698" s="4"/>
      <c r="B1698" s="4"/>
      <c r="C1698" s="4"/>
      <c r="D1698" s="23"/>
      <c r="E1698" s="23"/>
      <c r="F1698" s="23"/>
      <c r="G1698" s="23"/>
    </row>
    <row r="1699" spans="1:7" x14ac:dyDescent="0.2">
      <c r="A1699" s="4"/>
      <c r="B1699" s="4"/>
      <c r="C1699" s="4"/>
      <c r="D1699" s="23"/>
      <c r="E1699" s="23"/>
      <c r="F1699" s="23"/>
      <c r="G1699" s="23"/>
    </row>
    <row r="1700" spans="1:7" x14ac:dyDescent="0.2">
      <c r="A1700" s="4"/>
      <c r="B1700" s="4"/>
      <c r="C1700" s="4"/>
      <c r="D1700" s="23"/>
      <c r="E1700" s="23"/>
      <c r="F1700" s="23"/>
      <c r="G1700" s="23"/>
    </row>
    <row r="1701" spans="1:7" x14ac:dyDescent="0.2">
      <c r="A1701" s="4"/>
      <c r="B1701" s="4"/>
      <c r="C1701" s="4"/>
      <c r="D1701" s="23"/>
      <c r="E1701" s="23"/>
      <c r="F1701" s="23"/>
      <c r="G1701" s="23"/>
    </row>
    <row r="1702" spans="1:7" x14ac:dyDescent="0.2">
      <c r="A1702" s="4"/>
      <c r="B1702" s="4"/>
      <c r="C1702" s="4"/>
      <c r="D1702" s="23"/>
      <c r="E1702" s="23"/>
      <c r="F1702" s="23"/>
      <c r="G1702" s="23"/>
    </row>
    <row r="1703" spans="1:7" x14ac:dyDescent="0.2">
      <c r="A1703" s="4"/>
      <c r="B1703" s="4"/>
      <c r="C1703" s="4"/>
      <c r="D1703" s="23"/>
      <c r="E1703" s="23"/>
      <c r="F1703" s="23"/>
      <c r="G1703" s="23"/>
    </row>
    <row r="1704" spans="1:7" x14ac:dyDescent="0.2">
      <c r="A1704" s="4"/>
      <c r="B1704" s="4"/>
      <c r="C1704" s="4"/>
      <c r="D1704" s="23"/>
      <c r="E1704" s="23"/>
      <c r="F1704" s="23"/>
      <c r="G1704" s="23"/>
    </row>
    <row r="1705" spans="1:7" x14ac:dyDescent="0.2">
      <c r="A1705" s="4"/>
      <c r="B1705" s="4"/>
      <c r="C1705" s="4"/>
      <c r="D1705" s="23"/>
      <c r="E1705" s="23"/>
      <c r="F1705" s="23"/>
      <c r="G1705" s="23"/>
    </row>
    <row r="1706" spans="1:7" x14ac:dyDescent="0.2">
      <c r="A1706" s="4"/>
      <c r="B1706" s="4"/>
      <c r="C1706" s="4"/>
      <c r="D1706" s="23"/>
      <c r="E1706" s="23"/>
      <c r="F1706" s="23"/>
      <c r="G1706" s="23"/>
    </row>
    <row r="1707" spans="1:7" x14ac:dyDescent="0.2">
      <c r="A1707" s="4"/>
      <c r="B1707" s="4"/>
      <c r="C1707" s="4"/>
      <c r="D1707" s="23"/>
      <c r="E1707" s="23"/>
      <c r="F1707" s="23"/>
      <c r="G1707" s="23"/>
    </row>
    <row r="1708" spans="1:7" x14ac:dyDescent="0.2">
      <c r="A1708" s="4"/>
      <c r="B1708" s="4"/>
      <c r="C1708" s="4"/>
      <c r="D1708" s="23"/>
      <c r="E1708" s="23"/>
      <c r="F1708" s="23"/>
      <c r="G1708" s="23"/>
    </row>
    <row r="1709" spans="1:7" x14ac:dyDescent="0.2">
      <c r="A1709" s="4"/>
      <c r="B1709" s="4"/>
      <c r="C1709" s="4"/>
      <c r="D1709" s="23"/>
      <c r="E1709" s="23"/>
      <c r="F1709" s="23"/>
      <c r="G1709" s="23"/>
    </row>
    <row r="1710" spans="1:7" x14ac:dyDescent="0.2">
      <c r="A1710" s="4"/>
      <c r="B1710" s="4"/>
      <c r="C1710" s="4"/>
      <c r="D1710" s="23"/>
      <c r="E1710" s="23"/>
      <c r="F1710" s="23"/>
      <c r="G1710" s="23"/>
    </row>
    <row r="1711" spans="1:7" x14ac:dyDescent="0.2">
      <c r="A1711" s="4"/>
      <c r="B1711" s="4"/>
      <c r="C1711" s="4"/>
      <c r="D1711" s="23"/>
      <c r="E1711" s="23"/>
      <c r="F1711" s="23"/>
      <c r="G1711" s="23"/>
    </row>
    <row r="1712" spans="1:7" x14ac:dyDescent="0.2">
      <c r="A1712" s="4"/>
      <c r="B1712" s="4"/>
      <c r="C1712" s="4"/>
      <c r="D1712" s="23"/>
      <c r="E1712" s="23"/>
      <c r="F1712" s="23"/>
      <c r="G1712" s="23"/>
    </row>
    <row r="1713" spans="1:7" x14ac:dyDescent="0.2">
      <c r="A1713" s="4"/>
      <c r="B1713" s="4"/>
      <c r="C1713" s="4"/>
      <c r="D1713" s="23"/>
      <c r="E1713" s="23"/>
      <c r="F1713" s="23"/>
      <c r="G1713" s="23"/>
    </row>
    <row r="1714" spans="1:7" x14ac:dyDescent="0.2">
      <c r="A1714" s="4"/>
      <c r="B1714" s="4"/>
      <c r="C1714" s="4"/>
      <c r="D1714" s="23"/>
      <c r="E1714" s="23"/>
      <c r="F1714" s="23"/>
      <c r="G1714" s="23"/>
    </row>
    <row r="1715" spans="1:7" x14ac:dyDescent="0.2">
      <c r="A1715" s="4"/>
      <c r="B1715" s="4"/>
      <c r="C1715" s="4"/>
      <c r="D1715" s="23"/>
      <c r="E1715" s="23"/>
      <c r="F1715" s="23"/>
      <c r="G1715" s="23"/>
    </row>
    <row r="1716" spans="1:7" x14ac:dyDescent="0.2">
      <c r="A1716" s="4"/>
      <c r="B1716" s="4"/>
      <c r="C1716" s="4"/>
      <c r="D1716" s="23"/>
      <c r="E1716" s="23"/>
      <c r="F1716" s="23"/>
      <c r="G1716" s="23"/>
    </row>
    <row r="1717" spans="1:7" x14ac:dyDescent="0.2">
      <c r="A1717" s="4"/>
      <c r="B1717" s="4"/>
      <c r="C1717" s="4"/>
      <c r="D1717" s="23"/>
      <c r="E1717" s="23"/>
      <c r="F1717" s="23"/>
      <c r="G1717" s="23"/>
    </row>
    <row r="1718" spans="1:7" x14ac:dyDescent="0.2">
      <c r="A1718" s="4"/>
      <c r="B1718" s="4"/>
      <c r="C1718" s="4"/>
      <c r="D1718" s="23"/>
      <c r="E1718" s="23"/>
      <c r="F1718" s="23"/>
      <c r="G1718" s="23"/>
    </row>
    <row r="1719" spans="1:7" x14ac:dyDescent="0.2">
      <c r="A1719" s="4"/>
      <c r="B1719" s="4"/>
      <c r="C1719" s="4"/>
      <c r="D1719" s="23"/>
      <c r="E1719" s="23"/>
      <c r="F1719" s="23"/>
      <c r="G1719" s="23"/>
    </row>
    <row r="1720" spans="1:7" x14ac:dyDescent="0.2">
      <c r="A1720" s="4"/>
      <c r="B1720" s="4"/>
      <c r="C1720" s="4"/>
      <c r="D1720" s="23"/>
      <c r="E1720" s="23"/>
      <c r="F1720" s="23"/>
      <c r="G1720" s="23"/>
    </row>
    <row r="1721" spans="1:7" x14ac:dyDescent="0.2">
      <c r="A1721" s="4"/>
      <c r="B1721" s="4"/>
      <c r="C1721" s="4"/>
      <c r="D1721" s="23"/>
      <c r="E1721" s="23"/>
      <c r="F1721" s="23"/>
      <c r="G1721" s="23"/>
    </row>
    <row r="1722" spans="1:7" x14ac:dyDescent="0.2">
      <c r="A1722" s="4"/>
      <c r="B1722" s="4"/>
      <c r="C1722" s="4"/>
      <c r="D1722" s="23"/>
      <c r="E1722" s="23"/>
      <c r="F1722" s="23"/>
      <c r="G1722" s="23"/>
    </row>
    <row r="1723" spans="1:7" x14ac:dyDescent="0.2">
      <c r="A1723" s="4"/>
      <c r="B1723" s="4"/>
      <c r="C1723" s="4"/>
      <c r="D1723" s="23"/>
      <c r="E1723" s="23"/>
      <c r="F1723" s="23"/>
      <c r="G1723" s="23"/>
    </row>
    <row r="1724" spans="1:7" x14ac:dyDescent="0.2">
      <c r="A1724" s="4"/>
      <c r="B1724" s="4"/>
      <c r="C1724" s="4"/>
      <c r="D1724" s="23"/>
      <c r="E1724" s="23"/>
      <c r="F1724" s="23"/>
      <c r="G1724" s="23"/>
    </row>
    <row r="1725" spans="1:7" x14ac:dyDescent="0.2">
      <c r="A1725" s="4"/>
      <c r="B1725" s="4"/>
      <c r="C1725" s="4"/>
      <c r="D1725" s="23"/>
      <c r="E1725" s="23"/>
      <c r="F1725" s="23"/>
      <c r="G1725" s="23"/>
    </row>
    <row r="1726" spans="1:7" x14ac:dyDescent="0.2">
      <c r="A1726" s="4"/>
      <c r="B1726" s="4"/>
      <c r="C1726" s="4"/>
      <c r="D1726" s="23"/>
      <c r="E1726" s="23"/>
      <c r="F1726" s="23"/>
      <c r="G1726" s="23"/>
    </row>
    <row r="1727" spans="1:7" x14ac:dyDescent="0.2">
      <c r="A1727" s="4"/>
      <c r="B1727" s="4"/>
      <c r="C1727" s="4"/>
      <c r="D1727" s="23"/>
      <c r="E1727" s="23"/>
      <c r="F1727" s="23"/>
      <c r="G1727" s="23"/>
    </row>
    <row r="1728" spans="1:7" x14ac:dyDescent="0.2">
      <c r="A1728" s="4"/>
      <c r="B1728" s="4"/>
      <c r="C1728" s="4"/>
      <c r="D1728" s="23"/>
      <c r="E1728" s="23"/>
      <c r="F1728" s="23"/>
      <c r="G1728" s="23"/>
    </row>
    <row r="1729" spans="1:7" x14ac:dyDescent="0.2">
      <c r="A1729" s="4"/>
      <c r="B1729" s="4"/>
      <c r="C1729" s="4"/>
      <c r="D1729" s="23"/>
      <c r="E1729" s="23"/>
      <c r="F1729" s="23"/>
      <c r="G1729" s="23"/>
    </row>
    <row r="1730" spans="1:7" x14ac:dyDescent="0.2">
      <c r="A1730" s="4"/>
      <c r="B1730" s="4"/>
      <c r="C1730" s="4"/>
      <c r="D1730" s="23"/>
      <c r="E1730" s="23"/>
      <c r="F1730" s="23"/>
      <c r="G1730" s="23"/>
    </row>
    <row r="1731" spans="1:7" x14ac:dyDescent="0.2">
      <c r="A1731" s="4"/>
      <c r="B1731" s="4"/>
      <c r="C1731" s="4"/>
      <c r="D1731" s="23"/>
      <c r="E1731" s="23"/>
      <c r="F1731" s="23"/>
      <c r="G1731" s="23"/>
    </row>
    <row r="1732" spans="1:7" x14ac:dyDescent="0.2">
      <c r="A1732" s="4"/>
      <c r="B1732" s="4"/>
      <c r="C1732" s="4"/>
      <c r="D1732" s="23"/>
      <c r="E1732" s="23"/>
      <c r="F1732" s="23"/>
      <c r="G1732" s="23"/>
    </row>
    <row r="1733" spans="1:7" x14ac:dyDescent="0.2">
      <c r="A1733" s="4"/>
      <c r="B1733" s="4"/>
      <c r="C1733" s="4"/>
      <c r="D1733" s="23"/>
      <c r="E1733" s="23"/>
      <c r="F1733" s="23"/>
      <c r="G1733" s="23"/>
    </row>
    <row r="1734" spans="1:7" x14ac:dyDescent="0.2">
      <c r="A1734" s="4"/>
      <c r="B1734" s="4"/>
      <c r="C1734" s="4"/>
      <c r="D1734" s="23"/>
      <c r="E1734" s="23"/>
      <c r="F1734" s="23"/>
      <c r="G1734" s="23"/>
    </row>
    <row r="1735" spans="1:7" x14ac:dyDescent="0.2">
      <c r="A1735" s="4"/>
      <c r="B1735" s="4"/>
      <c r="C1735" s="4"/>
      <c r="D1735" s="23"/>
      <c r="E1735" s="23"/>
      <c r="F1735" s="23"/>
      <c r="G1735" s="23"/>
    </row>
    <row r="1736" spans="1:7" x14ac:dyDescent="0.2">
      <c r="A1736" s="4"/>
      <c r="B1736" s="4"/>
      <c r="C1736" s="4"/>
      <c r="D1736" s="23"/>
      <c r="E1736" s="23"/>
      <c r="F1736" s="23"/>
      <c r="G1736" s="23"/>
    </row>
    <row r="1737" spans="1:7" x14ac:dyDescent="0.2">
      <c r="A1737" s="4"/>
      <c r="B1737" s="4"/>
      <c r="C1737" s="4"/>
      <c r="D1737" s="23"/>
      <c r="E1737" s="23"/>
      <c r="F1737" s="23"/>
      <c r="G1737" s="23"/>
    </row>
    <row r="1738" spans="1:7" x14ac:dyDescent="0.2">
      <c r="A1738" s="4"/>
      <c r="B1738" s="4"/>
      <c r="C1738" s="4"/>
      <c r="D1738" s="23"/>
      <c r="E1738" s="23"/>
      <c r="F1738" s="23"/>
      <c r="G1738" s="23"/>
    </row>
    <row r="1739" spans="1:7" x14ac:dyDescent="0.2">
      <c r="A1739" s="4"/>
      <c r="B1739" s="4"/>
      <c r="C1739" s="4"/>
      <c r="D1739" s="23"/>
      <c r="E1739" s="23"/>
      <c r="F1739" s="23"/>
      <c r="G1739" s="23"/>
    </row>
    <row r="1740" spans="1:7" x14ac:dyDescent="0.2">
      <c r="A1740" s="4"/>
      <c r="B1740" s="4"/>
      <c r="C1740" s="4"/>
      <c r="D1740" s="23"/>
      <c r="E1740" s="23"/>
      <c r="F1740" s="23"/>
      <c r="G1740" s="23"/>
    </row>
    <row r="1741" spans="1:7" x14ac:dyDescent="0.2">
      <c r="A1741" s="4"/>
      <c r="B1741" s="4"/>
      <c r="C1741" s="4"/>
      <c r="D1741" s="23"/>
      <c r="E1741" s="23"/>
      <c r="F1741" s="23"/>
      <c r="G1741" s="23"/>
    </row>
    <row r="1742" spans="1:7" x14ac:dyDescent="0.2">
      <c r="A1742" s="4"/>
      <c r="B1742" s="4"/>
      <c r="C1742" s="4"/>
      <c r="D1742" s="23"/>
      <c r="E1742" s="23"/>
      <c r="F1742" s="23"/>
      <c r="G1742" s="23"/>
    </row>
    <row r="1743" spans="1:7" x14ac:dyDescent="0.2">
      <c r="A1743" s="4"/>
      <c r="B1743" s="4"/>
      <c r="C1743" s="4"/>
      <c r="D1743" s="23"/>
      <c r="E1743" s="23"/>
      <c r="F1743" s="23"/>
      <c r="G1743" s="23"/>
    </row>
    <row r="1744" spans="1:7" x14ac:dyDescent="0.2">
      <c r="A1744" s="4"/>
      <c r="B1744" s="4"/>
      <c r="C1744" s="4"/>
      <c r="D1744" s="23"/>
      <c r="E1744" s="23"/>
      <c r="F1744" s="23"/>
      <c r="G1744" s="23"/>
    </row>
    <row r="1745" spans="1:7" x14ac:dyDescent="0.2">
      <c r="A1745" s="4"/>
      <c r="B1745" s="4"/>
      <c r="C1745" s="4"/>
      <c r="D1745" s="23"/>
      <c r="E1745" s="23"/>
      <c r="F1745" s="23"/>
      <c r="G1745" s="23"/>
    </row>
    <row r="1746" spans="1:7" x14ac:dyDescent="0.2">
      <c r="A1746" s="4"/>
      <c r="B1746" s="4"/>
      <c r="C1746" s="4"/>
      <c r="D1746" s="23"/>
      <c r="E1746" s="23"/>
      <c r="F1746" s="23"/>
      <c r="G1746" s="23"/>
    </row>
    <row r="1747" spans="1:7" x14ac:dyDescent="0.2">
      <c r="A1747" s="4"/>
      <c r="B1747" s="4"/>
      <c r="C1747" s="4"/>
      <c r="D1747" s="23"/>
      <c r="E1747" s="23"/>
      <c r="F1747" s="23"/>
      <c r="G1747" s="23"/>
    </row>
    <row r="1748" spans="1:7" x14ac:dyDescent="0.2">
      <c r="A1748" s="4"/>
      <c r="B1748" s="4"/>
      <c r="C1748" s="4"/>
      <c r="D1748" s="23"/>
      <c r="E1748" s="23"/>
      <c r="F1748" s="23"/>
      <c r="G1748" s="23"/>
    </row>
    <row r="1749" spans="1:7" x14ac:dyDescent="0.2">
      <c r="A1749" s="4"/>
      <c r="B1749" s="4"/>
      <c r="C1749" s="4"/>
      <c r="D1749" s="23"/>
      <c r="E1749" s="23"/>
      <c r="F1749" s="23"/>
      <c r="G1749" s="23"/>
    </row>
    <row r="1750" spans="1:7" x14ac:dyDescent="0.2">
      <c r="A1750" s="4"/>
      <c r="B1750" s="4"/>
      <c r="C1750" s="4"/>
      <c r="D1750" s="23"/>
      <c r="E1750" s="23"/>
      <c r="F1750" s="23"/>
      <c r="G1750" s="23"/>
    </row>
    <row r="1751" spans="1:7" x14ac:dyDescent="0.2">
      <c r="A1751" s="4"/>
      <c r="B1751" s="4"/>
      <c r="C1751" s="4"/>
      <c r="D1751" s="23"/>
      <c r="E1751" s="23"/>
      <c r="F1751" s="23"/>
      <c r="G1751" s="23"/>
    </row>
    <row r="1752" spans="1:7" x14ac:dyDescent="0.2">
      <c r="A1752" s="4"/>
      <c r="B1752" s="4"/>
      <c r="C1752" s="4"/>
      <c r="D1752" s="23"/>
      <c r="E1752" s="23"/>
      <c r="F1752" s="23"/>
      <c r="G1752" s="23"/>
    </row>
    <row r="1753" spans="1:7" x14ac:dyDescent="0.2">
      <c r="A1753" s="4"/>
      <c r="B1753" s="4"/>
      <c r="C1753" s="4"/>
      <c r="D1753" s="23"/>
      <c r="E1753" s="23"/>
      <c r="F1753" s="23"/>
      <c r="G1753" s="23"/>
    </row>
    <row r="1754" spans="1:7" x14ac:dyDescent="0.2">
      <c r="A1754" s="4"/>
      <c r="B1754" s="4"/>
      <c r="C1754" s="4"/>
      <c r="D1754" s="23"/>
      <c r="E1754" s="23"/>
      <c r="F1754" s="23"/>
      <c r="G1754" s="23"/>
    </row>
    <row r="1755" spans="1:7" x14ac:dyDescent="0.2">
      <c r="A1755" s="4"/>
      <c r="B1755" s="4"/>
      <c r="C1755" s="4"/>
      <c r="D1755" s="23"/>
      <c r="E1755" s="23"/>
      <c r="F1755" s="23"/>
      <c r="G1755" s="23"/>
    </row>
    <row r="1756" spans="1:7" x14ac:dyDescent="0.2">
      <c r="A1756" s="4"/>
      <c r="B1756" s="4"/>
      <c r="C1756" s="4"/>
      <c r="D1756" s="23"/>
      <c r="E1756" s="23"/>
      <c r="F1756" s="23"/>
      <c r="G1756" s="23"/>
    </row>
    <row r="1757" spans="1:7" x14ac:dyDescent="0.2">
      <c r="A1757" s="4"/>
      <c r="B1757" s="4"/>
      <c r="C1757" s="4"/>
      <c r="D1757" s="23"/>
      <c r="E1757" s="23"/>
      <c r="F1757" s="23"/>
      <c r="G1757" s="23"/>
    </row>
    <row r="1758" spans="1:7" x14ac:dyDescent="0.2">
      <c r="A1758" s="4"/>
      <c r="B1758" s="4"/>
      <c r="C1758" s="4"/>
      <c r="D1758" s="23"/>
      <c r="E1758" s="23"/>
      <c r="F1758" s="23"/>
      <c r="G1758" s="23"/>
    </row>
    <row r="1759" spans="1:7" x14ac:dyDescent="0.2">
      <c r="A1759" s="4"/>
      <c r="B1759" s="4"/>
      <c r="C1759" s="4"/>
      <c r="D1759" s="23"/>
      <c r="E1759" s="23"/>
      <c r="F1759" s="23"/>
      <c r="G1759" s="23"/>
    </row>
    <row r="1760" spans="1:7" x14ac:dyDescent="0.2">
      <c r="A1760" s="4"/>
      <c r="B1760" s="4"/>
      <c r="C1760" s="4"/>
      <c r="D1760" s="23"/>
      <c r="E1760" s="23"/>
      <c r="F1760" s="23"/>
      <c r="G1760" s="23"/>
    </row>
    <row r="1761" spans="1:7" x14ac:dyDescent="0.2">
      <c r="A1761" s="4"/>
      <c r="B1761" s="4"/>
      <c r="C1761" s="4"/>
      <c r="D1761" s="23"/>
      <c r="E1761" s="23"/>
      <c r="F1761" s="23"/>
      <c r="G1761" s="23"/>
    </row>
    <row r="1762" spans="1:7" x14ac:dyDescent="0.2">
      <c r="A1762" s="4"/>
      <c r="B1762" s="4"/>
      <c r="C1762" s="4"/>
      <c r="D1762" s="23"/>
      <c r="E1762" s="23"/>
      <c r="F1762" s="23"/>
      <c r="G1762" s="23"/>
    </row>
    <row r="1763" spans="1:7" x14ac:dyDescent="0.2">
      <c r="A1763" s="4"/>
      <c r="B1763" s="4"/>
      <c r="C1763" s="4"/>
      <c r="D1763" s="23"/>
      <c r="E1763" s="23"/>
      <c r="F1763" s="23"/>
      <c r="G1763" s="23"/>
    </row>
    <row r="1764" spans="1:7" x14ac:dyDescent="0.2">
      <c r="A1764" s="4"/>
      <c r="B1764" s="4"/>
      <c r="C1764" s="4"/>
      <c r="D1764" s="23"/>
      <c r="E1764" s="23"/>
      <c r="F1764" s="23"/>
      <c r="G1764" s="23"/>
    </row>
    <row r="1765" spans="1:7" x14ac:dyDescent="0.2">
      <c r="A1765" s="4"/>
      <c r="B1765" s="4"/>
      <c r="C1765" s="4"/>
      <c r="D1765" s="23"/>
      <c r="E1765" s="23"/>
      <c r="F1765" s="23"/>
      <c r="G1765" s="23"/>
    </row>
    <row r="1766" spans="1:7" x14ac:dyDescent="0.2">
      <c r="A1766" s="4"/>
      <c r="B1766" s="4"/>
      <c r="C1766" s="4"/>
      <c r="D1766" s="23"/>
      <c r="E1766" s="23"/>
      <c r="F1766" s="23"/>
      <c r="G1766" s="23"/>
    </row>
    <row r="1767" spans="1:7" x14ac:dyDescent="0.2">
      <c r="A1767" s="4"/>
      <c r="B1767" s="4"/>
      <c r="C1767" s="4"/>
      <c r="D1767" s="23"/>
      <c r="E1767" s="23"/>
      <c r="F1767" s="23"/>
      <c r="G1767" s="23"/>
    </row>
    <row r="1768" spans="1:7" x14ac:dyDescent="0.2">
      <c r="A1768" s="4"/>
      <c r="B1768" s="4"/>
      <c r="C1768" s="4"/>
      <c r="D1768" s="23"/>
      <c r="E1768" s="23"/>
      <c r="F1768" s="23"/>
      <c r="G1768" s="23"/>
    </row>
    <row r="1769" spans="1:7" x14ac:dyDescent="0.2">
      <c r="A1769" s="4"/>
      <c r="B1769" s="4"/>
      <c r="C1769" s="4"/>
      <c r="D1769" s="23"/>
      <c r="E1769" s="23"/>
      <c r="F1769" s="23"/>
      <c r="G1769" s="23"/>
    </row>
    <row r="1770" spans="1:7" x14ac:dyDescent="0.2">
      <c r="A1770" s="4"/>
      <c r="B1770" s="4"/>
      <c r="C1770" s="4"/>
      <c r="D1770" s="23"/>
      <c r="E1770" s="23"/>
      <c r="F1770" s="23"/>
      <c r="G1770" s="23"/>
    </row>
    <row r="1771" spans="1:7" x14ac:dyDescent="0.2">
      <c r="A1771" s="4"/>
      <c r="B1771" s="4"/>
      <c r="C1771" s="4"/>
      <c r="D1771" s="23"/>
      <c r="E1771" s="23"/>
      <c r="F1771" s="23"/>
      <c r="G1771" s="23"/>
    </row>
    <row r="1772" spans="1:7" x14ac:dyDescent="0.2">
      <c r="A1772" s="4"/>
      <c r="B1772" s="4"/>
      <c r="C1772" s="4"/>
      <c r="D1772" s="23"/>
      <c r="E1772" s="23"/>
      <c r="F1772" s="23"/>
      <c r="G1772" s="23"/>
    </row>
    <row r="1773" spans="1:7" x14ac:dyDescent="0.2">
      <c r="A1773" s="4"/>
      <c r="B1773" s="4"/>
      <c r="C1773" s="4"/>
      <c r="D1773" s="4"/>
      <c r="E1773" s="4"/>
      <c r="F1773" s="4"/>
      <c r="G1773" s="4"/>
    </row>
    <row r="1774" spans="1:7" x14ac:dyDescent="0.2">
      <c r="A1774" s="4"/>
      <c r="B1774" s="4"/>
      <c r="C1774" s="4"/>
      <c r="D1774" s="4"/>
      <c r="E1774" s="4"/>
      <c r="F1774" s="4"/>
      <c r="G1774" s="4"/>
    </row>
    <row r="1775" spans="1:7" x14ac:dyDescent="0.2">
      <c r="A1775" s="4"/>
      <c r="B1775" s="4"/>
      <c r="C1775" s="4"/>
      <c r="D1775" s="4"/>
      <c r="E1775" s="4"/>
      <c r="F1775" s="4"/>
      <c r="G1775" s="4"/>
    </row>
    <row r="1776" spans="1:7" x14ac:dyDescent="0.2">
      <c r="A1776" s="4"/>
      <c r="B1776" s="4"/>
      <c r="C1776" s="4"/>
      <c r="D1776" s="4"/>
      <c r="E1776" s="4"/>
      <c r="F1776" s="4"/>
      <c r="G1776" s="4"/>
    </row>
    <row r="1777" spans="1:1" x14ac:dyDescent="0.2">
      <c r="A1777" s="4"/>
    </row>
    <row r="1778" spans="1:1" x14ac:dyDescent="0.2">
      <c r="A1778" s="4"/>
    </row>
    <row r="1779" spans="1:1" x14ac:dyDescent="0.2">
      <c r="A1779" s="4"/>
    </row>
    <row r="1780" spans="1:1" x14ac:dyDescent="0.2">
      <c r="A1780" s="4"/>
    </row>
    <row r="1781" spans="1:1" x14ac:dyDescent="0.2">
      <c r="A1781" s="4"/>
    </row>
    <row r="1782" spans="1:1" x14ac:dyDescent="0.2">
      <c r="A1782" s="4"/>
    </row>
    <row r="1783" spans="1:1" x14ac:dyDescent="0.2">
      <c r="A1783" s="4"/>
    </row>
    <row r="1784" spans="1:1" x14ac:dyDescent="0.2">
      <c r="A1784" s="4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28"/>
  <sheetViews>
    <sheetView topLeftCell="A722" workbookViewId="0">
      <selection activeCell="A729" sqref="A729"/>
    </sheetView>
  </sheetViews>
  <sheetFormatPr defaultRowHeight="12.75" x14ac:dyDescent="0.2"/>
  <cols>
    <col min="2" max="3" width="9.140625" style="15"/>
  </cols>
  <sheetData>
    <row r="1" spans="1:30" x14ac:dyDescent="0.2">
      <c r="A1" s="7" t="s">
        <v>2</v>
      </c>
      <c r="B1" s="8" t="s">
        <v>12</v>
      </c>
      <c r="C1" s="8" t="s">
        <v>13</v>
      </c>
      <c r="O1" s="11"/>
      <c r="P1" s="11"/>
      <c r="Q1" s="27"/>
      <c r="R1" s="11"/>
      <c r="S1" s="12"/>
      <c r="T1" s="28"/>
      <c r="U1" s="29"/>
      <c r="V1" s="12"/>
      <c r="W1" s="12"/>
      <c r="X1" s="12"/>
      <c r="Y1" s="11"/>
      <c r="Z1" s="11"/>
      <c r="AA1" s="11"/>
      <c r="AB1" s="11"/>
      <c r="AC1" s="11"/>
      <c r="AD1" s="11"/>
    </row>
    <row r="2" spans="1:30" x14ac:dyDescent="0.2">
      <c r="I2" s="12"/>
      <c r="J2" s="25"/>
      <c r="K2" s="25"/>
    </row>
    <row r="3" spans="1:30" x14ac:dyDescent="0.2">
      <c r="A3" s="4"/>
      <c r="B3" s="25"/>
      <c r="C3" s="25"/>
      <c r="I3" s="31">
        <v>488251</v>
      </c>
      <c r="J3" s="15">
        <v>0.91100238779527565</v>
      </c>
      <c r="K3" s="15">
        <v>0.12418400970472451</v>
      </c>
    </row>
    <row r="4" spans="1:30" x14ac:dyDescent="0.2">
      <c r="A4" s="4">
        <v>488275</v>
      </c>
      <c r="B4" s="25">
        <v>8.63091535433071E-3</v>
      </c>
      <c r="C4" s="25">
        <v>3.7406387145669295E-2</v>
      </c>
      <c r="I4" s="32">
        <v>488252</v>
      </c>
      <c r="J4" s="15">
        <v>1.0868098661417323</v>
      </c>
      <c r="K4" s="15">
        <v>0.21224757385826773</v>
      </c>
    </row>
    <row r="5" spans="1:30" x14ac:dyDescent="0.2">
      <c r="A5" s="4">
        <v>488276</v>
      </c>
      <c r="B5" s="25">
        <v>2.0714196850393694E-2</v>
      </c>
      <c r="C5" s="25">
        <v>3.6284368149606297E-2</v>
      </c>
      <c r="I5" s="32">
        <v>488253</v>
      </c>
      <c r="J5" s="15">
        <v>1.1986873523622048</v>
      </c>
      <c r="K5" s="15">
        <v>0.10037008763779549</v>
      </c>
    </row>
    <row r="6" spans="1:30" x14ac:dyDescent="0.2">
      <c r="A6" s="4">
        <v>488277</v>
      </c>
      <c r="B6" s="25">
        <v>2.5892746062992127E-2</v>
      </c>
      <c r="C6" s="25">
        <v>7.27586164370079E-2</v>
      </c>
      <c r="I6" s="32">
        <v>488254</v>
      </c>
      <c r="J6" s="15">
        <v>0.44416482283464576</v>
      </c>
      <c r="K6" s="15">
        <v>9.2273064665354398E-2</v>
      </c>
    </row>
    <row r="7" spans="1:30" x14ac:dyDescent="0.2">
      <c r="A7" s="4">
        <v>488278</v>
      </c>
      <c r="B7" s="25">
        <v>7.7678238188976401E-2</v>
      </c>
      <c r="C7" s="25">
        <v>0.14593151681102362</v>
      </c>
      <c r="I7" s="32">
        <v>488255</v>
      </c>
      <c r="J7" s="15">
        <v>0.31352811023622051</v>
      </c>
      <c r="K7" s="15">
        <v>9.5713164763779612E-2</v>
      </c>
    </row>
    <row r="8" spans="1:30" x14ac:dyDescent="0.2">
      <c r="A8" s="4">
        <v>488279</v>
      </c>
      <c r="B8" s="25">
        <v>7.5952055118110234E-2</v>
      </c>
      <c r="C8" s="25">
        <v>0.14546544738188977</v>
      </c>
      <c r="I8" s="32">
        <v>488256</v>
      </c>
      <c r="J8" s="15">
        <v>0.12083281496062995</v>
      </c>
      <c r="K8" s="15">
        <v>4.7970627539370092E-2</v>
      </c>
    </row>
    <row r="9" spans="1:30" x14ac:dyDescent="0.2">
      <c r="A9" s="4">
        <v>488280</v>
      </c>
      <c r="B9" s="25">
        <v>0.15363029330708666</v>
      </c>
      <c r="C9" s="25">
        <v>0.20370686419291339</v>
      </c>
      <c r="I9" s="32">
        <v>488257</v>
      </c>
      <c r="J9" s="15">
        <v>0.19678487007874018</v>
      </c>
      <c r="K9" s="15">
        <v>3.120938992125985E-2</v>
      </c>
    </row>
    <row r="10" spans="1:30" x14ac:dyDescent="0.2">
      <c r="A10" s="4">
        <v>488281</v>
      </c>
      <c r="B10" s="25">
        <v>0.95894988188976371</v>
      </c>
      <c r="C10" s="25">
        <v>0.58368082811023636</v>
      </c>
      <c r="I10" s="31">
        <v>488258</v>
      </c>
      <c r="J10" s="15">
        <v>0.13809464566929133</v>
      </c>
      <c r="K10" s="15">
        <v>8.113060433070865E-2</v>
      </c>
    </row>
    <row r="11" spans="1:30" x14ac:dyDescent="0.2">
      <c r="A11" s="4">
        <v>488282</v>
      </c>
      <c r="B11" s="25">
        <v>0.83108989763779517</v>
      </c>
      <c r="C11" s="25">
        <v>0.46796754236220489</v>
      </c>
      <c r="I11" s="31">
        <v>488259</v>
      </c>
      <c r="J11" s="15">
        <v>0.83108989763779517</v>
      </c>
      <c r="K11" s="15">
        <v>0.24469204486220475</v>
      </c>
    </row>
    <row r="12" spans="1:30" x14ac:dyDescent="0.2">
      <c r="A12" s="4">
        <v>488283</v>
      </c>
      <c r="B12" s="25">
        <v>0.41368292322834654</v>
      </c>
      <c r="C12" s="25">
        <v>0.20570927677165346</v>
      </c>
      <c r="I12" s="31">
        <v>488260</v>
      </c>
      <c r="J12" s="15">
        <v>0.27869165354330705</v>
      </c>
      <c r="K12" s="15">
        <v>6.4186171456692975E-2</v>
      </c>
    </row>
    <row r="13" spans="1:30" x14ac:dyDescent="0.2">
      <c r="A13" s="4">
        <v>488284</v>
      </c>
      <c r="B13" s="25">
        <v>0.37013735236220469</v>
      </c>
      <c r="C13" s="25">
        <v>0.17183082263779548</v>
      </c>
      <c r="I13" s="31">
        <v>488261</v>
      </c>
      <c r="J13" s="15">
        <v>0.33094633858267719</v>
      </c>
      <c r="K13" s="15">
        <v>0.11147666141732288</v>
      </c>
    </row>
    <row r="14" spans="1:30" x14ac:dyDescent="0.2">
      <c r="A14" s="4">
        <v>488285</v>
      </c>
      <c r="B14" s="25">
        <v>0.12192759842519683</v>
      </c>
      <c r="C14" s="25">
        <v>0.20435936407480315</v>
      </c>
      <c r="I14" s="31">
        <v>488262</v>
      </c>
      <c r="J14" s="15">
        <v>1.1507398582677169</v>
      </c>
      <c r="K14" s="15">
        <v>0.55427303173228326</v>
      </c>
    </row>
    <row r="15" spans="1:30" x14ac:dyDescent="0.2">
      <c r="A15" s="4">
        <v>488286</v>
      </c>
      <c r="B15" s="25">
        <v>0.10886392716535434</v>
      </c>
      <c r="C15" s="25">
        <v>0.20083217283464566</v>
      </c>
      <c r="I15" s="31">
        <v>488263</v>
      </c>
      <c r="J15" s="15">
        <v>1.214669850393701</v>
      </c>
      <c r="K15" s="15">
        <v>0.18587645210629944</v>
      </c>
    </row>
    <row r="16" spans="1:30" x14ac:dyDescent="0.2">
      <c r="A16" s="4">
        <v>488287</v>
      </c>
      <c r="B16" s="25">
        <v>0.17418228346456693</v>
      </c>
      <c r="C16" s="25">
        <v>0.22952870403543313</v>
      </c>
      <c r="I16" s="31">
        <v>488264</v>
      </c>
      <c r="J16" s="15">
        <v>0.26998253937007877</v>
      </c>
      <c r="K16" s="15">
        <v>6.1834710629921248E-2</v>
      </c>
    </row>
    <row r="17" spans="1:3" x14ac:dyDescent="0.2">
      <c r="A17" s="4">
        <v>488288</v>
      </c>
      <c r="B17" s="25">
        <v>0.23514608267716539</v>
      </c>
      <c r="C17" s="25">
        <v>0.26257979232283463</v>
      </c>
    </row>
    <row r="18" spans="1:3" x14ac:dyDescent="0.2">
      <c r="A18" s="12">
        <v>488289</v>
      </c>
      <c r="B18" s="25">
        <v>0.46593760826771657</v>
      </c>
      <c r="C18" s="25">
        <v>0.25299976673228347</v>
      </c>
    </row>
    <row r="19" spans="1:3" x14ac:dyDescent="0.2">
      <c r="A19" s="4">
        <v>488290</v>
      </c>
      <c r="B19" s="25">
        <v>2.4772871948818898</v>
      </c>
      <c r="C19" s="25">
        <v>0.42529427261811081</v>
      </c>
    </row>
    <row r="20" spans="1:3" x14ac:dyDescent="0.2">
      <c r="A20" s="22">
        <v>488291</v>
      </c>
      <c r="B20" s="25">
        <v>3.133530342519685</v>
      </c>
      <c r="C20" s="25">
        <v>0.28751515248031523</v>
      </c>
    </row>
    <row r="21" spans="1:3" x14ac:dyDescent="0.2">
      <c r="A21" s="22">
        <v>488292</v>
      </c>
      <c r="B21" s="25">
        <v>6.3868773622047251E-2</v>
      </c>
      <c r="C21" s="25">
        <v>0.14001070887795275</v>
      </c>
    </row>
    <row r="22" spans="1:3" x14ac:dyDescent="0.2">
      <c r="A22" s="22">
        <v>488293</v>
      </c>
      <c r="B22" s="25">
        <v>0.18002842716535436</v>
      </c>
      <c r="C22" s="25">
        <v>0.1266809203346457</v>
      </c>
    </row>
    <row r="23" spans="1:3" x14ac:dyDescent="0.2">
      <c r="A23" s="22">
        <v>488294</v>
      </c>
      <c r="B23" s="25">
        <v>0.33530089566929133</v>
      </c>
      <c r="C23" s="25">
        <v>0.20666727933070866</v>
      </c>
    </row>
    <row r="24" spans="1:3" x14ac:dyDescent="0.2">
      <c r="A24" s="22">
        <v>488295</v>
      </c>
      <c r="B24" s="25">
        <v>0.37449190944881894</v>
      </c>
      <c r="C24" s="25">
        <v>0.20618827805118115</v>
      </c>
    </row>
    <row r="25" spans="1:3" x14ac:dyDescent="0.2">
      <c r="A25" s="22">
        <v>488296</v>
      </c>
      <c r="B25" s="25">
        <v>0.50077406496062993</v>
      </c>
      <c r="C25" s="25">
        <v>0.24581474753937008</v>
      </c>
    </row>
    <row r="26" spans="1:3" x14ac:dyDescent="0.2">
      <c r="A26" s="22">
        <v>488297</v>
      </c>
      <c r="B26" s="25">
        <v>0.97493237992125981</v>
      </c>
      <c r="C26" s="25">
        <v>0.34442283257874029</v>
      </c>
    </row>
    <row r="27" spans="1:3" x14ac:dyDescent="0.2">
      <c r="A27" s="22">
        <v>488298</v>
      </c>
      <c r="B27" s="25">
        <v>1.8379872736220473</v>
      </c>
      <c r="C27" s="25">
        <v>0.47595879137795322</v>
      </c>
    </row>
    <row r="28" spans="1:3" x14ac:dyDescent="0.2">
      <c r="A28" s="22">
        <v>488299</v>
      </c>
      <c r="B28" s="25">
        <v>4.4529115393700778</v>
      </c>
      <c r="C28" s="25">
        <v>0.71356533062992189</v>
      </c>
    </row>
    <row r="29" spans="1:3" x14ac:dyDescent="0.2">
      <c r="A29" s="22">
        <v>488300</v>
      </c>
      <c r="B29" s="25">
        <v>3.7932209409448814</v>
      </c>
      <c r="C29" s="25">
        <v>0.53544886905511813</v>
      </c>
    </row>
    <row r="30" spans="1:3" x14ac:dyDescent="0.2">
      <c r="A30" s="22">
        <v>488301</v>
      </c>
      <c r="B30" s="15">
        <v>0.15363029330708664</v>
      </c>
      <c r="C30" s="15">
        <v>0.18616884419291335</v>
      </c>
    </row>
    <row r="31" spans="1:3" x14ac:dyDescent="0.2">
      <c r="A31" s="22">
        <v>488302</v>
      </c>
      <c r="B31" s="15">
        <v>0.11565426574803152</v>
      </c>
      <c r="C31" s="15">
        <v>0.19345333675196852</v>
      </c>
    </row>
    <row r="32" spans="1:3" x14ac:dyDescent="0.2">
      <c r="A32" s="22">
        <v>488303</v>
      </c>
      <c r="B32" s="15">
        <v>0.26998253937007877</v>
      </c>
      <c r="C32" s="15">
        <v>0.22774333562992125</v>
      </c>
    </row>
    <row r="33" spans="1:3" x14ac:dyDescent="0.2">
      <c r="A33" s="22">
        <v>488304</v>
      </c>
      <c r="B33" s="15">
        <v>0.44416482283464576</v>
      </c>
      <c r="C33" s="15">
        <v>0.25265140216535442</v>
      </c>
    </row>
    <row r="34" spans="1:3" x14ac:dyDescent="0.2">
      <c r="A34" s="22">
        <v>488305</v>
      </c>
      <c r="B34" s="15">
        <v>0.81510739960629919</v>
      </c>
      <c r="C34" s="15">
        <v>0.26067454289370096</v>
      </c>
    </row>
    <row r="35" spans="1:3" x14ac:dyDescent="0.2">
      <c r="A35" s="22">
        <v>488306</v>
      </c>
      <c r="B35" s="15">
        <v>1.3425298346456693</v>
      </c>
      <c r="C35" s="15">
        <v>0.42337637285433072</v>
      </c>
    </row>
    <row r="36" spans="1:3" x14ac:dyDescent="0.2">
      <c r="A36" s="22">
        <v>488307</v>
      </c>
      <c r="B36" s="15">
        <v>2.5837881771653541</v>
      </c>
      <c r="C36" s="15">
        <v>0.62780555283464556</v>
      </c>
    </row>
    <row r="37" spans="1:3" x14ac:dyDescent="0.2">
      <c r="A37" s="22">
        <v>488308</v>
      </c>
      <c r="B37" s="15">
        <v>3.2434787755905505</v>
      </c>
      <c r="C37" s="15">
        <v>0.80592201440944899</v>
      </c>
    </row>
    <row r="38" spans="1:3" x14ac:dyDescent="0.2">
      <c r="A38" s="22">
        <v>488309</v>
      </c>
      <c r="B38" s="15">
        <v>5.1675763543307074</v>
      </c>
      <c r="C38" s="15">
        <v>0.97634208566929159</v>
      </c>
    </row>
    <row r="39" spans="1:3" x14ac:dyDescent="0.2">
      <c r="A39" s="22">
        <v>488310</v>
      </c>
      <c r="B39" s="15">
        <v>0.25794126181102361</v>
      </c>
      <c r="C39" s="15">
        <v>0.19395331318897652</v>
      </c>
    </row>
    <row r="40" spans="1:3" x14ac:dyDescent="0.2">
      <c r="A40" s="22">
        <v>488311</v>
      </c>
      <c r="B40" s="15">
        <v>0.12946373031496064</v>
      </c>
      <c r="C40" s="15">
        <v>0.17745161968503939</v>
      </c>
    </row>
    <row r="41" spans="1:3" x14ac:dyDescent="0.2">
      <c r="A41" s="22">
        <v>488312</v>
      </c>
      <c r="B41" s="15">
        <v>0.21577288385826771</v>
      </c>
      <c r="C41" s="15">
        <v>0.19417833364173231</v>
      </c>
    </row>
    <row r="42" spans="1:3" x14ac:dyDescent="0.2">
      <c r="A42" s="22">
        <v>488313</v>
      </c>
      <c r="B42" s="15">
        <v>0.1785368405511811</v>
      </c>
      <c r="C42" s="15">
        <v>0.18093184694881895</v>
      </c>
    </row>
    <row r="43" spans="1:3" x14ac:dyDescent="0.2">
      <c r="A43" s="22">
        <v>488314</v>
      </c>
      <c r="B43" s="15">
        <v>0.11738044881889764</v>
      </c>
      <c r="C43" s="15">
        <v>0.2158419311811024</v>
      </c>
    </row>
    <row r="44" spans="1:3" x14ac:dyDescent="0.2">
      <c r="A44" s="22">
        <v>488315</v>
      </c>
      <c r="B44" s="15">
        <v>0.35271912401574801</v>
      </c>
      <c r="C44" s="15">
        <v>0.3109153759842519</v>
      </c>
    </row>
    <row r="45" spans="1:3" x14ac:dyDescent="0.2">
      <c r="A45" s="4">
        <v>488316</v>
      </c>
      <c r="B45" s="15">
        <v>0.53125596456692925</v>
      </c>
      <c r="C45" s="15">
        <v>0.38124147293307087</v>
      </c>
    </row>
    <row r="46" spans="1:3" x14ac:dyDescent="0.2">
      <c r="A46" s="4">
        <v>488317</v>
      </c>
      <c r="B46" s="15">
        <v>0.46158305118110232</v>
      </c>
      <c r="C46" s="15">
        <v>0.20205144881889769</v>
      </c>
    </row>
    <row r="47" spans="1:3" x14ac:dyDescent="0.2">
      <c r="A47" s="4">
        <v>488318</v>
      </c>
      <c r="B47" s="15">
        <v>0.37884646653543319</v>
      </c>
      <c r="C47" s="15">
        <v>0.15759142096456688</v>
      </c>
    </row>
    <row r="48" spans="1:3" x14ac:dyDescent="0.2">
      <c r="A48" s="4">
        <v>488321</v>
      </c>
      <c r="B48" s="15">
        <v>8.9761519685039357E-2</v>
      </c>
      <c r="C48" s="15">
        <v>0.14261724531496067</v>
      </c>
    </row>
    <row r="49" spans="1:3" x14ac:dyDescent="0.2">
      <c r="A49" s="4">
        <v>488322</v>
      </c>
      <c r="B49" s="15">
        <v>0.11220189960629923</v>
      </c>
      <c r="C49" s="15">
        <v>0.13990713789370079</v>
      </c>
    </row>
    <row r="50" spans="1:3" x14ac:dyDescent="0.2">
      <c r="A50" s="4">
        <v>488323</v>
      </c>
      <c r="B50" s="15">
        <v>0.16743975787401577</v>
      </c>
      <c r="C50" s="15">
        <v>0.17235937962598427</v>
      </c>
    </row>
    <row r="51" spans="1:3" x14ac:dyDescent="0.2">
      <c r="A51" s="4">
        <v>488324</v>
      </c>
      <c r="B51" s="15">
        <v>0.12083281496062993</v>
      </c>
      <c r="C51" s="15">
        <v>0.15758325253937008</v>
      </c>
    </row>
    <row r="52" spans="1:3" x14ac:dyDescent="0.2">
      <c r="A52" s="4">
        <v>488325</v>
      </c>
      <c r="B52" s="15">
        <v>0.15880884251968508</v>
      </c>
      <c r="C52" s="15">
        <v>0.17879804248031494</v>
      </c>
    </row>
    <row r="53" spans="1:3" x14ac:dyDescent="0.2">
      <c r="A53" s="4">
        <v>488326</v>
      </c>
      <c r="B53" s="15">
        <v>0.19851105314960632</v>
      </c>
      <c r="C53" s="15">
        <v>0.16321060935039372</v>
      </c>
    </row>
    <row r="54" spans="1:3" x14ac:dyDescent="0.2">
      <c r="A54" s="12">
        <v>488327</v>
      </c>
      <c r="B54" s="15">
        <v>0.46593760826771657</v>
      </c>
      <c r="C54" s="15">
        <v>0.21428775423228336</v>
      </c>
    </row>
    <row r="55" spans="1:3" x14ac:dyDescent="0.2">
      <c r="A55" s="12">
        <v>488328</v>
      </c>
      <c r="B55" s="15">
        <v>0.73519490944881893</v>
      </c>
      <c r="C55" s="15">
        <v>0.21880039805118107</v>
      </c>
    </row>
    <row r="56" spans="1:3" x14ac:dyDescent="0.2">
      <c r="A56" s="12">
        <v>488329</v>
      </c>
      <c r="B56" s="15">
        <v>0.44416482283464576</v>
      </c>
      <c r="C56" s="15">
        <v>0.19181823966535444</v>
      </c>
    </row>
    <row r="57" spans="1:3" x14ac:dyDescent="0.2">
      <c r="A57" s="4">
        <v>488336</v>
      </c>
      <c r="B57" s="15">
        <v>6.2142590551181112E-2</v>
      </c>
      <c r="C57" s="15">
        <v>8.9122831948818898E-2</v>
      </c>
    </row>
    <row r="58" spans="1:3" x14ac:dyDescent="0.2">
      <c r="A58" s="4">
        <v>488337</v>
      </c>
      <c r="B58" s="15">
        <v>0.15017792716535436</v>
      </c>
      <c r="C58" s="15">
        <v>0.19400571533464567</v>
      </c>
    </row>
    <row r="59" spans="1:3" x14ac:dyDescent="0.2">
      <c r="A59" s="4">
        <v>488338</v>
      </c>
      <c r="B59" s="15">
        <v>0.19160051181102361</v>
      </c>
      <c r="C59" s="15">
        <v>0.19551961318897637</v>
      </c>
    </row>
    <row r="60" spans="1:3" x14ac:dyDescent="0.2">
      <c r="A60" s="4">
        <v>488339</v>
      </c>
      <c r="B60" s="15">
        <v>0.1611186122047244</v>
      </c>
      <c r="C60" s="15">
        <v>0.14304720029527557</v>
      </c>
    </row>
    <row r="61" spans="1:3" x14ac:dyDescent="0.2">
      <c r="A61" s="4">
        <v>488340</v>
      </c>
      <c r="B61" s="15">
        <v>0.23593387992125989</v>
      </c>
      <c r="C61" s="15">
        <v>0.16170429007874015</v>
      </c>
    </row>
    <row r="62" spans="1:3" x14ac:dyDescent="0.2">
      <c r="A62" s="4">
        <v>488341</v>
      </c>
      <c r="B62" s="15">
        <v>0.59221976377952756</v>
      </c>
      <c r="C62" s="15">
        <v>0.21520221122047251</v>
      </c>
    </row>
    <row r="63" spans="1:3" x14ac:dyDescent="0.2">
      <c r="A63" s="4">
        <v>488342</v>
      </c>
      <c r="B63" s="15">
        <v>1.230652348425197</v>
      </c>
      <c r="C63" s="15">
        <v>6.8405091574803262E-2</v>
      </c>
    </row>
    <row r="64" spans="1:3" x14ac:dyDescent="0.2">
      <c r="A64" s="4">
        <v>488343</v>
      </c>
      <c r="B64" s="15">
        <v>1.5023548149606301</v>
      </c>
      <c r="C64" s="15">
        <v>0.16206253003936971</v>
      </c>
    </row>
    <row r="65" spans="1:3" x14ac:dyDescent="0.2">
      <c r="A65" s="4">
        <v>488344</v>
      </c>
      <c r="B65" s="15">
        <v>1.0868098661417323</v>
      </c>
      <c r="C65" s="15">
        <v>0.13105648385826785</v>
      </c>
    </row>
    <row r="66" spans="1:3" x14ac:dyDescent="0.2">
      <c r="A66" s="12">
        <v>488352</v>
      </c>
      <c r="B66" s="15">
        <v>1.5535647637795278E-2</v>
      </c>
      <c r="C66" s="15">
        <v>4.8039674862204715E-2</v>
      </c>
    </row>
    <row r="67" spans="1:3" x14ac:dyDescent="0.2">
      <c r="A67" s="4">
        <v>488353</v>
      </c>
      <c r="B67" s="15">
        <v>4.8333125984251962E-2</v>
      </c>
      <c r="C67" s="15">
        <v>8.1009771515748036E-2</v>
      </c>
    </row>
    <row r="68" spans="1:3" x14ac:dyDescent="0.2">
      <c r="A68" s="4">
        <v>488354</v>
      </c>
      <c r="B68" s="15">
        <v>0.10184480118110237</v>
      </c>
      <c r="C68" s="15">
        <v>0.18753252881889765</v>
      </c>
    </row>
    <row r="69" spans="1:3" x14ac:dyDescent="0.2">
      <c r="A69" s="4">
        <v>488355</v>
      </c>
      <c r="B69" s="15">
        <v>0.16571357480314963</v>
      </c>
      <c r="C69" s="15">
        <v>0.23985313769685046</v>
      </c>
    </row>
    <row r="70" spans="1:3" x14ac:dyDescent="0.2">
      <c r="A70" s="4">
        <v>488356</v>
      </c>
      <c r="B70" s="15">
        <v>0.29610988188976378</v>
      </c>
      <c r="C70" s="15">
        <v>0.38411548061023626</v>
      </c>
    </row>
    <row r="71" spans="1:3" x14ac:dyDescent="0.2">
      <c r="A71" s="4">
        <v>488357</v>
      </c>
      <c r="B71" s="15">
        <v>0.52254685039370086</v>
      </c>
      <c r="C71" s="15">
        <v>0.3069962746062993</v>
      </c>
    </row>
    <row r="72" spans="1:3" x14ac:dyDescent="0.2">
      <c r="A72" s="12">
        <v>488358</v>
      </c>
      <c r="B72" s="15">
        <v>0.47029216535433072</v>
      </c>
      <c r="C72" s="15">
        <v>0.25417549714566945</v>
      </c>
    </row>
    <row r="73" spans="1:3" x14ac:dyDescent="0.2">
      <c r="A73" s="4">
        <v>488359</v>
      </c>
      <c r="B73" s="15">
        <v>0.23950063976377955</v>
      </c>
      <c r="C73" s="15">
        <v>0.13102862273622048</v>
      </c>
    </row>
    <row r="74" spans="1:3" x14ac:dyDescent="0.2">
      <c r="A74" s="4">
        <v>488360</v>
      </c>
      <c r="B74" s="15">
        <v>0.23079152559055122</v>
      </c>
      <c r="C74" s="15">
        <v>8.9965149409448872E-2</v>
      </c>
    </row>
    <row r="75" spans="1:3" x14ac:dyDescent="0.2">
      <c r="A75" s="4">
        <v>488361</v>
      </c>
      <c r="B75" s="15">
        <v>0.21337329724409454</v>
      </c>
      <c r="C75" s="15">
        <v>0.15162567775590552</v>
      </c>
    </row>
    <row r="76" spans="1:3" x14ac:dyDescent="0.2">
      <c r="A76" s="4">
        <v>488362</v>
      </c>
      <c r="B76" s="15">
        <v>0.20030962598425195</v>
      </c>
      <c r="C76" s="15">
        <v>0.14809848651574811</v>
      </c>
    </row>
    <row r="77" spans="1:3" x14ac:dyDescent="0.2">
      <c r="A77" s="4">
        <v>488363</v>
      </c>
      <c r="B77" s="15">
        <v>0.26562798228346463</v>
      </c>
      <c r="C77" s="15">
        <v>0.1436132927165355</v>
      </c>
    </row>
    <row r="78" spans="1:3" x14ac:dyDescent="0.2">
      <c r="A78" s="4">
        <v>488364</v>
      </c>
      <c r="B78" s="15">
        <v>3.2984529921259842</v>
      </c>
      <c r="C78" s="15">
        <v>0.12259250287401627</v>
      </c>
    </row>
    <row r="79" spans="1:3" x14ac:dyDescent="0.2">
      <c r="A79" s="4">
        <v>488365</v>
      </c>
      <c r="B79" s="15">
        <v>1.5662848070866144</v>
      </c>
      <c r="C79" s="15">
        <v>0.26051471791338576</v>
      </c>
    </row>
    <row r="80" spans="1:3" x14ac:dyDescent="0.2">
      <c r="A80" s="4">
        <v>488366</v>
      </c>
      <c r="B80" s="15">
        <v>1.3585123326771658</v>
      </c>
      <c r="C80" s="15">
        <v>0.32620278482283449</v>
      </c>
    </row>
    <row r="81" spans="1:3" x14ac:dyDescent="0.2">
      <c r="A81" s="4">
        <v>488367</v>
      </c>
      <c r="B81" s="15">
        <v>1.3904773287401579</v>
      </c>
      <c r="C81" s="15">
        <v>0.31453556125984256</v>
      </c>
    </row>
    <row r="82" spans="1:3" x14ac:dyDescent="0.2">
      <c r="A82" s="4">
        <v>488368</v>
      </c>
      <c r="B82" s="15">
        <v>1.8060222775590558</v>
      </c>
      <c r="C82" s="15">
        <v>0.20345719994094494</v>
      </c>
    </row>
    <row r="83" spans="1:3" x14ac:dyDescent="0.2">
      <c r="A83" s="4">
        <v>488369</v>
      </c>
      <c r="B83" s="15">
        <v>1.4064598267716537</v>
      </c>
      <c r="C83" s="15">
        <v>0.13617088322834653</v>
      </c>
    </row>
    <row r="84" spans="1:3" x14ac:dyDescent="0.2">
      <c r="A84" s="4">
        <v>488374</v>
      </c>
      <c r="B84" s="15">
        <v>2.5892746062992127E-2</v>
      </c>
      <c r="C84" s="15">
        <v>8.8104383937007882E-2</v>
      </c>
    </row>
    <row r="85" spans="1:3" x14ac:dyDescent="0.2">
      <c r="A85" s="4">
        <v>488375</v>
      </c>
      <c r="B85" s="15">
        <v>7.9404421259842553E-2</v>
      </c>
      <c r="C85" s="15">
        <v>0.10036028374015746</v>
      </c>
    </row>
    <row r="86" spans="1:3" x14ac:dyDescent="0.2">
      <c r="A86" s="4">
        <v>488376</v>
      </c>
      <c r="B86" s="15">
        <v>7.7678238188976359E-2</v>
      </c>
      <c r="C86" s="15">
        <v>0.12400899181102364</v>
      </c>
    </row>
    <row r="87" spans="1:3" x14ac:dyDescent="0.2">
      <c r="A87" s="4">
        <v>488377</v>
      </c>
      <c r="B87" s="15">
        <v>0.18124922244094488</v>
      </c>
      <c r="C87" s="15">
        <v>0.11689711755905516</v>
      </c>
    </row>
    <row r="88" spans="1:3" x14ac:dyDescent="0.2">
      <c r="A88" s="4">
        <v>488378</v>
      </c>
      <c r="B88" s="15">
        <v>0.49206495078740164</v>
      </c>
      <c r="C88" s="15">
        <v>0.14391811171259844</v>
      </c>
    </row>
    <row r="89" spans="1:3" x14ac:dyDescent="0.2">
      <c r="A89" s="12">
        <v>488379</v>
      </c>
      <c r="B89" s="15">
        <v>1.3425298346456696</v>
      </c>
      <c r="C89" s="15">
        <v>0.13920755785433087</v>
      </c>
    </row>
    <row r="90" spans="1:3" x14ac:dyDescent="0.2">
      <c r="A90" s="12">
        <v>488380</v>
      </c>
      <c r="B90" s="15">
        <v>1.4703898188976376</v>
      </c>
      <c r="C90" s="15">
        <v>0.23462307110236219</v>
      </c>
    </row>
    <row r="91" spans="1:3" x14ac:dyDescent="0.2">
      <c r="A91" s="4">
        <v>488381</v>
      </c>
      <c r="B91" s="15">
        <v>1.0068973759842521</v>
      </c>
      <c r="C91" s="15">
        <v>0.21096897401574802</v>
      </c>
    </row>
    <row r="92" spans="1:3" x14ac:dyDescent="0.2">
      <c r="A92" s="4">
        <v>488382</v>
      </c>
      <c r="B92" s="15">
        <v>1.1667223562992126</v>
      </c>
      <c r="C92" s="15">
        <v>0.17293062870078763</v>
      </c>
    </row>
    <row r="93" spans="1:3" x14ac:dyDescent="0.2">
      <c r="A93" s="4">
        <v>488387</v>
      </c>
      <c r="B93" s="15">
        <v>0.12601136417322836</v>
      </c>
      <c r="C93" s="15">
        <v>0.24667156082677166</v>
      </c>
    </row>
    <row r="94" spans="1:3" x14ac:dyDescent="0.2">
      <c r="A94" s="4">
        <v>488388</v>
      </c>
      <c r="B94" s="15">
        <v>0.10357098425196851</v>
      </c>
      <c r="C94" s="15">
        <v>0.11126976074803155</v>
      </c>
    </row>
    <row r="95" spans="1:3" x14ac:dyDescent="0.2">
      <c r="A95" s="4">
        <v>488389</v>
      </c>
      <c r="B95" s="15">
        <v>0.17607067322834646</v>
      </c>
      <c r="C95" s="15">
        <v>0.15495945427165364</v>
      </c>
    </row>
    <row r="96" spans="1:3" x14ac:dyDescent="0.2">
      <c r="A96" s="4">
        <v>488390</v>
      </c>
      <c r="B96" s="15">
        <v>0.19851105314960632</v>
      </c>
      <c r="C96" s="15">
        <v>0.14786484185039378</v>
      </c>
    </row>
    <row r="97" spans="1:3" x14ac:dyDescent="0.2">
      <c r="A97" s="4">
        <v>488391</v>
      </c>
      <c r="B97" s="15">
        <v>0.39191013779527561</v>
      </c>
      <c r="C97" s="15">
        <v>0.23301234970472451</v>
      </c>
    </row>
    <row r="98" spans="1:3" x14ac:dyDescent="0.2">
      <c r="A98" s="4">
        <v>488392</v>
      </c>
      <c r="B98" s="15">
        <v>0.61399254921259838</v>
      </c>
      <c r="C98" s="15">
        <v>0.25426258828740167</v>
      </c>
    </row>
    <row r="99" spans="1:3" x14ac:dyDescent="0.2">
      <c r="A99" s="4">
        <v>488393</v>
      </c>
      <c r="B99" s="15">
        <v>0.89501988976377966</v>
      </c>
      <c r="C99" s="15">
        <v>0.26195314273622045</v>
      </c>
    </row>
    <row r="100" spans="1:3" x14ac:dyDescent="0.2">
      <c r="A100" s="4">
        <v>488394</v>
      </c>
      <c r="B100" s="15">
        <v>0.76715990551181101</v>
      </c>
      <c r="C100" s="15">
        <v>0.20713317448818913</v>
      </c>
    </row>
    <row r="101" spans="1:3" x14ac:dyDescent="0.2">
      <c r="A101" s="4">
        <v>488400</v>
      </c>
      <c r="B101" s="15">
        <v>3.4523661417322826E-2</v>
      </c>
      <c r="C101" s="15">
        <v>0.10358824608267719</v>
      </c>
    </row>
    <row r="102" spans="1:3" x14ac:dyDescent="0.2">
      <c r="A102" s="4">
        <v>488401</v>
      </c>
      <c r="B102" s="15">
        <v>5.3511675196850392E-2</v>
      </c>
      <c r="C102" s="15">
        <v>0.10433050480314962</v>
      </c>
    </row>
    <row r="103" spans="1:3" x14ac:dyDescent="0.2">
      <c r="A103" s="4">
        <v>488402</v>
      </c>
      <c r="B103" s="15">
        <v>6.0416407480314974E-2</v>
      </c>
      <c r="C103" s="15">
        <v>0.11934829751968504</v>
      </c>
    </row>
    <row r="104" spans="1:3" x14ac:dyDescent="0.2">
      <c r="A104" s="4">
        <v>488403</v>
      </c>
      <c r="B104" s="15">
        <v>0.10529716732283464</v>
      </c>
      <c r="C104" s="15">
        <v>0.14681187017716535</v>
      </c>
    </row>
    <row r="105" spans="1:3" x14ac:dyDescent="0.2">
      <c r="A105" s="4">
        <v>488404</v>
      </c>
      <c r="B105" s="15">
        <v>0.15535647637795272</v>
      </c>
      <c r="C105" s="15">
        <v>0.1471743686220473</v>
      </c>
    </row>
    <row r="106" spans="1:3" x14ac:dyDescent="0.2">
      <c r="A106" s="4">
        <v>488405</v>
      </c>
      <c r="B106" s="15">
        <v>0.65207939566929141</v>
      </c>
      <c r="C106" s="15">
        <v>0.17606143683070866</v>
      </c>
    </row>
    <row r="107" spans="1:3" x14ac:dyDescent="0.2">
      <c r="A107" s="4">
        <v>488406</v>
      </c>
      <c r="B107" s="15">
        <v>1.0068973759842521</v>
      </c>
      <c r="C107" s="15">
        <v>0.23126674651574794</v>
      </c>
    </row>
    <row r="108" spans="1:3" x14ac:dyDescent="0.2">
      <c r="A108" s="4">
        <v>488407</v>
      </c>
      <c r="B108" s="15">
        <v>0.81510739960629919</v>
      </c>
      <c r="C108" s="15">
        <v>0.22007899789370083</v>
      </c>
    </row>
    <row r="109" spans="1:3" x14ac:dyDescent="0.2">
      <c r="A109" s="4">
        <v>488408</v>
      </c>
      <c r="B109" s="15">
        <v>0.92698488582677174</v>
      </c>
      <c r="C109" s="15">
        <v>-1.3585123326771531E-2</v>
      </c>
    </row>
    <row r="110" spans="1:3" x14ac:dyDescent="0.2">
      <c r="A110" s="4">
        <v>488422</v>
      </c>
      <c r="B110" s="15">
        <v>8.4582970472440941E-2</v>
      </c>
      <c r="C110" s="15">
        <v>0.14998804702755911</v>
      </c>
    </row>
    <row r="111" spans="1:3" x14ac:dyDescent="0.2">
      <c r="A111" s="4">
        <v>488423</v>
      </c>
      <c r="B111" s="15">
        <v>6.7321139763779528E-2</v>
      </c>
      <c r="C111" s="15">
        <v>0.14532735273622049</v>
      </c>
    </row>
    <row r="112" spans="1:3" x14ac:dyDescent="0.2">
      <c r="A112" s="4">
        <v>488424</v>
      </c>
      <c r="B112" s="15">
        <v>7.9404421259842511E-2</v>
      </c>
      <c r="C112" s="15">
        <v>0.15735884874015749</v>
      </c>
    </row>
    <row r="113" spans="1:3" x14ac:dyDescent="0.2">
      <c r="A113" s="4">
        <v>488425</v>
      </c>
      <c r="B113" s="15">
        <v>8.1130604330708664E-2</v>
      </c>
      <c r="C113" s="15">
        <v>0.15563266566929132</v>
      </c>
    </row>
    <row r="114" spans="1:3" x14ac:dyDescent="0.2">
      <c r="A114" s="4">
        <v>488426</v>
      </c>
      <c r="B114" s="15">
        <v>0.11738044881889767</v>
      </c>
      <c r="C114" s="15">
        <v>0.20268841618110239</v>
      </c>
    </row>
    <row r="115" spans="1:3" x14ac:dyDescent="0.2">
      <c r="A115" s="4">
        <v>488427</v>
      </c>
      <c r="B115" s="15">
        <v>0.23514608267716539</v>
      </c>
      <c r="C115" s="15">
        <v>0.27364036732283453</v>
      </c>
    </row>
    <row r="116" spans="1:3" x14ac:dyDescent="0.2">
      <c r="A116" s="22">
        <v>488428</v>
      </c>
      <c r="B116" s="15">
        <v>0.4441648228346457</v>
      </c>
      <c r="C116" s="15">
        <v>0.33560571466535438</v>
      </c>
    </row>
    <row r="117" spans="1:3" x14ac:dyDescent="0.2">
      <c r="A117" s="22">
        <v>488429</v>
      </c>
      <c r="B117" s="15">
        <v>0.50077406496062982</v>
      </c>
      <c r="C117" s="15">
        <v>0.25687532253937029</v>
      </c>
    </row>
    <row r="118" spans="1:3" x14ac:dyDescent="0.2">
      <c r="A118" s="22">
        <v>488430</v>
      </c>
      <c r="B118" s="15">
        <v>0.48771039370078739</v>
      </c>
      <c r="C118" s="15">
        <v>0.24228755629921261</v>
      </c>
    </row>
    <row r="119" spans="1:3" x14ac:dyDescent="0.2">
      <c r="A119" s="22">
        <v>488482</v>
      </c>
      <c r="B119" s="15">
        <v>3.9702210629921263E-2</v>
      </c>
      <c r="C119" s="15">
        <v>8.5256181870078745E-2</v>
      </c>
    </row>
    <row r="120" spans="1:3" x14ac:dyDescent="0.2">
      <c r="A120" s="22">
        <v>488483</v>
      </c>
      <c r="B120" s="15">
        <v>4.6606942913385824E-2</v>
      </c>
      <c r="C120" s="15">
        <v>0.12000424708661418</v>
      </c>
    </row>
    <row r="121" spans="1:3" x14ac:dyDescent="0.2">
      <c r="A121" s="22">
        <v>488484</v>
      </c>
      <c r="B121" s="15">
        <v>0.3701373523622048</v>
      </c>
      <c r="C121" s="15">
        <v>0.20501254763779519</v>
      </c>
    </row>
    <row r="122" spans="1:3" x14ac:dyDescent="0.2">
      <c r="A122" s="22">
        <v>488485</v>
      </c>
      <c r="B122" s="15">
        <v>0.6531835629921261</v>
      </c>
      <c r="C122" s="15">
        <v>0.22613214950787403</v>
      </c>
    </row>
    <row r="123" spans="1:3" x14ac:dyDescent="0.2">
      <c r="A123" s="22">
        <v>488486</v>
      </c>
      <c r="B123" s="15">
        <v>0.73519490944881893</v>
      </c>
      <c r="C123" s="15">
        <v>0.117311535551181</v>
      </c>
    </row>
    <row r="124" spans="1:3" x14ac:dyDescent="0.2">
      <c r="A124" s="22">
        <v>488487</v>
      </c>
      <c r="B124" s="15">
        <v>1.0228798740157481</v>
      </c>
      <c r="C124" s="15">
        <v>0.21528424848425193</v>
      </c>
    </row>
    <row r="125" spans="1:3" x14ac:dyDescent="0.2">
      <c r="A125" s="22">
        <v>488488</v>
      </c>
      <c r="B125" s="15">
        <v>1.0388623720472441</v>
      </c>
      <c r="C125" s="15">
        <v>0.219599522952756</v>
      </c>
    </row>
    <row r="126" spans="1:3" x14ac:dyDescent="0.2">
      <c r="A126" s="22">
        <v>488489</v>
      </c>
      <c r="B126" s="15">
        <v>0.97493237992125992</v>
      </c>
      <c r="C126" s="15">
        <v>0.18204065257874014</v>
      </c>
    </row>
    <row r="127" spans="1:3" x14ac:dyDescent="0.2">
      <c r="A127" s="22">
        <v>488490</v>
      </c>
      <c r="B127" s="15">
        <v>1.0388623720472441</v>
      </c>
      <c r="C127" s="15">
        <v>0.17900397795275597</v>
      </c>
    </row>
    <row r="128" spans="1:3" x14ac:dyDescent="0.2">
      <c r="A128" s="22">
        <v>488494</v>
      </c>
      <c r="B128" s="15">
        <v>4.1428393700787387E-2</v>
      </c>
      <c r="C128" s="15">
        <v>9.4491261299212592E-2</v>
      </c>
    </row>
    <row r="129" spans="1:3" x14ac:dyDescent="0.2">
      <c r="A129" s="22">
        <v>488495</v>
      </c>
      <c r="B129" s="15">
        <v>3.1071295275590546E-2</v>
      </c>
      <c r="C129" s="15">
        <v>0.10046385472440947</v>
      </c>
    </row>
    <row r="130" spans="1:3" x14ac:dyDescent="0.2">
      <c r="A130" s="22">
        <v>488496</v>
      </c>
      <c r="B130" s="15">
        <v>8.9761519685039384E-2</v>
      </c>
      <c r="C130" s="15">
        <v>0.13604048781496064</v>
      </c>
    </row>
    <row r="131" spans="1:3" x14ac:dyDescent="0.2">
      <c r="A131" s="22">
        <v>488497</v>
      </c>
      <c r="B131" s="15">
        <v>0.15363029330708661</v>
      </c>
      <c r="C131" s="15">
        <v>0.16863082419291348</v>
      </c>
    </row>
    <row r="132" spans="1:3" x14ac:dyDescent="0.2">
      <c r="A132" s="22">
        <v>488498</v>
      </c>
      <c r="B132" s="15">
        <v>0.25256431102362209</v>
      </c>
      <c r="C132" s="15">
        <v>0.26728271397637793</v>
      </c>
    </row>
    <row r="133" spans="1:3" x14ac:dyDescent="0.2">
      <c r="A133" s="22">
        <v>488499</v>
      </c>
      <c r="B133" s="15">
        <v>0.39191013779527561</v>
      </c>
      <c r="C133" s="15">
        <v>0.26619407470472445</v>
      </c>
    </row>
    <row r="134" spans="1:3" x14ac:dyDescent="0.2">
      <c r="A134" s="22">
        <v>488500</v>
      </c>
      <c r="B134" s="15">
        <v>0.86305489370078747</v>
      </c>
      <c r="C134" s="15">
        <v>0.27362036629921266</v>
      </c>
    </row>
    <row r="135" spans="1:3" x14ac:dyDescent="0.2">
      <c r="A135" s="22">
        <v>488501</v>
      </c>
      <c r="B135" s="15">
        <v>0.97493237992125992</v>
      </c>
      <c r="C135" s="15">
        <v>0.20233842507874022</v>
      </c>
    </row>
    <row r="136" spans="1:3" x14ac:dyDescent="0.2">
      <c r="A136" s="22">
        <v>488502</v>
      </c>
      <c r="B136" s="15">
        <v>0.92698488582677174</v>
      </c>
      <c r="C136" s="15">
        <v>0.2299881466732282</v>
      </c>
    </row>
    <row r="137" spans="1:3" x14ac:dyDescent="0.2">
      <c r="A137" s="22">
        <v>488506</v>
      </c>
      <c r="B137" s="15">
        <v>2.7618929133858265E-2</v>
      </c>
      <c r="C137" s="15">
        <v>3.3764140866141726E-2</v>
      </c>
    </row>
    <row r="138" spans="1:3" x14ac:dyDescent="0.2">
      <c r="A138" s="22">
        <v>488507</v>
      </c>
      <c r="B138" s="15">
        <v>1.8988013779527562E-2</v>
      </c>
      <c r="C138" s="15">
        <v>4.0202803720472441E-2</v>
      </c>
    </row>
    <row r="139" spans="1:3" x14ac:dyDescent="0.2">
      <c r="A139" s="22">
        <v>488508</v>
      </c>
      <c r="B139" s="15">
        <v>2.9345112204724411E-2</v>
      </c>
      <c r="C139" s="15">
        <v>4.5191472795275606E-2</v>
      </c>
    </row>
    <row r="140" spans="1:3" x14ac:dyDescent="0.2">
      <c r="A140" s="22">
        <v>488509</v>
      </c>
      <c r="B140" s="15">
        <v>3.9702210629921263E-2</v>
      </c>
      <c r="C140" s="15">
        <v>4.5795636870078753E-2</v>
      </c>
    </row>
    <row r="141" spans="1:3" x14ac:dyDescent="0.2">
      <c r="A141" s="22">
        <v>488510</v>
      </c>
      <c r="B141" s="15">
        <v>5.6964041338582669E-2</v>
      </c>
      <c r="C141" s="15">
        <v>5.4840836161417314E-2</v>
      </c>
    </row>
    <row r="142" spans="1:3" x14ac:dyDescent="0.2">
      <c r="A142" s="22">
        <v>488511</v>
      </c>
      <c r="B142" s="15">
        <v>0.92698488582677174</v>
      </c>
      <c r="C142" s="15">
        <v>0.12849928417322842</v>
      </c>
    </row>
    <row r="143" spans="1:3" x14ac:dyDescent="0.2">
      <c r="A143" s="22">
        <v>488512</v>
      </c>
      <c r="B143" s="15">
        <v>1.5822673051181102</v>
      </c>
      <c r="C143" s="15">
        <v>0.30542553738188982</v>
      </c>
    </row>
    <row r="144" spans="1:3" x14ac:dyDescent="0.2">
      <c r="A144" s="22">
        <v>488513</v>
      </c>
      <c r="B144" s="15">
        <v>1.3425298346456698</v>
      </c>
      <c r="C144" s="15">
        <v>0.2406964203543307</v>
      </c>
    </row>
    <row r="145" spans="1:3" x14ac:dyDescent="0.2">
      <c r="A145" s="22">
        <v>488514</v>
      </c>
      <c r="B145" s="15">
        <v>1.3585123326771655</v>
      </c>
      <c r="C145" s="15">
        <v>0.20441614982283493</v>
      </c>
    </row>
    <row r="146" spans="1:3" x14ac:dyDescent="0.2">
      <c r="A146" s="22">
        <v>488518</v>
      </c>
      <c r="B146" s="15">
        <v>7.4225872047244096E-2</v>
      </c>
      <c r="C146" s="15">
        <v>6.6078287952755915E-2</v>
      </c>
    </row>
    <row r="147" spans="1:3" x14ac:dyDescent="0.2">
      <c r="A147" s="22">
        <v>488519</v>
      </c>
      <c r="B147" s="15">
        <v>5.523785826771653E-2</v>
      </c>
      <c r="C147" s="15">
        <v>3.4644494232283482E-2</v>
      </c>
    </row>
    <row r="148" spans="1:3" x14ac:dyDescent="0.2">
      <c r="A148" s="22">
        <v>488520</v>
      </c>
      <c r="B148" s="15">
        <v>0.16398739173228347</v>
      </c>
      <c r="C148" s="15">
        <v>7.716038326771657E-2</v>
      </c>
    </row>
    <row r="149" spans="1:3" x14ac:dyDescent="0.2">
      <c r="A149" s="22">
        <v>488521</v>
      </c>
      <c r="B149" s="15">
        <v>0.783142403543307</v>
      </c>
      <c r="C149" s="15">
        <v>0.15055513145669305</v>
      </c>
    </row>
    <row r="150" spans="1:3" x14ac:dyDescent="0.2">
      <c r="A150" s="22">
        <v>488522</v>
      </c>
      <c r="B150" s="15">
        <v>1.6461972972440944</v>
      </c>
      <c r="C150" s="15">
        <v>0.28209109025590573</v>
      </c>
    </row>
    <row r="151" spans="1:3" x14ac:dyDescent="0.2">
      <c r="A151" s="22">
        <v>488523</v>
      </c>
      <c r="B151" s="15">
        <v>1.5183373129921258</v>
      </c>
      <c r="C151" s="15">
        <v>0.28816443950787418</v>
      </c>
    </row>
    <row r="152" spans="1:3" x14ac:dyDescent="0.2">
      <c r="A152" s="22">
        <v>488524</v>
      </c>
      <c r="B152" s="15">
        <v>1.534319811023622</v>
      </c>
      <c r="C152" s="15">
        <v>0.21128862397637793</v>
      </c>
    </row>
    <row r="153" spans="1:3" x14ac:dyDescent="0.2">
      <c r="A153" s="22">
        <v>488525</v>
      </c>
      <c r="B153" s="15">
        <v>1.4703898188976379</v>
      </c>
      <c r="C153" s="15">
        <v>0.19402752610236215</v>
      </c>
    </row>
    <row r="154" spans="1:3" x14ac:dyDescent="0.2">
      <c r="A154" s="22">
        <v>488527</v>
      </c>
      <c r="B154" s="15">
        <v>6.904732283464568E-2</v>
      </c>
      <c r="C154" s="15">
        <v>4.275755466535433E-2</v>
      </c>
    </row>
    <row r="155" spans="1:3" x14ac:dyDescent="0.2">
      <c r="A155" s="22">
        <v>488528</v>
      </c>
      <c r="B155" s="15">
        <v>7.0773505905511819E-2</v>
      </c>
      <c r="C155" s="15">
        <v>5.4184886594488182E-2</v>
      </c>
    </row>
    <row r="156" spans="1:3" x14ac:dyDescent="0.2">
      <c r="A156" s="22">
        <v>488529</v>
      </c>
      <c r="B156" s="15">
        <v>1.5023548149606301</v>
      </c>
      <c r="C156" s="15">
        <v>0.16206253003937027</v>
      </c>
    </row>
    <row r="157" spans="1:3" x14ac:dyDescent="0.2">
      <c r="A157" s="22">
        <v>488530</v>
      </c>
      <c r="B157" s="15">
        <v>1.7740572814960631</v>
      </c>
      <c r="C157" s="15">
        <v>0.2151244235039374</v>
      </c>
    </row>
    <row r="158" spans="1:3" x14ac:dyDescent="0.2">
      <c r="A158" s="22">
        <v>488531</v>
      </c>
      <c r="B158" s="15">
        <v>1.9178997637795274</v>
      </c>
      <c r="C158" s="15">
        <v>0.27425966622047238</v>
      </c>
    </row>
    <row r="159" spans="1:3" x14ac:dyDescent="0.2">
      <c r="A159" s="22">
        <v>488532</v>
      </c>
      <c r="B159" s="15">
        <v>1.4224423248031499</v>
      </c>
      <c r="C159" s="15">
        <v>0.28257056519685009</v>
      </c>
    </row>
    <row r="160" spans="1:3" x14ac:dyDescent="0.2">
      <c r="A160" s="22">
        <v>488533</v>
      </c>
      <c r="B160" s="15">
        <v>1.3744948307086615</v>
      </c>
      <c r="C160" s="15">
        <v>0.24932696929133852</v>
      </c>
    </row>
    <row r="161" spans="1:3" x14ac:dyDescent="0.2">
      <c r="A161" s="22">
        <v>488534</v>
      </c>
      <c r="B161" s="15">
        <v>1.3585123326771651</v>
      </c>
      <c r="C161" s="15">
        <v>0.22471392232283469</v>
      </c>
    </row>
    <row r="162" spans="1:3" x14ac:dyDescent="0.2">
      <c r="A162" s="22">
        <v>488535</v>
      </c>
      <c r="B162" s="15">
        <v>1.4863723169291339</v>
      </c>
      <c r="C162" s="15">
        <v>0.21864057307086615</v>
      </c>
    </row>
    <row r="163" spans="1:3" x14ac:dyDescent="0.2">
      <c r="A163" s="22">
        <v>488538</v>
      </c>
      <c r="B163" s="15">
        <v>8.6309153543307093E-2</v>
      </c>
      <c r="C163" s="15">
        <v>5.3995006456692918E-2</v>
      </c>
    </row>
    <row r="164" spans="1:3" x14ac:dyDescent="0.2">
      <c r="A164" s="22">
        <v>488539</v>
      </c>
      <c r="B164" s="15">
        <v>9.1487702755905523E-2</v>
      </c>
      <c r="C164" s="15">
        <v>6.1969972244094493E-2</v>
      </c>
    </row>
    <row r="165" spans="1:3" x14ac:dyDescent="0.2">
      <c r="A165" s="22">
        <v>488540</v>
      </c>
      <c r="B165" s="15">
        <v>0.12255899803149609</v>
      </c>
      <c r="C165" s="15">
        <v>9.8858504468503944E-2</v>
      </c>
    </row>
    <row r="166" spans="1:3" x14ac:dyDescent="0.2">
      <c r="A166" s="22">
        <v>488541</v>
      </c>
      <c r="B166" s="15">
        <v>2.0937072421259844</v>
      </c>
      <c r="C166" s="15">
        <v>0.24053659537401623</v>
      </c>
    </row>
    <row r="167" spans="1:3" x14ac:dyDescent="0.2">
      <c r="A167" s="22">
        <v>488542</v>
      </c>
      <c r="B167" s="15">
        <v>1.4224423248031497</v>
      </c>
      <c r="C167" s="15">
        <v>0.16078393019685036</v>
      </c>
    </row>
    <row r="168" spans="1:3" x14ac:dyDescent="0.2">
      <c r="A168" s="22">
        <v>488543</v>
      </c>
      <c r="B168" s="15">
        <v>1.8859347677165359</v>
      </c>
      <c r="C168" s="15">
        <v>0.42801129728346438</v>
      </c>
    </row>
    <row r="169" spans="1:3" x14ac:dyDescent="0.2">
      <c r="A169" s="22">
        <v>488544</v>
      </c>
      <c r="B169" s="15">
        <v>1.9818297559055118</v>
      </c>
      <c r="C169" s="15">
        <v>0.4742007165944887</v>
      </c>
    </row>
    <row r="170" spans="1:3" x14ac:dyDescent="0.2">
      <c r="A170" s="22">
        <v>488545</v>
      </c>
      <c r="B170" s="15">
        <v>1.3904773287401577</v>
      </c>
      <c r="C170" s="15">
        <v>0.13185560875984281</v>
      </c>
    </row>
    <row r="171" spans="1:3" x14ac:dyDescent="0.2">
      <c r="A171" s="22">
        <v>488546</v>
      </c>
      <c r="B171" s="15">
        <v>1.3585123326771655</v>
      </c>
      <c r="C171" s="15">
        <v>0.10292728732283474</v>
      </c>
    </row>
    <row r="172" spans="1:3" x14ac:dyDescent="0.2">
      <c r="A172" s="22">
        <v>488549</v>
      </c>
      <c r="B172" s="15">
        <v>5.3511675196850406E-2</v>
      </c>
      <c r="C172" s="15">
        <v>5.1716444803149603E-2</v>
      </c>
    </row>
    <row r="173" spans="1:3" x14ac:dyDescent="0.2">
      <c r="A173" s="22">
        <v>488550</v>
      </c>
      <c r="B173" s="15">
        <v>5.3511675196850406E-2</v>
      </c>
      <c r="C173" s="15">
        <v>6.7062212303149599E-2</v>
      </c>
    </row>
    <row r="174" spans="1:3" x14ac:dyDescent="0.2">
      <c r="A174" s="22">
        <v>488551</v>
      </c>
      <c r="B174" s="15">
        <v>3.2797478346456695E-2</v>
      </c>
      <c r="C174" s="15">
        <v>8.3391904153543306E-2</v>
      </c>
    </row>
    <row r="175" spans="1:3" x14ac:dyDescent="0.2">
      <c r="A175" s="22">
        <v>488552</v>
      </c>
      <c r="B175" s="15">
        <v>5.3511675196850378E-2</v>
      </c>
      <c r="C175" s="15">
        <v>9.1176989803149644E-2</v>
      </c>
    </row>
    <row r="176" spans="1:3" x14ac:dyDescent="0.2">
      <c r="A176" s="22">
        <v>488553</v>
      </c>
      <c r="B176" s="15">
        <v>0.13118991338582675</v>
      </c>
      <c r="C176" s="15">
        <v>0.10557335661417327</v>
      </c>
    </row>
    <row r="177" spans="1:3" x14ac:dyDescent="0.2">
      <c r="A177" s="22">
        <v>488554</v>
      </c>
      <c r="B177" s="15">
        <v>2.4133572027559058</v>
      </c>
      <c r="C177" s="15">
        <v>0.22535322224409518</v>
      </c>
    </row>
    <row r="178" spans="1:3" x14ac:dyDescent="0.2">
      <c r="A178" s="22">
        <v>488555</v>
      </c>
      <c r="B178" s="15">
        <v>1.7740572814960629</v>
      </c>
      <c r="C178" s="15">
        <v>0.29631551350393714</v>
      </c>
    </row>
    <row r="179" spans="1:3" x14ac:dyDescent="0.2">
      <c r="A179" s="22">
        <v>488556</v>
      </c>
      <c r="B179" s="15">
        <v>1.0708273681102363</v>
      </c>
      <c r="C179" s="15">
        <v>0.16733675438976381</v>
      </c>
    </row>
    <row r="180" spans="1:3" x14ac:dyDescent="0.2">
      <c r="A180" s="22">
        <v>488557</v>
      </c>
      <c r="B180" s="15">
        <v>0.95894988188976371</v>
      </c>
      <c r="C180" s="15">
        <v>0.11683206061023628</v>
      </c>
    </row>
    <row r="181" spans="1:3" x14ac:dyDescent="0.2">
      <c r="A181" s="22">
        <v>488559</v>
      </c>
      <c r="B181" s="15">
        <v>8.8035336614173218E-2</v>
      </c>
      <c r="C181" s="15">
        <v>9.8306125885826781E-2</v>
      </c>
    </row>
    <row r="182" spans="1:3" x14ac:dyDescent="0.2">
      <c r="A182" s="22">
        <v>488560</v>
      </c>
      <c r="B182" s="15">
        <v>8.2856787401574802E-2</v>
      </c>
      <c r="C182" s="15">
        <v>9.2523412598425211E-2</v>
      </c>
    </row>
    <row r="183" spans="1:3" x14ac:dyDescent="0.2">
      <c r="A183" s="22">
        <v>488561</v>
      </c>
      <c r="B183" s="15">
        <v>6.3868773622047237E-2</v>
      </c>
      <c r="C183" s="15">
        <v>0.11370367887795277</v>
      </c>
    </row>
    <row r="184" spans="1:3" x14ac:dyDescent="0.2">
      <c r="A184" s="22">
        <v>488562</v>
      </c>
      <c r="B184" s="15">
        <v>0.13464227952755908</v>
      </c>
      <c r="C184" s="15">
        <v>0.10869774797244092</v>
      </c>
    </row>
    <row r="185" spans="1:3" x14ac:dyDescent="0.2">
      <c r="A185" s="22">
        <v>488563</v>
      </c>
      <c r="B185" s="15">
        <v>1.8220047755905513</v>
      </c>
      <c r="C185" s="15">
        <v>0.4310479719094491</v>
      </c>
    </row>
    <row r="186" spans="1:3" x14ac:dyDescent="0.2">
      <c r="A186" s="22">
        <v>488564</v>
      </c>
      <c r="B186" s="15">
        <v>1.0868098661417323</v>
      </c>
      <c r="C186" s="15">
        <v>0.19194980135826781</v>
      </c>
    </row>
    <row r="187" spans="1:3" x14ac:dyDescent="0.2">
      <c r="A187" s="22">
        <v>488565</v>
      </c>
      <c r="B187" s="15">
        <v>0.73519490944881893</v>
      </c>
      <c r="C187" s="15">
        <v>0.117311535551181</v>
      </c>
    </row>
    <row r="188" spans="1:3" x14ac:dyDescent="0.2">
      <c r="A188" s="22">
        <v>488566</v>
      </c>
      <c r="B188" s="15">
        <v>0.52254685039370086</v>
      </c>
      <c r="C188" s="15">
        <v>9.6845349606299133E-2</v>
      </c>
    </row>
    <row r="189" spans="1:3" x14ac:dyDescent="0.2">
      <c r="A189" s="22">
        <v>488567</v>
      </c>
      <c r="B189" s="15">
        <v>0.29610988188976378</v>
      </c>
      <c r="C189" s="15">
        <v>7.4419380610236258E-2</v>
      </c>
    </row>
    <row r="190" spans="1:3" x14ac:dyDescent="0.2">
      <c r="A190" s="22">
        <v>488569</v>
      </c>
      <c r="B190" s="15">
        <v>3.9702210629921256E-2</v>
      </c>
      <c r="C190" s="15">
        <v>5.6756899370078731E-2</v>
      </c>
    </row>
    <row r="191" spans="1:3" x14ac:dyDescent="0.2">
      <c r="A191" s="22">
        <v>488570</v>
      </c>
      <c r="B191" s="15">
        <v>5.178549212598426E-2</v>
      </c>
      <c r="C191" s="15">
        <v>8.4134162874015761E-2</v>
      </c>
    </row>
    <row r="192" spans="1:3" x14ac:dyDescent="0.2">
      <c r="A192" s="22">
        <v>488571</v>
      </c>
      <c r="B192" s="15">
        <v>9.3213885826771661E-2</v>
      </c>
      <c r="C192" s="15">
        <v>9.970433417322834E-2</v>
      </c>
    </row>
    <row r="193" spans="1:3" x14ac:dyDescent="0.2">
      <c r="A193" s="22">
        <v>488572</v>
      </c>
      <c r="B193" s="15">
        <v>0.11565426574803149</v>
      </c>
      <c r="C193" s="15">
        <v>0.11453224675196852</v>
      </c>
    </row>
    <row r="194" spans="1:3" x14ac:dyDescent="0.2">
      <c r="A194" s="22">
        <v>488573</v>
      </c>
      <c r="B194" s="15">
        <v>0.12255899803149604</v>
      </c>
      <c r="C194" s="15">
        <v>0.142703554468504</v>
      </c>
    </row>
    <row r="195" spans="1:3" x14ac:dyDescent="0.2">
      <c r="A195" s="22">
        <v>488574</v>
      </c>
      <c r="B195" s="15">
        <v>0.19678487007874018</v>
      </c>
      <c r="C195" s="15">
        <v>0.17370580242125988</v>
      </c>
    </row>
    <row r="196" spans="1:3" x14ac:dyDescent="0.2">
      <c r="A196" s="22">
        <v>488575</v>
      </c>
      <c r="B196" s="15">
        <v>2.2215672263779531</v>
      </c>
      <c r="C196" s="15">
        <v>0.47803651612204778</v>
      </c>
    </row>
    <row r="197" spans="1:3" x14ac:dyDescent="0.2">
      <c r="A197" s="22">
        <v>488576</v>
      </c>
      <c r="B197" s="15">
        <v>2.1096897401574806</v>
      </c>
      <c r="C197" s="15">
        <v>0.46812736734251964</v>
      </c>
    </row>
    <row r="198" spans="1:3" x14ac:dyDescent="0.2">
      <c r="A198" s="22">
        <v>488577</v>
      </c>
      <c r="B198" s="15">
        <v>1.7261097874015747</v>
      </c>
      <c r="C198" s="15">
        <v>0.28336969009842528</v>
      </c>
    </row>
    <row r="199" spans="1:3" x14ac:dyDescent="0.2">
      <c r="A199" s="22">
        <v>488578</v>
      </c>
      <c r="B199" s="15">
        <v>2.2440379921259839E-2</v>
      </c>
      <c r="C199" s="15">
        <v>5.4288457578740165E-2</v>
      </c>
    </row>
    <row r="200" spans="1:3" x14ac:dyDescent="0.2">
      <c r="A200" s="22">
        <v>488579</v>
      </c>
      <c r="B200" s="15">
        <v>3.6249844488188979E-2</v>
      </c>
      <c r="C200" s="15">
        <v>7.3362780511811027E-2</v>
      </c>
    </row>
    <row r="201" spans="1:3" x14ac:dyDescent="0.2">
      <c r="A201" s="22">
        <v>488580</v>
      </c>
      <c r="B201" s="15">
        <v>5.3511675196850399E-2</v>
      </c>
      <c r="C201" s="15">
        <v>6.7062212303149599E-2</v>
      </c>
    </row>
    <row r="202" spans="1:3" x14ac:dyDescent="0.2">
      <c r="A202" s="22">
        <v>488581</v>
      </c>
      <c r="B202" s="15">
        <v>6.2142590551181091E-2</v>
      </c>
      <c r="C202" s="15">
        <v>7.1584811948818938E-2</v>
      </c>
    </row>
    <row r="203" spans="1:3" x14ac:dyDescent="0.2">
      <c r="A203" s="22">
        <v>488582</v>
      </c>
      <c r="B203" s="15">
        <v>7.9404421259842539E-2</v>
      </c>
      <c r="C203" s="15">
        <v>9.816803124015748E-2</v>
      </c>
    </row>
    <row r="204" spans="1:3" x14ac:dyDescent="0.2">
      <c r="A204" s="22">
        <v>488583</v>
      </c>
      <c r="B204" s="15">
        <v>0.1777968562992126</v>
      </c>
      <c r="C204" s="15">
        <v>0.12911849370078746</v>
      </c>
    </row>
    <row r="205" spans="1:3" x14ac:dyDescent="0.2">
      <c r="A205" s="22">
        <v>488584</v>
      </c>
      <c r="B205" s="15">
        <v>1.4544073208661419</v>
      </c>
      <c r="C205" s="15">
        <v>0.47388106663385854</v>
      </c>
    </row>
    <row r="206" spans="1:3" x14ac:dyDescent="0.2">
      <c r="A206" s="22">
        <v>488585</v>
      </c>
      <c r="B206" s="15">
        <v>2.9686076929133853</v>
      </c>
      <c r="C206" s="15">
        <v>0.73170682208661431</v>
      </c>
    </row>
    <row r="207" spans="1:3" x14ac:dyDescent="0.2">
      <c r="A207" s="22">
        <v>488586</v>
      </c>
      <c r="B207" s="15">
        <v>2.0974259311023618</v>
      </c>
      <c r="C207" s="15">
        <v>0.87479573139763778</v>
      </c>
    </row>
    <row r="208" spans="1:3" x14ac:dyDescent="0.2">
      <c r="A208" s="22">
        <v>488587</v>
      </c>
      <c r="B208" s="15">
        <v>7.2499688976377957E-2</v>
      </c>
      <c r="C208" s="15">
        <v>8.0957986023622058E-2</v>
      </c>
    </row>
    <row r="209" spans="1:3" x14ac:dyDescent="0.2">
      <c r="A209" s="22">
        <v>488588</v>
      </c>
      <c r="B209" s="15">
        <v>3.452366141732284E-2</v>
      </c>
      <c r="C209" s="15">
        <v>6.8512206082677163E-2</v>
      </c>
    </row>
    <row r="210" spans="1:3" x14ac:dyDescent="0.2">
      <c r="A210" s="22">
        <v>488589</v>
      </c>
      <c r="B210" s="15">
        <v>6.5594956692913375E-2</v>
      </c>
      <c r="C210" s="15">
        <v>7.2516950807086644E-2</v>
      </c>
    </row>
    <row r="211" spans="1:3" x14ac:dyDescent="0.2">
      <c r="A211" s="22">
        <v>488590</v>
      </c>
      <c r="B211" s="15">
        <v>8.2856787401574802E-2</v>
      </c>
      <c r="C211" s="15">
        <v>8.8138907598425215E-2</v>
      </c>
    </row>
    <row r="212" spans="1:3" x14ac:dyDescent="0.2">
      <c r="A212" s="22">
        <v>488591</v>
      </c>
      <c r="B212" s="15">
        <v>0.16743975787401574</v>
      </c>
      <c r="C212" s="15">
        <v>9.7822794625984227E-2</v>
      </c>
    </row>
    <row r="213" spans="1:3" x14ac:dyDescent="0.2">
      <c r="A213" s="22">
        <v>488592</v>
      </c>
      <c r="B213" s="15">
        <v>9.1487702755905509E-2</v>
      </c>
      <c r="C213" s="15">
        <v>0.10143051724409455</v>
      </c>
    </row>
    <row r="214" spans="1:3" x14ac:dyDescent="0.2">
      <c r="A214" s="22">
        <v>488593</v>
      </c>
      <c r="B214" s="15">
        <v>0.58786520669291331</v>
      </c>
      <c r="C214" s="15">
        <v>0.23061734330708675</v>
      </c>
    </row>
    <row r="215" spans="1:3" x14ac:dyDescent="0.2">
      <c r="A215" s="22">
        <v>488594</v>
      </c>
      <c r="B215" s="15">
        <v>0.94296738385826773</v>
      </c>
      <c r="C215" s="15">
        <v>0.17341010364173234</v>
      </c>
    </row>
    <row r="216" spans="1:3" x14ac:dyDescent="0.2">
      <c r="A216" s="22">
        <v>488595</v>
      </c>
      <c r="B216" s="15">
        <v>0.57480153543307089</v>
      </c>
      <c r="C216" s="15">
        <v>0.16625698956692919</v>
      </c>
    </row>
    <row r="217" spans="1:3" x14ac:dyDescent="0.2">
      <c r="A217" s="22">
        <v>488597</v>
      </c>
      <c r="B217" s="15">
        <v>2.9345112204724404E-2</v>
      </c>
      <c r="C217" s="15">
        <v>7.3690755295275606E-2</v>
      </c>
    </row>
    <row r="218" spans="1:3" x14ac:dyDescent="0.2">
      <c r="A218" s="22">
        <v>488598</v>
      </c>
      <c r="B218" s="15">
        <v>4.4880759842519685E-2</v>
      </c>
      <c r="C218" s="15">
        <v>0.12611493515748035</v>
      </c>
    </row>
    <row r="219" spans="1:3" x14ac:dyDescent="0.2">
      <c r="A219" s="22">
        <v>488599</v>
      </c>
      <c r="B219" s="15">
        <v>7.4225872047244096E-2</v>
      </c>
      <c r="C219" s="15">
        <v>0.180075417952756</v>
      </c>
    </row>
    <row r="220" spans="1:3" x14ac:dyDescent="0.2">
      <c r="A220" s="22">
        <v>488600</v>
      </c>
      <c r="B220" s="15">
        <v>8.8035336614173232E-2</v>
      </c>
      <c r="C220" s="15">
        <v>0.19914974088582676</v>
      </c>
    </row>
    <row r="221" spans="1:3" x14ac:dyDescent="0.2">
      <c r="A221" s="22">
        <v>488601</v>
      </c>
      <c r="B221" s="15">
        <v>0.11757304133858268</v>
      </c>
      <c r="C221" s="15">
        <v>0.28613794616141741</v>
      </c>
    </row>
    <row r="222" spans="1:3" x14ac:dyDescent="0.2">
      <c r="A222" s="22">
        <v>488602</v>
      </c>
      <c r="B222" s="15">
        <v>0.35271912401574801</v>
      </c>
      <c r="C222" s="15">
        <v>0.41046055098425205</v>
      </c>
    </row>
    <row r="223" spans="1:3" x14ac:dyDescent="0.2">
      <c r="A223" s="22">
        <v>488603</v>
      </c>
      <c r="B223" s="15">
        <v>1.5822673051181102</v>
      </c>
      <c r="C223" s="15">
        <v>0.38661662738189012</v>
      </c>
    </row>
    <row r="224" spans="1:3" x14ac:dyDescent="0.2">
      <c r="A224" s="22">
        <v>488604</v>
      </c>
      <c r="B224" s="15">
        <v>0.36142823818897635</v>
      </c>
      <c r="C224" s="15">
        <v>0.16394907431102368</v>
      </c>
    </row>
    <row r="225" spans="1:3" x14ac:dyDescent="0.2">
      <c r="A225" s="22">
        <v>488605</v>
      </c>
      <c r="B225" s="15">
        <v>0.24820975393700789</v>
      </c>
      <c r="C225" s="15">
        <v>0.12784979606299213</v>
      </c>
    </row>
    <row r="226" spans="1:3" x14ac:dyDescent="0.2">
      <c r="A226" s="22">
        <v>488607</v>
      </c>
      <c r="B226" s="15">
        <v>4.4880759842519692E-2</v>
      </c>
      <c r="C226" s="15">
        <v>0.12611493515748029</v>
      </c>
    </row>
    <row r="227" spans="1:3" x14ac:dyDescent="0.2">
      <c r="A227" s="22">
        <v>488608</v>
      </c>
      <c r="B227" s="15">
        <v>8.8035336614173232E-2</v>
      </c>
      <c r="C227" s="15">
        <v>0.13995892338582683</v>
      </c>
    </row>
    <row r="228" spans="1:3" x14ac:dyDescent="0.2">
      <c r="A228" s="22">
        <v>488609</v>
      </c>
      <c r="B228" s="15">
        <v>0.11910663188976378</v>
      </c>
      <c r="C228" s="15">
        <v>0.20315448561023625</v>
      </c>
    </row>
    <row r="229" spans="1:3" x14ac:dyDescent="0.2">
      <c r="A229" s="22">
        <v>488610</v>
      </c>
      <c r="B229" s="15">
        <v>0.14499937795275591</v>
      </c>
      <c r="C229" s="15">
        <v>0.23645255704724408</v>
      </c>
    </row>
    <row r="230" spans="1:3" x14ac:dyDescent="0.2">
      <c r="A230" s="22">
        <v>488611</v>
      </c>
      <c r="B230" s="15">
        <v>0.22208241141732282</v>
      </c>
      <c r="C230" s="15">
        <v>0.31988576358267717</v>
      </c>
    </row>
    <row r="231" spans="1:3" x14ac:dyDescent="0.2">
      <c r="A231" s="22">
        <v>488612</v>
      </c>
      <c r="B231" s="15">
        <v>0.46593760826771657</v>
      </c>
      <c r="C231" s="15">
        <v>0.5184535667322836</v>
      </c>
    </row>
    <row r="232" spans="1:3" x14ac:dyDescent="0.2">
      <c r="A232" s="22">
        <v>488613</v>
      </c>
      <c r="B232" s="15">
        <v>1.214669850393701</v>
      </c>
      <c r="C232" s="15">
        <v>0.77451185460629901</v>
      </c>
    </row>
    <row r="233" spans="1:3" x14ac:dyDescent="0.2">
      <c r="A233" s="22">
        <v>488614</v>
      </c>
      <c r="B233" s="15">
        <v>3.4084014251968502</v>
      </c>
      <c r="C233" s="15">
        <v>0.57118210980314965</v>
      </c>
    </row>
    <row r="234" spans="1:3" x14ac:dyDescent="0.2">
      <c r="A234" s="22">
        <v>488615</v>
      </c>
      <c r="B234" s="15">
        <v>0.64447444881889759</v>
      </c>
      <c r="C234" s="15">
        <v>0.12976580118110242</v>
      </c>
    </row>
    <row r="235" spans="1:3" x14ac:dyDescent="0.2">
      <c r="A235" s="22">
        <v>488617</v>
      </c>
      <c r="B235" s="15">
        <v>0.10184480118110235</v>
      </c>
      <c r="C235" s="15">
        <v>0.14587973131889764</v>
      </c>
    </row>
    <row r="236" spans="1:3" x14ac:dyDescent="0.2">
      <c r="A236" s="22">
        <v>488618</v>
      </c>
      <c r="B236" s="15">
        <v>0.13464227952755906</v>
      </c>
      <c r="C236" s="15">
        <v>0.17446532297244099</v>
      </c>
    </row>
    <row r="237" spans="1:3" x14ac:dyDescent="0.2">
      <c r="A237" s="22">
        <v>488619</v>
      </c>
      <c r="B237" s="15">
        <v>0.40497380905511815</v>
      </c>
      <c r="C237" s="15">
        <v>0.18676695344488187</v>
      </c>
    </row>
    <row r="238" spans="1:3" x14ac:dyDescent="0.2">
      <c r="A238" s="22">
        <v>488620</v>
      </c>
      <c r="B238" s="15">
        <v>0.60092887795275596</v>
      </c>
      <c r="C238" s="15">
        <v>0.27285654704724416</v>
      </c>
    </row>
    <row r="239" spans="1:3" x14ac:dyDescent="0.2">
      <c r="A239" s="22">
        <v>488621</v>
      </c>
      <c r="B239" s="15">
        <v>2.2854972185039371</v>
      </c>
      <c r="C239" s="15">
        <v>0.45470206899606314</v>
      </c>
    </row>
    <row r="240" spans="1:3" x14ac:dyDescent="0.2">
      <c r="A240" s="22">
        <v>488622</v>
      </c>
      <c r="B240" s="15">
        <v>4.5078857559055105</v>
      </c>
      <c r="C240" s="15">
        <v>0.5887738590944892</v>
      </c>
    </row>
    <row r="241" spans="1:3" x14ac:dyDescent="0.2">
      <c r="A241" s="22">
        <v>488623</v>
      </c>
      <c r="B241" s="15">
        <v>4.5628599724409433</v>
      </c>
      <c r="C241" s="15">
        <v>0.7432514075590555</v>
      </c>
    </row>
    <row r="242" spans="1:3" x14ac:dyDescent="0.2">
      <c r="A242" s="22">
        <v>488624</v>
      </c>
      <c r="B242" s="15">
        <v>5.0576279212598418</v>
      </c>
      <c r="C242" s="15">
        <v>0.66738698874015734</v>
      </c>
    </row>
    <row r="243" spans="1:3" x14ac:dyDescent="0.2">
      <c r="A243" s="22">
        <v>488625</v>
      </c>
      <c r="B243" s="15">
        <v>4.8377310551181099</v>
      </c>
      <c r="C243" s="15">
        <v>0.74764934488188972</v>
      </c>
    </row>
    <row r="244" spans="1:3" x14ac:dyDescent="0.2">
      <c r="A244" s="22">
        <v>488628</v>
      </c>
      <c r="B244" s="15">
        <v>0.1553564763779528</v>
      </c>
      <c r="C244" s="15">
        <v>0.16032788362204731</v>
      </c>
    </row>
    <row r="245" spans="1:3" x14ac:dyDescent="0.2">
      <c r="A245" s="22">
        <v>488629</v>
      </c>
      <c r="B245" s="15">
        <v>0.23514608267716544</v>
      </c>
      <c r="C245" s="15">
        <v>0.22939806732283458</v>
      </c>
    </row>
    <row r="246" spans="1:3" x14ac:dyDescent="0.2">
      <c r="A246" s="22">
        <v>488630</v>
      </c>
      <c r="B246" s="15">
        <v>0.27869165354330711</v>
      </c>
      <c r="C246" s="15">
        <v>0.27433709645669291</v>
      </c>
    </row>
    <row r="247" spans="1:3" x14ac:dyDescent="0.2">
      <c r="A247" s="22">
        <v>488631</v>
      </c>
      <c r="B247" s="15">
        <v>0.35707368110236226</v>
      </c>
      <c r="C247" s="15">
        <v>0.29550024389763779</v>
      </c>
    </row>
    <row r="248" spans="1:3" x14ac:dyDescent="0.2">
      <c r="A248" s="22">
        <v>488632</v>
      </c>
      <c r="B248" s="15">
        <v>0.45722849409448818</v>
      </c>
      <c r="C248" s="15">
        <v>0.38337520590551188</v>
      </c>
    </row>
    <row r="249" spans="1:3" x14ac:dyDescent="0.2">
      <c r="A249" s="22">
        <v>488633</v>
      </c>
      <c r="B249" s="15">
        <v>0.95894988188976371</v>
      </c>
      <c r="C249" s="15">
        <v>0.44159642061023652</v>
      </c>
    </row>
    <row r="250" spans="1:3" x14ac:dyDescent="0.2">
      <c r="A250" s="22">
        <v>488634</v>
      </c>
      <c r="B250" s="15">
        <v>3.2434787755905505</v>
      </c>
      <c r="C250" s="15">
        <v>0.52665299440944924</v>
      </c>
    </row>
    <row r="251" spans="1:3" x14ac:dyDescent="0.2">
      <c r="A251" s="22">
        <v>488635</v>
      </c>
      <c r="B251" s="15">
        <v>0.50948317913385832</v>
      </c>
      <c r="C251" s="15">
        <v>0.1154393083661419</v>
      </c>
    </row>
    <row r="252" spans="1:3" x14ac:dyDescent="0.2">
      <c r="A252" s="22">
        <v>488636</v>
      </c>
      <c r="B252" s="15">
        <v>0.49641950787401579</v>
      </c>
      <c r="C252" s="15">
        <v>-4.2239203740157757E-3</v>
      </c>
    </row>
    <row r="253" spans="1:3" x14ac:dyDescent="0.2">
      <c r="A253" s="22">
        <v>488639</v>
      </c>
      <c r="B253" s="15">
        <v>2.2440379921259843E-2</v>
      </c>
      <c r="C253" s="15">
        <v>0.10690251757874017</v>
      </c>
    </row>
    <row r="254" spans="1:3" x14ac:dyDescent="0.2">
      <c r="A254" s="22">
        <v>488640</v>
      </c>
      <c r="B254" s="15">
        <v>5.1785492125984253E-2</v>
      </c>
      <c r="C254" s="15">
        <v>0.11482569787401575</v>
      </c>
    </row>
    <row r="255" spans="1:3" x14ac:dyDescent="0.2">
      <c r="A255" s="22">
        <v>488641</v>
      </c>
      <c r="B255" s="15">
        <v>4.8333125984251962E-2</v>
      </c>
      <c r="C255" s="15">
        <v>9.8547791515748051E-2</v>
      </c>
    </row>
    <row r="256" spans="1:3" x14ac:dyDescent="0.2">
      <c r="A256" s="22">
        <v>488642</v>
      </c>
      <c r="B256" s="15">
        <v>8.8035336614173232E-2</v>
      </c>
      <c r="C256" s="15">
        <v>9.6113873385826748E-2</v>
      </c>
    </row>
    <row r="257" spans="1:3" x14ac:dyDescent="0.2">
      <c r="A257" s="22">
        <v>488643</v>
      </c>
      <c r="B257" s="15">
        <v>0.22918554527559057</v>
      </c>
      <c r="C257" s="15">
        <v>6.6065977224409447E-2</v>
      </c>
    </row>
    <row r="258" spans="1:3" x14ac:dyDescent="0.2">
      <c r="A258" s="22">
        <v>488644</v>
      </c>
      <c r="B258" s="15">
        <v>2.2055847283464569</v>
      </c>
      <c r="C258" s="15">
        <v>0.39253015165354377</v>
      </c>
    </row>
    <row r="259" spans="1:3" x14ac:dyDescent="0.2">
      <c r="A259" s="22">
        <v>488645</v>
      </c>
      <c r="B259" s="15">
        <v>1.4064598267716537</v>
      </c>
      <c r="C259" s="15">
        <v>0.29855306322834652</v>
      </c>
    </row>
    <row r="260" spans="1:3" x14ac:dyDescent="0.2">
      <c r="A260" s="22">
        <v>488646</v>
      </c>
      <c r="B260" s="15">
        <v>0.83108989763779528</v>
      </c>
      <c r="C260" s="15">
        <v>8.2309864862204762E-2</v>
      </c>
    </row>
    <row r="261" spans="1:3" x14ac:dyDescent="0.2">
      <c r="A261" s="22">
        <v>488647</v>
      </c>
      <c r="B261" s="15">
        <v>0.64882900590551196</v>
      </c>
      <c r="C261" s="15">
        <v>8.6699231594488196E-2</v>
      </c>
    </row>
    <row r="262" spans="1:3" x14ac:dyDescent="0.2">
      <c r="A262" s="22">
        <v>488650</v>
      </c>
      <c r="B262" s="15">
        <v>2.9345112204724404E-2</v>
      </c>
      <c r="C262" s="15">
        <v>5.8344987795275596E-2</v>
      </c>
    </row>
    <row r="263" spans="1:3" x14ac:dyDescent="0.2">
      <c r="A263" s="22">
        <v>488651</v>
      </c>
      <c r="B263" s="15">
        <v>0.10529716732283463</v>
      </c>
      <c r="C263" s="15">
        <v>9.6390062677165378E-2</v>
      </c>
    </row>
    <row r="264" spans="1:3" x14ac:dyDescent="0.2">
      <c r="A264" s="22">
        <v>488652</v>
      </c>
      <c r="B264" s="15">
        <v>0.200309625984252</v>
      </c>
      <c r="C264" s="15">
        <v>0.24211337401574806</v>
      </c>
    </row>
    <row r="265" spans="1:3" x14ac:dyDescent="0.2">
      <c r="A265" s="22">
        <v>488653</v>
      </c>
      <c r="B265" s="15">
        <v>0.37013735236220474</v>
      </c>
      <c r="C265" s="15">
        <v>0.35433031013779526</v>
      </c>
    </row>
    <row r="266" spans="1:3" x14ac:dyDescent="0.2">
      <c r="A266" s="22">
        <v>488654</v>
      </c>
      <c r="B266" s="15">
        <v>1.214669850393701</v>
      </c>
      <c r="C266" s="15">
        <v>0.40915194960629908</v>
      </c>
    </row>
    <row r="267" spans="1:3" x14ac:dyDescent="0.2">
      <c r="A267" s="22">
        <v>488655</v>
      </c>
      <c r="B267" s="15">
        <v>1.5183373129921258</v>
      </c>
      <c r="C267" s="15">
        <v>0.43024884700787447</v>
      </c>
    </row>
    <row r="268" spans="1:3" x14ac:dyDescent="0.2">
      <c r="A268" s="22">
        <v>488656</v>
      </c>
      <c r="B268" s="15">
        <v>3.9581435905511815</v>
      </c>
      <c r="C268" s="15">
        <v>0.64979523944881823</v>
      </c>
    </row>
    <row r="269" spans="1:3" x14ac:dyDescent="0.2">
      <c r="A269" s="22">
        <v>488657</v>
      </c>
      <c r="B269" s="15">
        <v>3.1885045590551178</v>
      </c>
      <c r="C269" s="15">
        <v>0.51180995594488188</v>
      </c>
    </row>
    <row r="270" spans="1:3" x14ac:dyDescent="0.2">
      <c r="A270" s="22">
        <v>488658</v>
      </c>
      <c r="B270" s="15">
        <v>2.9686076929133858</v>
      </c>
      <c r="C270" s="15">
        <v>0.73170682208661431</v>
      </c>
    </row>
    <row r="271" spans="1:3" x14ac:dyDescent="0.2">
      <c r="A271" s="4">
        <v>488660</v>
      </c>
      <c r="B271" s="15">
        <v>7.9404421259842539E-2</v>
      </c>
      <c r="C271" s="15">
        <v>0.13324407124015747</v>
      </c>
    </row>
    <row r="272" spans="1:3" x14ac:dyDescent="0.2">
      <c r="A272" s="22">
        <v>488661</v>
      </c>
      <c r="B272" s="15">
        <v>6.7321139763779542E-2</v>
      </c>
      <c r="C272" s="15">
        <v>0.14094284773622046</v>
      </c>
    </row>
    <row r="273" spans="1:3" x14ac:dyDescent="0.2">
      <c r="A273" s="22">
        <v>488662</v>
      </c>
      <c r="B273" s="15">
        <v>7.2499688976377957E-2</v>
      </c>
      <c r="C273" s="15">
        <v>0.11822627852362204</v>
      </c>
    </row>
    <row r="274" spans="1:3" x14ac:dyDescent="0.2">
      <c r="A274" s="22">
        <v>488663</v>
      </c>
      <c r="B274" s="15">
        <v>0.15363029330708661</v>
      </c>
      <c r="C274" s="15">
        <v>0.16424631919291338</v>
      </c>
    </row>
    <row r="275" spans="1:3" x14ac:dyDescent="0.2">
      <c r="A275" s="22">
        <v>488664</v>
      </c>
      <c r="B275" s="15">
        <v>0.20901874015748034</v>
      </c>
      <c r="C275" s="15">
        <v>0.20575282234251968</v>
      </c>
    </row>
    <row r="276" spans="1:3" x14ac:dyDescent="0.2">
      <c r="A276" s="22">
        <v>488665</v>
      </c>
      <c r="B276" s="15">
        <v>0.3222372244094488</v>
      </c>
      <c r="C276" s="15">
        <v>0.22526123809055121</v>
      </c>
    </row>
    <row r="277" spans="1:3" x14ac:dyDescent="0.2">
      <c r="A277" s="22">
        <v>488666</v>
      </c>
      <c r="B277" s="15">
        <v>0.70322991338582685</v>
      </c>
      <c r="C277" s="15">
        <v>0.29136093911417338</v>
      </c>
    </row>
    <row r="278" spans="1:3" x14ac:dyDescent="0.2">
      <c r="A278" s="22">
        <v>488667</v>
      </c>
      <c r="B278" s="15">
        <v>1.6461972972440946</v>
      </c>
      <c r="C278" s="15">
        <v>0.42417549775590579</v>
      </c>
    </row>
    <row r="279" spans="1:3" x14ac:dyDescent="0.2">
      <c r="A279" s="22">
        <v>488668</v>
      </c>
      <c r="B279" s="15">
        <v>1.9658472578740158</v>
      </c>
      <c r="C279" s="15">
        <v>0.42928989712598431</v>
      </c>
    </row>
    <row r="280" spans="1:3" x14ac:dyDescent="0.2">
      <c r="A280" s="22">
        <v>488669</v>
      </c>
      <c r="B280" s="15">
        <v>0.65528241929133868</v>
      </c>
      <c r="C280" s="15">
        <v>0.48139284070866128</v>
      </c>
    </row>
    <row r="281" spans="1:3" x14ac:dyDescent="0.2">
      <c r="A281" s="22">
        <v>488670</v>
      </c>
      <c r="B281" s="15">
        <v>0.75117740748031492</v>
      </c>
      <c r="C281" s="15">
        <v>0.48698671501968505</v>
      </c>
    </row>
    <row r="282" spans="1:3" x14ac:dyDescent="0.2">
      <c r="A282" s="22">
        <v>488671</v>
      </c>
      <c r="B282" s="15">
        <v>0.92698488582677174</v>
      </c>
      <c r="C282" s="15">
        <v>0.39237032667322841</v>
      </c>
    </row>
    <row r="283" spans="1:3" x14ac:dyDescent="0.2">
      <c r="A283" s="22">
        <v>488672</v>
      </c>
      <c r="B283" s="15">
        <v>1.0708273681102363</v>
      </c>
      <c r="C283" s="15">
        <v>0.49210111438976389</v>
      </c>
    </row>
    <row r="284" spans="1:3" x14ac:dyDescent="0.2">
      <c r="A284" s="22">
        <v>488673</v>
      </c>
      <c r="B284" s="15">
        <v>0.97493237992125992</v>
      </c>
      <c r="C284" s="15">
        <v>0.42561392257874009</v>
      </c>
    </row>
    <row r="285" spans="1:3" x14ac:dyDescent="0.2">
      <c r="A285" s="22">
        <v>488674</v>
      </c>
      <c r="B285" s="15">
        <v>0.97493237992125992</v>
      </c>
      <c r="C285" s="15">
        <v>0.38501837757874036</v>
      </c>
    </row>
    <row r="286" spans="1:3" x14ac:dyDescent="0.2">
      <c r="A286" s="22">
        <v>488675</v>
      </c>
      <c r="B286" s="15">
        <v>1.0868098661417323</v>
      </c>
      <c r="C286" s="15">
        <v>0.33403420885826807</v>
      </c>
    </row>
    <row r="287" spans="1:3" x14ac:dyDescent="0.2">
      <c r="A287" s="22">
        <v>488676</v>
      </c>
      <c r="B287" s="15">
        <v>1.0708273681102365</v>
      </c>
      <c r="C287" s="15">
        <v>0.32971893438976374</v>
      </c>
    </row>
    <row r="288" spans="1:3" x14ac:dyDescent="0.2">
      <c r="A288" s="22">
        <v>488677</v>
      </c>
      <c r="B288" s="15">
        <v>8.2856787401574816E-2</v>
      </c>
      <c r="C288" s="15">
        <v>0.14513747259842519</v>
      </c>
    </row>
    <row r="289" spans="1:3" x14ac:dyDescent="0.2">
      <c r="A289" s="22">
        <v>488678</v>
      </c>
      <c r="B289" s="15">
        <v>0.10529716732283464</v>
      </c>
      <c r="C289" s="15">
        <v>0.17969565767716533</v>
      </c>
    </row>
    <row r="290" spans="1:3" x14ac:dyDescent="0.2">
      <c r="A290" s="22">
        <v>488679</v>
      </c>
      <c r="B290" s="15">
        <v>0.15363029330708664</v>
      </c>
      <c r="C290" s="15">
        <v>0.21466812669291338</v>
      </c>
    </row>
    <row r="291" spans="1:3" x14ac:dyDescent="0.2">
      <c r="A291" s="22">
        <v>488680</v>
      </c>
      <c r="B291" s="15">
        <v>0.21772785433070863</v>
      </c>
      <c r="C291" s="15">
        <v>0.30211917066929139</v>
      </c>
    </row>
    <row r="292" spans="1:3" x14ac:dyDescent="0.2">
      <c r="A292" s="22">
        <v>488681</v>
      </c>
      <c r="B292" s="15">
        <v>0.33530089566929144</v>
      </c>
      <c r="C292" s="15">
        <v>0.38916676683070861</v>
      </c>
    </row>
    <row r="293" spans="1:3" x14ac:dyDescent="0.2">
      <c r="A293" s="22">
        <v>488682</v>
      </c>
      <c r="B293" s="15">
        <v>0.81510739960629919</v>
      </c>
      <c r="C293" s="15">
        <v>0.34186563289370087</v>
      </c>
    </row>
    <row r="294" spans="1:3" x14ac:dyDescent="0.2">
      <c r="A294" s="22">
        <v>488683</v>
      </c>
      <c r="B294" s="15">
        <v>0.33094633858267725</v>
      </c>
      <c r="C294" s="15">
        <v>0.10594637391732287</v>
      </c>
    </row>
    <row r="295" spans="1:3" x14ac:dyDescent="0.2">
      <c r="A295" s="22">
        <v>488684</v>
      </c>
      <c r="B295" s="15">
        <v>0.30046443897637798</v>
      </c>
      <c r="C295" s="15">
        <v>7.0064823523622047E-2</v>
      </c>
    </row>
    <row r="296" spans="1:3" x14ac:dyDescent="0.2">
      <c r="A296" s="22">
        <v>488686</v>
      </c>
      <c r="B296" s="15">
        <v>1.7261830708661413E-2</v>
      </c>
      <c r="C296" s="15">
        <v>5.5082501791338584E-2</v>
      </c>
    </row>
    <row r="297" spans="1:3" x14ac:dyDescent="0.2">
      <c r="A297" s="22">
        <v>488687</v>
      </c>
      <c r="B297" s="15">
        <v>3.1071295275590556E-2</v>
      </c>
      <c r="C297" s="15">
        <v>8.5118087224409472E-2</v>
      </c>
    </row>
    <row r="298" spans="1:3" x14ac:dyDescent="0.2">
      <c r="A298" s="22">
        <v>488688</v>
      </c>
      <c r="B298" s="15">
        <v>6.9047322834645666E-2</v>
      </c>
      <c r="C298" s="15">
        <v>0.14798567466535431</v>
      </c>
    </row>
    <row r="299" spans="1:3" x14ac:dyDescent="0.2">
      <c r="A299" s="22">
        <v>488689</v>
      </c>
      <c r="B299" s="15">
        <v>0.11047571653543307</v>
      </c>
      <c r="C299" s="15">
        <v>0.19643963346456694</v>
      </c>
    </row>
    <row r="300" spans="1:3" x14ac:dyDescent="0.2">
      <c r="A300" s="22">
        <v>488690</v>
      </c>
      <c r="B300" s="15">
        <v>0.26562798228346463</v>
      </c>
      <c r="C300" s="15">
        <v>0.24868875521653544</v>
      </c>
    </row>
    <row r="301" spans="1:3" x14ac:dyDescent="0.2">
      <c r="A301" s="22">
        <v>488691</v>
      </c>
      <c r="B301" s="15">
        <v>0.28740076771653544</v>
      </c>
      <c r="C301" s="15">
        <v>0.33752171978346468</v>
      </c>
    </row>
    <row r="302" spans="1:3" x14ac:dyDescent="0.2">
      <c r="A302" s="22">
        <v>488692</v>
      </c>
      <c r="B302" s="15">
        <v>0.7991249015748032</v>
      </c>
      <c r="C302" s="15">
        <v>0.29695481342519681</v>
      </c>
    </row>
    <row r="303" spans="1:3" x14ac:dyDescent="0.2">
      <c r="A303" s="22">
        <v>488693</v>
      </c>
      <c r="B303" s="15">
        <v>0.36578279527559054</v>
      </c>
      <c r="C303" s="15">
        <v>0.13747336722440934</v>
      </c>
    </row>
    <row r="304" spans="1:3" x14ac:dyDescent="0.2">
      <c r="A304" s="22">
        <v>488694</v>
      </c>
      <c r="B304" s="15">
        <v>0.29610988188976384</v>
      </c>
      <c r="C304" s="15">
        <v>9.6540530610236236E-2</v>
      </c>
    </row>
    <row r="305" spans="1:3" x14ac:dyDescent="0.2">
      <c r="A305" s="22">
        <v>488697</v>
      </c>
      <c r="B305" s="15">
        <v>1.3809464566929133E-2</v>
      </c>
      <c r="C305" s="15">
        <v>2.7843332933070869E-2</v>
      </c>
    </row>
    <row r="306" spans="1:3" x14ac:dyDescent="0.2">
      <c r="A306" s="22">
        <v>488698</v>
      </c>
      <c r="B306" s="15">
        <v>1.726183070866142E-2</v>
      </c>
      <c r="C306" s="15">
        <v>2.8775471791338585E-2</v>
      </c>
    </row>
    <row r="307" spans="1:3" x14ac:dyDescent="0.2">
      <c r="A307" s="22">
        <v>488699</v>
      </c>
      <c r="B307" s="15">
        <v>3.9702210629921263E-2</v>
      </c>
      <c r="C307" s="15">
        <v>6.5525909370078739E-2</v>
      </c>
    </row>
    <row r="308" spans="1:3" x14ac:dyDescent="0.2">
      <c r="A308" s="22">
        <v>488700</v>
      </c>
      <c r="B308" s="15">
        <v>0.11392808267716537</v>
      </c>
      <c r="C308" s="15">
        <v>0.14037320732283465</v>
      </c>
    </row>
    <row r="309" spans="1:3" x14ac:dyDescent="0.2">
      <c r="A309" s="22">
        <v>488701</v>
      </c>
      <c r="B309" s="15">
        <v>0.30481899606299223</v>
      </c>
      <c r="C309" s="15">
        <v>0.27033090393700782</v>
      </c>
    </row>
    <row r="310" spans="1:3" x14ac:dyDescent="0.2">
      <c r="A310" s="22">
        <v>488702</v>
      </c>
      <c r="B310" s="15">
        <v>0.53125596456692925</v>
      </c>
      <c r="C310" s="15">
        <v>0.39783233543307106</v>
      </c>
    </row>
    <row r="311" spans="1:3" x14ac:dyDescent="0.2">
      <c r="A311" s="22">
        <v>488703</v>
      </c>
      <c r="B311" s="15">
        <v>0.35707368110236226</v>
      </c>
      <c r="C311" s="15">
        <v>0.16277334389763767</v>
      </c>
    </row>
    <row r="312" spans="1:3" x14ac:dyDescent="0.2">
      <c r="A312" s="22">
        <v>488704</v>
      </c>
      <c r="B312" s="15">
        <v>0.25691886811023623</v>
      </c>
      <c r="C312" s="15">
        <v>0.10254981938976386</v>
      </c>
    </row>
    <row r="313" spans="1:3" x14ac:dyDescent="0.2">
      <c r="A313" s="22">
        <v>488705</v>
      </c>
      <c r="B313" s="15">
        <v>0.22643696850393705</v>
      </c>
      <c r="C313" s="15">
        <v>7.7728843996063002E-2</v>
      </c>
    </row>
    <row r="314" spans="1:3" x14ac:dyDescent="0.2">
      <c r="A314" s="22">
        <v>488707</v>
      </c>
      <c r="B314" s="15">
        <v>1.0357098425196852E-2</v>
      </c>
      <c r="C314" s="15">
        <v>2.4718941574803147E-2</v>
      </c>
    </row>
    <row r="315" spans="1:3" x14ac:dyDescent="0.2">
      <c r="A315" s="22">
        <v>488708</v>
      </c>
      <c r="B315" s="15">
        <v>1.8988013779527559E-2</v>
      </c>
      <c r="C315" s="15">
        <v>2.2664783720472446E-2</v>
      </c>
    </row>
    <row r="316" spans="1:3" x14ac:dyDescent="0.2">
      <c r="A316" s="22">
        <v>488709</v>
      </c>
      <c r="B316" s="15">
        <v>0.14672556102362205</v>
      </c>
      <c r="C316" s="15">
        <v>0.16895879897637797</v>
      </c>
    </row>
    <row r="317" spans="1:3" x14ac:dyDescent="0.2">
      <c r="A317" s="22">
        <v>488710</v>
      </c>
      <c r="B317" s="15">
        <v>0.34401000984251962</v>
      </c>
      <c r="C317" s="15">
        <v>0.26432161515748043</v>
      </c>
    </row>
    <row r="318" spans="1:3" x14ac:dyDescent="0.2">
      <c r="A318" s="22">
        <v>488711</v>
      </c>
      <c r="B318" s="15">
        <v>0.9749323799212597</v>
      </c>
      <c r="C318" s="15">
        <v>0.44591169507874007</v>
      </c>
    </row>
    <row r="319" spans="1:3" x14ac:dyDescent="0.2">
      <c r="A319" s="22">
        <v>488712</v>
      </c>
      <c r="B319" s="15">
        <v>0.64011989173228367</v>
      </c>
      <c r="C319" s="15">
        <v>0.26131697076771643</v>
      </c>
    </row>
    <row r="320" spans="1:3" x14ac:dyDescent="0.2">
      <c r="A320" s="22">
        <v>488713</v>
      </c>
      <c r="B320" s="15">
        <v>0.2438551968503937</v>
      </c>
      <c r="C320" s="15">
        <v>0.13220435314960632</v>
      </c>
    </row>
    <row r="321" spans="1:3" x14ac:dyDescent="0.2">
      <c r="A321" s="22">
        <v>488714</v>
      </c>
      <c r="B321" s="15">
        <v>0.13464227952755908</v>
      </c>
      <c r="C321" s="15">
        <v>3.1968910472440965E-2</v>
      </c>
    </row>
    <row r="322" spans="1:3" x14ac:dyDescent="0.2">
      <c r="A322" s="22">
        <v>488715</v>
      </c>
      <c r="B322" s="15">
        <v>0.13464227952755906</v>
      </c>
      <c r="C322" s="15">
        <v>4.0737920472440951E-2</v>
      </c>
    </row>
    <row r="323" spans="1:3" x14ac:dyDescent="0.2">
      <c r="A323" s="22">
        <v>488716</v>
      </c>
      <c r="B323" s="15">
        <v>2.7618929133858272E-2</v>
      </c>
      <c r="C323" s="15">
        <v>7.7609190866141736E-2</v>
      </c>
    </row>
    <row r="324" spans="1:3" x14ac:dyDescent="0.2">
      <c r="A324" s="22">
        <v>488717</v>
      </c>
      <c r="B324" s="15">
        <v>3.452366141732284E-2</v>
      </c>
      <c r="C324" s="15">
        <v>8.3857973582677173E-2</v>
      </c>
    </row>
    <row r="325" spans="1:3" x14ac:dyDescent="0.2">
      <c r="A325" s="22">
        <v>488718</v>
      </c>
      <c r="B325" s="15">
        <v>4.6606942913385824E-2</v>
      </c>
      <c r="C325" s="15">
        <v>9.3697217086614187E-2</v>
      </c>
    </row>
    <row r="326" spans="1:3" x14ac:dyDescent="0.2">
      <c r="A326" s="22">
        <v>488719</v>
      </c>
      <c r="B326" s="15">
        <v>0.40061925196850395</v>
      </c>
      <c r="C326" s="15">
        <v>0.34043927303149624</v>
      </c>
    </row>
    <row r="327" spans="1:3" x14ac:dyDescent="0.2">
      <c r="A327" s="22">
        <v>488720</v>
      </c>
      <c r="B327" s="15">
        <v>0.65528241929133868</v>
      </c>
      <c r="C327" s="15">
        <v>0.44079729570866144</v>
      </c>
    </row>
    <row r="328" spans="1:3" x14ac:dyDescent="0.2">
      <c r="A328" s="22">
        <v>488721</v>
      </c>
      <c r="B328" s="15">
        <v>0.25256431102362203</v>
      </c>
      <c r="C328" s="15">
        <v>0.10690437647637802</v>
      </c>
    </row>
    <row r="329" spans="1:3" x14ac:dyDescent="0.2">
      <c r="A329" s="22">
        <v>488722</v>
      </c>
      <c r="B329" s="15">
        <v>0.15880884251968508</v>
      </c>
      <c r="C329" s="15">
        <v>4.5070639980314964E-2</v>
      </c>
    </row>
    <row r="330" spans="1:3" x14ac:dyDescent="0.2">
      <c r="A330" s="22">
        <v>488723</v>
      </c>
      <c r="B330" s="15">
        <v>0.12946373031496061</v>
      </c>
      <c r="C330" s="15">
        <v>2.8378449685039393E-2</v>
      </c>
    </row>
    <row r="331" spans="1:3" x14ac:dyDescent="0.2">
      <c r="A331" s="22">
        <v>488724</v>
      </c>
      <c r="B331" s="15">
        <v>2.7618929133858272E-2</v>
      </c>
      <c r="C331" s="15">
        <v>7.7609190866141736E-2</v>
      </c>
    </row>
    <row r="332" spans="1:3" x14ac:dyDescent="0.2">
      <c r="A332" s="22">
        <v>488725</v>
      </c>
      <c r="B332" s="15">
        <v>1.5535647637795276E-2</v>
      </c>
      <c r="C332" s="15">
        <v>7.2154452362204718E-2</v>
      </c>
    </row>
    <row r="333" spans="1:3" x14ac:dyDescent="0.2">
      <c r="A333" s="22">
        <v>488726</v>
      </c>
      <c r="B333" s="15">
        <v>6.3868773622047265E-2</v>
      </c>
      <c r="C333" s="15">
        <v>0.12685719387795272</v>
      </c>
    </row>
    <row r="334" spans="1:3" x14ac:dyDescent="0.2">
      <c r="A334" s="22">
        <v>488727</v>
      </c>
      <c r="B334" s="15">
        <v>9.3213885826771675E-2</v>
      </c>
      <c r="C334" s="15">
        <v>0.13916487917322837</v>
      </c>
    </row>
    <row r="335" spans="1:3" x14ac:dyDescent="0.2">
      <c r="A335" s="22">
        <v>488728</v>
      </c>
      <c r="B335" s="15">
        <v>0.30046443897637798</v>
      </c>
      <c r="C335" s="15">
        <v>0.30786718602362195</v>
      </c>
    </row>
    <row r="336" spans="1:3" x14ac:dyDescent="0.2">
      <c r="A336" s="22">
        <v>488729</v>
      </c>
      <c r="B336" s="15">
        <v>0.86305489370078736</v>
      </c>
      <c r="C336" s="15">
        <v>0.43600254629921259</v>
      </c>
    </row>
    <row r="337" spans="1:3" x14ac:dyDescent="0.2">
      <c r="A337" s="22">
        <v>488730</v>
      </c>
      <c r="B337" s="15">
        <v>0.39191013779527573</v>
      </c>
      <c r="C337" s="15">
        <v>0.19430033720472431</v>
      </c>
    </row>
    <row r="338" spans="1:3" x14ac:dyDescent="0.2">
      <c r="A338" s="22">
        <v>488731</v>
      </c>
      <c r="B338" s="15">
        <v>0.22643696850393702</v>
      </c>
      <c r="C338" s="15">
        <v>6.6668268996062999E-2</v>
      </c>
    </row>
    <row r="339" spans="1:3" x14ac:dyDescent="0.2">
      <c r="A339" s="22">
        <v>488732</v>
      </c>
      <c r="B339" s="15">
        <v>0.19160051181102361</v>
      </c>
      <c r="C339" s="15">
        <v>4.6201850688976392E-2</v>
      </c>
    </row>
    <row r="340" spans="1:3" x14ac:dyDescent="0.2">
      <c r="A340" s="22">
        <v>488735</v>
      </c>
      <c r="B340" s="15">
        <v>6.9047322834645672E-3</v>
      </c>
      <c r="C340" s="15">
        <v>6.2487827165354339E-3</v>
      </c>
    </row>
    <row r="341" spans="1:3" x14ac:dyDescent="0.2">
      <c r="A341" s="22">
        <v>488736</v>
      </c>
      <c r="B341" s="15">
        <v>1.3809464566929134E-2</v>
      </c>
      <c r="C341" s="15">
        <v>2.5651080433070871E-2</v>
      </c>
    </row>
    <row r="342" spans="1:3" x14ac:dyDescent="0.2">
      <c r="A342" s="22">
        <v>488737</v>
      </c>
      <c r="B342" s="15">
        <v>5.1785492125984253E-2</v>
      </c>
      <c r="C342" s="15">
        <v>0.10824894037401576</v>
      </c>
    </row>
    <row r="343" spans="1:3" x14ac:dyDescent="0.2">
      <c r="A343" s="22">
        <v>488738</v>
      </c>
      <c r="B343" s="15">
        <v>0.1398208287401575</v>
      </c>
      <c r="C343" s="15">
        <v>0.22190083375984254</v>
      </c>
    </row>
    <row r="344" spans="1:3" x14ac:dyDescent="0.2">
      <c r="A344" s="22">
        <v>488739</v>
      </c>
      <c r="B344" s="15">
        <v>0.2438551968503937</v>
      </c>
      <c r="C344" s="15">
        <v>0.30364326564960642</v>
      </c>
    </row>
    <row r="345" spans="1:3" x14ac:dyDescent="0.2">
      <c r="A345" s="22">
        <v>488740</v>
      </c>
      <c r="B345" s="15">
        <v>0.17607067322834644</v>
      </c>
      <c r="C345" s="15">
        <v>5.6308091771653579E-2</v>
      </c>
    </row>
    <row r="346" spans="1:3" x14ac:dyDescent="0.2">
      <c r="A346" s="22">
        <v>488742</v>
      </c>
      <c r="B346" s="15">
        <v>0.13291609645669294</v>
      </c>
      <c r="C346" s="15">
        <v>3.1502841043307084E-2</v>
      </c>
    </row>
    <row r="347" spans="1:3" x14ac:dyDescent="0.2">
      <c r="A347" s="22">
        <v>488743</v>
      </c>
      <c r="B347" s="15">
        <v>0.12255899803149606</v>
      </c>
      <c r="C347" s="15">
        <v>3.0898676968503964E-2</v>
      </c>
    </row>
    <row r="348" spans="1:3" x14ac:dyDescent="0.2">
      <c r="A348" s="22">
        <v>488751</v>
      </c>
      <c r="B348" s="15">
        <v>1.3809464566929133E-2</v>
      </c>
      <c r="C348" s="15">
        <v>3.0035585433070874E-2</v>
      </c>
    </row>
    <row r="349" spans="1:3" x14ac:dyDescent="0.2">
      <c r="A349" s="22">
        <v>488752</v>
      </c>
      <c r="B349" s="15">
        <v>2.2440379921259839E-2</v>
      </c>
      <c r="C349" s="15">
        <v>4.7711700078740163E-2</v>
      </c>
    </row>
    <row r="350" spans="1:3" x14ac:dyDescent="0.2">
      <c r="A350" s="22">
        <v>488753</v>
      </c>
      <c r="B350" s="15">
        <v>8.976151968503937E-2</v>
      </c>
      <c r="C350" s="15">
        <v>0.15138625531496064</v>
      </c>
    </row>
    <row r="351" spans="1:3" x14ac:dyDescent="0.2">
      <c r="A351" s="22">
        <v>488754</v>
      </c>
      <c r="B351" s="15">
        <v>0.11047571653543306</v>
      </c>
      <c r="C351" s="15">
        <v>0.181093865964567</v>
      </c>
    </row>
    <row r="352" spans="1:3" x14ac:dyDescent="0.2">
      <c r="A352" s="22">
        <v>488755</v>
      </c>
      <c r="B352" s="15">
        <v>1.0708273681102365</v>
      </c>
      <c r="C352" s="15">
        <v>0.43120779688976374</v>
      </c>
    </row>
    <row r="353" spans="1:3" x14ac:dyDescent="0.2">
      <c r="A353" s="22">
        <v>488757</v>
      </c>
      <c r="B353" s="15">
        <v>0.23950063976377955</v>
      </c>
      <c r="C353" s="15">
        <v>8.1256035236220492E-2</v>
      </c>
    </row>
    <row r="354" spans="1:3" x14ac:dyDescent="0.2">
      <c r="A354" s="22">
        <v>488758</v>
      </c>
      <c r="B354" s="15">
        <v>0.14327319488188975</v>
      </c>
      <c r="C354" s="15">
        <v>2.9914752618110246E-2</v>
      </c>
    </row>
    <row r="355" spans="1:3" x14ac:dyDescent="0.2">
      <c r="A355" s="22">
        <v>488759</v>
      </c>
      <c r="B355" s="15">
        <v>0.13809464566929136</v>
      </c>
      <c r="C355" s="15">
        <v>2.1939786830708689E-2</v>
      </c>
    </row>
    <row r="356" spans="1:3" x14ac:dyDescent="0.2">
      <c r="A356" s="4">
        <v>488767</v>
      </c>
      <c r="B356" s="15">
        <v>1.0357098425196852E-2</v>
      </c>
      <c r="C356" s="15">
        <v>1.8142184074803148E-2</v>
      </c>
    </row>
    <row r="357" spans="1:3" x14ac:dyDescent="0.2">
      <c r="A357" s="22">
        <v>488768</v>
      </c>
      <c r="B357" s="15">
        <v>3.7976027559055124E-2</v>
      </c>
      <c r="C357" s="15">
        <v>7.382884994094488E-2</v>
      </c>
    </row>
    <row r="358" spans="1:3" x14ac:dyDescent="0.2">
      <c r="A358" s="22">
        <v>488769</v>
      </c>
      <c r="B358" s="15">
        <v>9.6666251968503952E-2</v>
      </c>
      <c r="C358" s="15">
        <v>0.12475125053149609</v>
      </c>
    </row>
    <row r="359" spans="1:3" x14ac:dyDescent="0.2">
      <c r="A359" s="22">
        <v>488770</v>
      </c>
      <c r="B359" s="15">
        <v>0.34836456692913387</v>
      </c>
      <c r="C359" s="15">
        <v>0.30420935807086635</v>
      </c>
    </row>
    <row r="360" spans="1:3" x14ac:dyDescent="0.2">
      <c r="A360" s="22">
        <v>488771</v>
      </c>
      <c r="B360" s="15">
        <v>0.86305489370078736</v>
      </c>
      <c r="C360" s="15">
        <v>0.57808695379921271</v>
      </c>
    </row>
    <row r="361" spans="1:3" x14ac:dyDescent="0.2">
      <c r="A361" s="22">
        <v>488772</v>
      </c>
      <c r="B361" s="15">
        <v>0.37449190944881894</v>
      </c>
      <c r="C361" s="15">
        <v>0.20065799055118111</v>
      </c>
    </row>
    <row r="362" spans="1:3" x14ac:dyDescent="0.2">
      <c r="A362" s="22">
        <v>488773</v>
      </c>
      <c r="B362" s="15">
        <v>0.17952303937007874</v>
      </c>
      <c r="C362" s="15">
        <v>6.1624735629921268E-2</v>
      </c>
    </row>
    <row r="363" spans="1:3" x14ac:dyDescent="0.2">
      <c r="A363" s="22">
        <v>488774</v>
      </c>
      <c r="B363" s="15">
        <v>0.1380946456692913</v>
      </c>
      <c r="C363" s="15">
        <v>3.07087968307087E-2</v>
      </c>
    </row>
    <row r="364" spans="1:3" x14ac:dyDescent="0.2">
      <c r="A364" s="22">
        <v>488775</v>
      </c>
      <c r="B364" s="15">
        <v>0.12773754724409447</v>
      </c>
      <c r="C364" s="15">
        <v>3.2296885255905544E-2</v>
      </c>
    </row>
    <row r="365" spans="1:3" x14ac:dyDescent="0.2">
      <c r="A365" s="22">
        <v>488786</v>
      </c>
      <c r="B365" s="15">
        <v>1.2083281496062994E-2</v>
      </c>
      <c r="C365" s="15">
        <v>2.9569516003937011E-2</v>
      </c>
    </row>
    <row r="366" spans="1:3" x14ac:dyDescent="0.2">
      <c r="A366" s="22">
        <v>488787</v>
      </c>
      <c r="B366" s="15">
        <v>7.2499688976377943E-2</v>
      </c>
      <c r="C366" s="15">
        <v>0.11603402602362207</v>
      </c>
    </row>
    <row r="367" spans="1:3" x14ac:dyDescent="0.2">
      <c r="A367" s="22">
        <v>488789</v>
      </c>
      <c r="B367" s="15">
        <v>0.94296738385826762</v>
      </c>
      <c r="C367" s="15">
        <v>0.57936555364173248</v>
      </c>
    </row>
    <row r="368" spans="1:3" x14ac:dyDescent="0.2">
      <c r="A368" s="22">
        <v>488790</v>
      </c>
      <c r="B368" s="15">
        <v>0.65528241929133868</v>
      </c>
      <c r="C368" s="15">
        <v>0.33930843320866139</v>
      </c>
    </row>
    <row r="369" spans="1:3" x14ac:dyDescent="0.2">
      <c r="A369" s="22">
        <v>488791</v>
      </c>
      <c r="B369" s="15">
        <v>0.26562798228346463</v>
      </c>
      <c r="C369" s="15">
        <v>0.11596185521653546</v>
      </c>
    </row>
    <row r="370" spans="1:3" x14ac:dyDescent="0.2">
      <c r="A370" s="22">
        <v>488792</v>
      </c>
      <c r="B370" s="15">
        <v>0.200309625984252</v>
      </c>
      <c r="C370" s="15">
        <v>6.5144174015748041E-2</v>
      </c>
    </row>
    <row r="371" spans="1:3" x14ac:dyDescent="0.2">
      <c r="A371" s="22">
        <v>488793</v>
      </c>
      <c r="B371" s="15">
        <v>0.16053502559055116</v>
      </c>
      <c r="C371" s="15">
        <v>5.6497971909448885E-2</v>
      </c>
    </row>
    <row r="372" spans="1:3" x14ac:dyDescent="0.2">
      <c r="A372" s="22">
        <v>488794</v>
      </c>
      <c r="B372" s="15">
        <v>0.20714196850393699</v>
      </c>
      <c r="C372" s="15">
        <v>3.8390311496063055E-2</v>
      </c>
    </row>
    <row r="373" spans="1:3" x14ac:dyDescent="0.2">
      <c r="A373" s="22">
        <v>488805</v>
      </c>
      <c r="B373" s="15">
        <v>1.3809464566929136E-2</v>
      </c>
      <c r="C373" s="15">
        <v>1.4689817933070868E-2</v>
      </c>
    </row>
    <row r="374" spans="1:3" x14ac:dyDescent="0.2">
      <c r="A374" s="22">
        <v>488809</v>
      </c>
      <c r="B374" s="15">
        <v>0.36142823818897635</v>
      </c>
      <c r="C374" s="15">
        <v>0.2911456868110236</v>
      </c>
    </row>
    <row r="375" spans="1:3" x14ac:dyDescent="0.2">
      <c r="A375" s="22">
        <v>488810</v>
      </c>
      <c r="B375" s="15">
        <v>0.32659178149606305</v>
      </c>
      <c r="C375" s="15">
        <v>0.26514898100393702</v>
      </c>
    </row>
    <row r="376" spans="1:3" x14ac:dyDescent="0.2">
      <c r="A376" s="22">
        <v>488811</v>
      </c>
      <c r="B376" s="15">
        <v>0.17418228346456696</v>
      </c>
      <c r="C376" s="15">
        <v>8.0210941535433011E-2</v>
      </c>
    </row>
    <row r="377" spans="1:3" x14ac:dyDescent="0.2">
      <c r="A377" s="22">
        <v>488812</v>
      </c>
      <c r="B377" s="15">
        <v>0.12601136417322834</v>
      </c>
      <c r="C377" s="15">
        <v>4.0599825826771678E-2</v>
      </c>
    </row>
    <row r="378" spans="1:3" x14ac:dyDescent="0.2">
      <c r="A378" s="22">
        <v>488813</v>
      </c>
      <c r="B378" s="15">
        <v>0.16226120866141733</v>
      </c>
      <c r="C378" s="15">
        <v>3.9426021338582695E-2</v>
      </c>
    </row>
    <row r="379" spans="1:3" x14ac:dyDescent="0.2">
      <c r="A379" s="22">
        <v>488825</v>
      </c>
      <c r="B379" s="15">
        <v>2.9345112204724411E-2</v>
      </c>
      <c r="C379" s="15">
        <v>3.6422462795275591E-2</v>
      </c>
    </row>
    <row r="380" spans="1:3" x14ac:dyDescent="0.2">
      <c r="A380" s="22">
        <v>488826</v>
      </c>
      <c r="B380" s="15">
        <v>7.5952055118110234E-2</v>
      </c>
      <c r="C380" s="15">
        <v>0.12792742738188978</v>
      </c>
    </row>
    <row r="381" spans="1:3" x14ac:dyDescent="0.2">
      <c r="A381" s="22">
        <v>488827</v>
      </c>
      <c r="B381" s="15">
        <v>0.36578279527559054</v>
      </c>
      <c r="C381" s="15">
        <v>0.52459349222440954</v>
      </c>
    </row>
    <row r="382" spans="1:3" x14ac:dyDescent="0.2">
      <c r="A382" s="22">
        <v>488828</v>
      </c>
      <c r="B382" s="15">
        <v>0.62331742322834627</v>
      </c>
      <c r="C382" s="15">
        <v>0.45246451927165376</v>
      </c>
    </row>
    <row r="383" spans="1:3" x14ac:dyDescent="0.2">
      <c r="A383" s="22">
        <v>488829</v>
      </c>
      <c r="B383" s="15">
        <v>0.25256431102362209</v>
      </c>
      <c r="C383" s="15">
        <v>0.13455581397637797</v>
      </c>
    </row>
    <row r="384" spans="1:3" x14ac:dyDescent="0.2">
      <c r="A384" s="22">
        <v>488830</v>
      </c>
      <c r="B384" s="15">
        <v>0.16398739173228349</v>
      </c>
      <c r="C384" s="15">
        <v>5.304560576771658E-2</v>
      </c>
    </row>
    <row r="385" spans="1:3" x14ac:dyDescent="0.2">
      <c r="A385" s="22">
        <v>488831</v>
      </c>
      <c r="B385" s="15">
        <v>0.1622612086614173</v>
      </c>
      <c r="C385" s="15">
        <v>4.3810526338582678E-2</v>
      </c>
    </row>
    <row r="386" spans="1:3" x14ac:dyDescent="0.2">
      <c r="A386" s="22">
        <v>488832</v>
      </c>
      <c r="B386" s="15">
        <v>0.16571357480314963</v>
      </c>
      <c r="C386" s="15">
        <v>4.0358160196850422E-2</v>
      </c>
    </row>
    <row r="387" spans="1:3" x14ac:dyDescent="0.2">
      <c r="A387" s="22">
        <v>488833</v>
      </c>
      <c r="B387" s="15">
        <v>0.16743975787401574</v>
      </c>
      <c r="C387" s="15">
        <v>4.0824229625984275E-2</v>
      </c>
    </row>
    <row r="388" spans="1:3" x14ac:dyDescent="0.2">
      <c r="A388" s="22">
        <v>488849</v>
      </c>
      <c r="B388" s="15">
        <v>2.4166562992125985E-2</v>
      </c>
      <c r="C388" s="15">
        <v>3.0639749507874011E-2</v>
      </c>
    </row>
    <row r="389" spans="1:3" x14ac:dyDescent="0.2">
      <c r="A389" s="22">
        <v>488850</v>
      </c>
      <c r="B389" s="15">
        <v>7.5952055118110234E-2</v>
      </c>
      <c r="C389" s="15">
        <v>0.13231193238188976</v>
      </c>
    </row>
    <row r="390" spans="1:3" x14ac:dyDescent="0.2">
      <c r="A390" s="22">
        <v>488851</v>
      </c>
      <c r="B390" s="15">
        <v>0.31788266732283471</v>
      </c>
      <c r="C390" s="15">
        <v>0.42870614517716543</v>
      </c>
    </row>
    <row r="391" spans="1:3" x14ac:dyDescent="0.2">
      <c r="A391" s="22">
        <v>488852</v>
      </c>
      <c r="B391" s="15">
        <v>0.62331742322834627</v>
      </c>
      <c r="C391" s="15">
        <v>0.45246451927165376</v>
      </c>
    </row>
    <row r="392" spans="1:3" x14ac:dyDescent="0.2">
      <c r="A392" s="22">
        <v>488853</v>
      </c>
      <c r="B392" s="15">
        <v>0.39191013779527561</v>
      </c>
      <c r="C392" s="15">
        <v>0.26619407470472439</v>
      </c>
    </row>
    <row r="393" spans="1:3" x14ac:dyDescent="0.2">
      <c r="A393" s="22">
        <v>488854</v>
      </c>
      <c r="B393" s="15">
        <v>0.30046443897637798</v>
      </c>
      <c r="C393" s="15">
        <v>0.1474888485236221</v>
      </c>
    </row>
    <row r="394" spans="1:3" x14ac:dyDescent="0.2">
      <c r="A394" s="22">
        <v>488855</v>
      </c>
      <c r="B394" s="15">
        <v>0.21772785433070863</v>
      </c>
      <c r="C394" s="15">
        <v>6.431680816929139E-2</v>
      </c>
    </row>
    <row r="395" spans="1:3" x14ac:dyDescent="0.2">
      <c r="A395" s="22">
        <v>488856</v>
      </c>
      <c r="B395" s="15">
        <v>0.19160632086614174</v>
      </c>
      <c r="C395" s="15">
        <v>4.5156949133858315E-2</v>
      </c>
    </row>
    <row r="396" spans="1:3" x14ac:dyDescent="0.2">
      <c r="A396" s="22">
        <v>488857</v>
      </c>
      <c r="B396" s="15">
        <v>0.16053502559055119</v>
      </c>
      <c r="C396" s="15">
        <v>3.0190941909448814E-2</v>
      </c>
    </row>
    <row r="397" spans="1:3" x14ac:dyDescent="0.2">
      <c r="A397" s="22">
        <v>488872</v>
      </c>
      <c r="B397" s="15">
        <v>2.2440379921259839E-2</v>
      </c>
      <c r="C397" s="15">
        <v>6.5249720078740164E-2</v>
      </c>
    </row>
    <row r="398" spans="1:3" x14ac:dyDescent="0.2">
      <c r="A398" s="22">
        <v>488873</v>
      </c>
      <c r="B398" s="15">
        <v>4.8333125984251969E-2</v>
      </c>
      <c r="C398" s="15">
        <v>7.6625266515748039E-2</v>
      </c>
    </row>
    <row r="399" spans="1:3" x14ac:dyDescent="0.2">
      <c r="A399" s="22">
        <v>488874</v>
      </c>
      <c r="B399" s="15">
        <v>0.18289139763779524</v>
      </c>
      <c r="C399" s="15">
        <v>0.31483447736220466</v>
      </c>
    </row>
    <row r="400" spans="1:3" x14ac:dyDescent="0.2">
      <c r="A400" s="22">
        <v>488875</v>
      </c>
      <c r="B400" s="15">
        <v>0.38755558070866147</v>
      </c>
      <c r="C400" s="15">
        <v>0.42539668179133849</v>
      </c>
    </row>
    <row r="401" spans="1:3" x14ac:dyDescent="0.2">
      <c r="A401" s="4">
        <v>488876</v>
      </c>
      <c r="B401" s="15">
        <v>0.44851937992125984</v>
      </c>
      <c r="C401" s="15">
        <v>0.47503863257874029</v>
      </c>
    </row>
    <row r="402" spans="1:3" x14ac:dyDescent="0.2">
      <c r="A402" s="4">
        <v>488877</v>
      </c>
      <c r="B402" s="15">
        <v>0.21772785433070865</v>
      </c>
      <c r="C402" s="15">
        <v>0.20257399566929141</v>
      </c>
    </row>
    <row r="403" spans="1:3" x14ac:dyDescent="0.2">
      <c r="A403" s="4">
        <v>488879</v>
      </c>
      <c r="B403" s="15">
        <v>0.14845174409448822</v>
      </c>
      <c r="C403" s="15">
        <v>7.2965758405511824E-2</v>
      </c>
    </row>
    <row r="404" spans="1:3" x14ac:dyDescent="0.2">
      <c r="A404" s="4">
        <v>488880</v>
      </c>
      <c r="B404" s="15">
        <v>0.23887504921259839</v>
      </c>
      <c r="C404" s="15">
        <v>6.3251168287401655E-2</v>
      </c>
    </row>
    <row r="405" spans="1:3" x14ac:dyDescent="0.2">
      <c r="A405" s="4">
        <v>488896</v>
      </c>
      <c r="B405" s="15">
        <v>3.452366141732284E-2</v>
      </c>
      <c r="C405" s="15">
        <v>6.1935448582677174E-2</v>
      </c>
    </row>
    <row r="406" spans="1:3" x14ac:dyDescent="0.2">
      <c r="A406" s="4">
        <v>488897</v>
      </c>
      <c r="B406" s="15">
        <v>0.12946373031496061</v>
      </c>
      <c r="C406" s="15">
        <v>0.19937414468503936</v>
      </c>
    </row>
    <row r="407" spans="1:3" x14ac:dyDescent="0.2">
      <c r="A407" s="4">
        <v>488898</v>
      </c>
      <c r="B407" s="15">
        <v>0.26127342519685043</v>
      </c>
      <c r="C407" s="15">
        <v>0.41342164980314955</v>
      </c>
    </row>
    <row r="408" spans="1:3" x14ac:dyDescent="0.2">
      <c r="A408" s="4">
        <v>488899</v>
      </c>
      <c r="B408" s="15">
        <v>0.55938743110236222</v>
      </c>
      <c r="C408" s="15">
        <v>0.59758560139763794</v>
      </c>
    </row>
    <row r="409" spans="1:3" x14ac:dyDescent="0.2">
      <c r="A409" s="4">
        <v>488900</v>
      </c>
      <c r="B409" s="15">
        <v>0.26562798228346463</v>
      </c>
      <c r="C409" s="15">
        <v>0.27634019271653554</v>
      </c>
    </row>
    <row r="410" spans="1:3" x14ac:dyDescent="0.2">
      <c r="A410" s="4">
        <v>488901</v>
      </c>
      <c r="B410" s="15">
        <v>0.14154701181102364</v>
      </c>
      <c r="C410" s="15">
        <v>8.8639500688976386E-2</v>
      </c>
    </row>
    <row r="411" spans="1:3" x14ac:dyDescent="0.2">
      <c r="A411" s="4">
        <v>488902</v>
      </c>
      <c r="B411" s="15">
        <v>0.17607067322834646</v>
      </c>
      <c r="C411" s="15">
        <v>7.1653859271653547E-2</v>
      </c>
    </row>
    <row r="412" spans="1:3" x14ac:dyDescent="0.2">
      <c r="A412" s="4">
        <v>488903</v>
      </c>
      <c r="B412" s="15">
        <v>0.1242851811023622</v>
      </c>
      <c r="C412" s="15">
        <v>6.8633038897637777E-2</v>
      </c>
    </row>
    <row r="413" spans="1:3" x14ac:dyDescent="0.2">
      <c r="A413" s="4">
        <v>488904</v>
      </c>
      <c r="B413" s="15">
        <v>0.11392808267716537</v>
      </c>
      <c r="C413" s="15">
        <v>6.3644369822834654E-2</v>
      </c>
    </row>
    <row r="414" spans="1:3" x14ac:dyDescent="0.2">
      <c r="A414" s="4">
        <v>488920</v>
      </c>
      <c r="B414" s="15">
        <v>2.4166562992125978E-2</v>
      </c>
      <c r="C414" s="15">
        <v>7.0100294507874028E-2</v>
      </c>
    </row>
    <row r="415" spans="1:3" x14ac:dyDescent="0.2">
      <c r="A415" s="4">
        <v>488921</v>
      </c>
      <c r="B415" s="15">
        <v>3.7976027559055117E-2</v>
      </c>
      <c r="C415" s="15">
        <v>8.4790112440944893E-2</v>
      </c>
    </row>
    <row r="416" spans="1:3" x14ac:dyDescent="0.2">
      <c r="A416" s="4">
        <v>488922</v>
      </c>
      <c r="B416" s="15">
        <v>0.13118991338582678</v>
      </c>
      <c r="C416" s="15">
        <v>0.22833949661417319</v>
      </c>
    </row>
    <row r="417" spans="1:3" x14ac:dyDescent="0.2">
      <c r="A417" s="4">
        <v>488923</v>
      </c>
      <c r="B417" s="15">
        <v>0.36142823818897629</v>
      </c>
      <c r="C417" s="15">
        <v>0.30220626181102361</v>
      </c>
    </row>
    <row r="418" spans="1:3" x14ac:dyDescent="0.2">
      <c r="A418" s="4">
        <v>488924</v>
      </c>
      <c r="B418" s="15">
        <v>0.34401000984251973</v>
      </c>
      <c r="C418" s="15">
        <v>0.25879132765748031</v>
      </c>
    </row>
    <row r="419" spans="1:3" x14ac:dyDescent="0.2">
      <c r="A419" s="4">
        <v>488925</v>
      </c>
      <c r="B419" s="15">
        <v>0.14845174409448819</v>
      </c>
      <c r="C419" s="15">
        <v>8.3927020905511823E-2</v>
      </c>
    </row>
    <row r="420" spans="1:3" x14ac:dyDescent="0.2">
      <c r="A420" s="4">
        <v>488926</v>
      </c>
      <c r="B420" s="15">
        <v>0.12773754724409447</v>
      </c>
      <c r="C420" s="15">
        <v>6.2988420255905536E-2</v>
      </c>
    </row>
    <row r="421" spans="1:3" x14ac:dyDescent="0.2">
      <c r="A421" s="4">
        <v>488927</v>
      </c>
      <c r="B421" s="15">
        <v>0.13464227952755903</v>
      </c>
      <c r="C421" s="15">
        <v>6.0468192972440979E-2</v>
      </c>
    </row>
    <row r="422" spans="1:3" x14ac:dyDescent="0.2">
      <c r="A422" s="4">
        <v>488932</v>
      </c>
      <c r="B422" s="15">
        <v>3.452366141732284E-2</v>
      </c>
      <c r="C422" s="15">
        <v>9.4819236082677158E-2</v>
      </c>
    </row>
    <row r="423" spans="1:3" x14ac:dyDescent="0.2">
      <c r="A423" s="4">
        <v>488933</v>
      </c>
      <c r="B423" s="15">
        <v>6.5594956692913403E-2</v>
      </c>
      <c r="C423" s="15">
        <v>0.13390002080708657</v>
      </c>
    </row>
    <row r="424" spans="1:3" x14ac:dyDescent="0.2">
      <c r="A424" s="4">
        <v>488934</v>
      </c>
      <c r="B424" s="15">
        <v>0.14845174409448819</v>
      </c>
      <c r="C424" s="15">
        <v>0.21546217090551184</v>
      </c>
    </row>
    <row r="425" spans="1:3" x14ac:dyDescent="0.2">
      <c r="A425" s="4">
        <v>488935</v>
      </c>
      <c r="B425" s="15">
        <v>0.20466418307086615</v>
      </c>
      <c r="C425" s="15">
        <v>0.25434967942913383</v>
      </c>
    </row>
    <row r="426" spans="1:3" x14ac:dyDescent="0.2">
      <c r="A426" s="4">
        <v>488936</v>
      </c>
      <c r="B426" s="15">
        <v>0.30917355314960637</v>
      </c>
      <c r="C426" s="15">
        <v>0.29362778435039361</v>
      </c>
    </row>
    <row r="427" spans="1:3" x14ac:dyDescent="0.2">
      <c r="A427" s="4">
        <v>488937</v>
      </c>
      <c r="B427" s="15">
        <v>0.69418923622047246</v>
      </c>
      <c r="C427" s="15">
        <v>0.20955224377952753</v>
      </c>
    </row>
    <row r="428" spans="1:3" x14ac:dyDescent="0.2">
      <c r="A428" s="4">
        <v>488938</v>
      </c>
      <c r="B428" s="15">
        <v>1.0388623720472443</v>
      </c>
      <c r="C428" s="15">
        <v>0.52406611045275597</v>
      </c>
    </row>
    <row r="429" spans="1:3" x14ac:dyDescent="0.2">
      <c r="A429" s="4">
        <v>488939</v>
      </c>
      <c r="B429" s="15">
        <v>0.75117740748031503</v>
      </c>
      <c r="C429" s="15">
        <v>0.16222235501968502</v>
      </c>
    </row>
    <row r="430" spans="1:3" x14ac:dyDescent="0.2">
      <c r="A430" s="4">
        <v>488944</v>
      </c>
      <c r="B430" s="15">
        <v>4.1428393700787408E-2</v>
      </c>
      <c r="C430" s="15">
        <v>0.15148982629921259</v>
      </c>
    </row>
    <row r="431" spans="1:3" x14ac:dyDescent="0.2">
      <c r="A431" s="4">
        <v>488945</v>
      </c>
      <c r="B431" s="15">
        <v>8.976151968503937E-2</v>
      </c>
      <c r="C431" s="15">
        <v>0.20619256781496065</v>
      </c>
    </row>
    <row r="432" spans="1:3" x14ac:dyDescent="0.2">
      <c r="A432" s="4">
        <v>488946</v>
      </c>
      <c r="B432" s="15">
        <v>0.13809464566929136</v>
      </c>
      <c r="C432" s="15">
        <v>0.23020377433070871</v>
      </c>
    </row>
    <row r="433" spans="1:3" x14ac:dyDescent="0.2">
      <c r="A433" s="4">
        <v>488947</v>
      </c>
      <c r="B433" s="15">
        <v>0.26998253937007877</v>
      </c>
      <c r="C433" s="15">
        <v>0.29410678562992126</v>
      </c>
    </row>
    <row r="434" spans="1:3" x14ac:dyDescent="0.2">
      <c r="A434" s="4">
        <v>488948</v>
      </c>
      <c r="B434" s="15">
        <v>0.63929992125984247</v>
      </c>
      <c r="C434" s="15">
        <v>0.47707756624015751</v>
      </c>
    </row>
    <row r="435" spans="1:3" x14ac:dyDescent="0.2">
      <c r="A435" s="4">
        <v>488950</v>
      </c>
      <c r="B435" s="15">
        <v>0.50948317913385832</v>
      </c>
      <c r="C435" s="15">
        <v>0.2260450583661418</v>
      </c>
    </row>
    <row r="436" spans="1:3" x14ac:dyDescent="0.2">
      <c r="A436" s="4">
        <v>488951</v>
      </c>
      <c r="B436" s="15">
        <v>0.49206495078740164</v>
      </c>
      <c r="C436" s="15">
        <v>0.22134213671259836</v>
      </c>
    </row>
    <row r="437" spans="1:3" x14ac:dyDescent="0.2">
      <c r="A437" s="4">
        <v>488956</v>
      </c>
      <c r="B437" s="15">
        <v>2.9345112204724404E-2</v>
      </c>
      <c r="C437" s="15">
        <v>8.9036522795275602E-2</v>
      </c>
    </row>
    <row r="438" spans="1:3" x14ac:dyDescent="0.2">
      <c r="A438" s="4">
        <v>488957</v>
      </c>
      <c r="B438" s="15">
        <v>5.5237858267716544E-2</v>
      </c>
      <c r="C438" s="15">
        <v>0.11575783673228347</v>
      </c>
    </row>
    <row r="439" spans="1:3" x14ac:dyDescent="0.2">
      <c r="A439" s="4">
        <v>488958</v>
      </c>
      <c r="B439" s="15">
        <v>0.17607067322834649</v>
      </c>
      <c r="C439" s="15">
        <v>0.21195801927165348</v>
      </c>
    </row>
    <row r="440" spans="1:3" x14ac:dyDescent="0.2">
      <c r="A440" s="4">
        <v>488959</v>
      </c>
      <c r="B440" s="15">
        <v>0.22643696850393699</v>
      </c>
      <c r="C440" s="15">
        <v>0.23810718149606308</v>
      </c>
    </row>
    <row r="441" spans="1:3" x14ac:dyDescent="0.2">
      <c r="A441" s="4">
        <v>488960</v>
      </c>
      <c r="B441" s="15">
        <v>0.42239203740157483</v>
      </c>
      <c r="C441" s="15">
        <v>0.27995447509842519</v>
      </c>
    </row>
    <row r="442" spans="1:3" x14ac:dyDescent="0.2">
      <c r="A442" s="4">
        <v>488961</v>
      </c>
      <c r="B442" s="15">
        <v>0.70322991338582674</v>
      </c>
      <c r="C442" s="15">
        <v>0.33195648411417333</v>
      </c>
    </row>
    <row r="443" spans="1:3" x14ac:dyDescent="0.2">
      <c r="A443" s="4">
        <v>488962</v>
      </c>
      <c r="B443" s="15">
        <v>0.95894988188976371</v>
      </c>
      <c r="C443" s="15">
        <v>0.258916468110236</v>
      </c>
    </row>
    <row r="444" spans="1:3" x14ac:dyDescent="0.2">
      <c r="A444" s="4">
        <v>488963</v>
      </c>
      <c r="B444" s="15">
        <v>0.91100238779527565</v>
      </c>
      <c r="C444" s="15">
        <v>0.16477955470472455</v>
      </c>
    </row>
    <row r="445" spans="1:3" x14ac:dyDescent="0.2">
      <c r="A445" s="4">
        <v>488964</v>
      </c>
      <c r="B445" s="15">
        <v>0.89501988976377955</v>
      </c>
      <c r="C445" s="15">
        <v>0.24165537023622052</v>
      </c>
    </row>
    <row r="446" spans="1:3" x14ac:dyDescent="0.2">
      <c r="A446" s="4">
        <v>488970</v>
      </c>
      <c r="B446" s="15">
        <v>3.6249844488188979E-2</v>
      </c>
      <c r="C446" s="15">
        <v>4.9248003011811023E-2</v>
      </c>
    </row>
    <row r="447" spans="1:3" x14ac:dyDescent="0.2">
      <c r="A447" s="4">
        <v>488971</v>
      </c>
      <c r="B447" s="15">
        <v>5.1785492125984253E-2</v>
      </c>
      <c r="C447" s="15">
        <v>5.7827132874015759E-2</v>
      </c>
    </row>
    <row r="448" spans="1:3" x14ac:dyDescent="0.2">
      <c r="A448" s="4">
        <v>488972</v>
      </c>
      <c r="B448" s="15">
        <v>0.10184480118110235</v>
      </c>
      <c r="C448" s="15">
        <v>9.3265671318897667E-2</v>
      </c>
    </row>
    <row r="449" spans="1:3" x14ac:dyDescent="0.2">
      <c r="A449" s="4">
        <v>488973</v>
      </c>
      <c r="B449" s="15">
        <v>0.18470158858267721</v>
      </c>
      <c r="C449" s="15">
        <v>0.12002150891732279</v>
      </c>
    </row>
    <row r="450" spans="1:3" x14ac:dyDescent="0.2">
      <c r="A450" s="4">
        <v>488974</v>
      </c>
      <c r="B450" s="15">
        <v>0.33965545275590558</v>
      </c>
      <c r="C450" s="15">
        <v>0.21337329724409448</v>
      </c>
    </row>
    <row r="451" spans="1:3" x14ac:dyDescent="0.2">
      <c r="A451" s="4">
        <v>488975</v>
      </c>
      <c r="B451" s="15">
        <v>1.4544073208661419</v>
      </c>
      <c r="C451" s="15">
        <v>0.59566770163385874</v>
      </c>
    </row>
    <row r="452" spans="1:3" x14ac:dyDescent="0.2">
      <c r="A452" s="4">
        <v>488976</v>
      </c>
      <c r="B452" s="15">
        <v>0.38755558070866147</v>
      </c>
      <c r="C452" s="15">
        <v>0.1212308692913385</v>
      </c>
    </row>
    <row r="453" spans="1:3" x14ac:dyDescent="0.2">
      <c r="A453" s="4">
        <v>488977</v>
      </c>
      <c r="B453" s="15">
        <v>0.28304621062992125</v>
      </c>
      <c r="C453" s="15">
        <v>7.6422476870078748E-2</v>
      </c>
    </row>
    <row r="454" spans="1:3" x14ac:dyDescent="0.2">
      <c r="A454" s="4">
        <v>488978</v>
      </c>
      <c r="B454" s="15">
        <v>0.27869165354330705</v>
      </c>
      <c r="C454" s="15">
        <v>6.9716458956692956E-2</v>
      </c>
    </row>
    <row r="455" spans="1:3" x14ac:dyDescent="0.2">
      <c r="A455" s="4">
        <v>488984</v>
      </c>
      <c r="B455" s="15">
        <v>3.452366141732284E-2</v>
      </c>
      <c r="C455" s="15">
        <v>5.3166438582677167E-2</v>
      </c>
    </row>
    <row r="456" spans="1:3" x14ac:dyDescent="0.2">
      <c r="A456" s="4">
        <v>488985</v>
      </c>
      <c r="B456" s="15">
        <v>9.6666251968503938E-2</v>
      </c>
      <c r="C456" s="15">
        <v>0.13352026053149602</v>
      </c>
    </row>
    <row r="457" spans="1:3" x14ac:dyDescent="0.2">
      <c r="A457" s="4">
        <v>488986</v>
      </c>
      <c r="B457" s="15">
        <v>0.17952303937007874</v>
      </c>
      <c r="C457" s="15">
        <v>0.1317768156299213</v>
      </c>
    </row>
    <row r="458" spans="1:3" x14ac:dyDescent="0.2">
      <c r="A458" s="4">
        <v>488987</v>
      </c>
      <c r="B458" s="15">
        <v>0.3222372244094488</v>
      </c>
      <c r="C458" s="15">
        <v>0.16442807559055128</v>
      </c>
    </row>
    <row r="459" spans="1:3" x14ac:dyDescent="0.2">
      <c r="A459" s="4">
        <v>488988</v>
      </c>
      <c r="B459" s="15">
        <v>0.73519490944881893</v>
      </c>
      <c r="C459" s="15">
        <v>0.15790708055118102</v>
      </c>
    </row>
    <row r="460" spans="1:3" x14ac:dyDescent="0.2">
      <c r="A460" s="4">
        <v>488989</v>
      </c>
      <c r="B460" s="15">
        <v>1.6621797952755903</v>
      </c>
      <c r="C460" s="15">
        <v>0.6111707247244097</v>
      </c>
    </row>
    <row r="461" spans="1:3" x14ac:dyDescent="0.2">
      <c r="A461" s="4">
        <v>488990</v>
      </c>
      <c r="B461" s="15">
        <v>0.31352811023622051</v>
      </c>
      <c r="C461" s="15">
        <v>0.11783431476377954</v>
      </c>
    </row>
    <row r="462" spans="1:3" x14ac:dyDescent="0.2">
      <c r="A462" s="4">
        <v>488991</v>
      </c>
      <c r="B462" s="15">
        <v>0.27869165354330705</v>
      </c>
      <c r="C462" s="15">
        <v>8.6307321456692954E-2</v>
      </c>
    </row>
    <row r="463" spans="1:3" x14ac:dyDescent="0.2">
      <c r="A463" s="4">
        <v>488992</v>
      </c>
      <c r="B463" s="15">
        <v>0.27433709645669291</v>
      </c>
      <c r="C463" s="15">
        <v>0.10172245354330714</v>
      </c>
    </row>
    <row r="464" spans="1:3" x14ac:dyDescent="0.2">
      <c r="A464" s="4">
        <v>489003</v>
      </c>
      <c r="B464" s="15">
        <v>2.0714196850393704E-2</v>
      </c>
      <c r="C464" s="15">
        <v>3.4092115649606299E-2</v>
      </c>
    </row>
    <row r="465" spans="1:3" x14ac:dyDescent="0.2">
      <c r="A465" s="4">
        <v>489005</v>
      </c>
      <c r="B465" s="15">
        <v>0.16571357480314963</v>
      </c>
      <c r="C465" s="15">
        <v>0.12147150269685041</v>
      </c>
    </row>
    <row r="466" spans="1:3" x14ac:dyDescent="0.2">
      <c r="A466" s="4">
        <v>489006</v>
      </c>
      <c r="B466" s="15">
        <v>0.16226120866141736</v>
      </c>
      <c r="C466" s="15">
        <v>0.10957810133858267</v>
      </c>
    </row>
    <row r="467" spans="1:3" x14ac:dyDescent="0.2">
      <c r="A467" s="4">
        <v>489007</v>
      </c>
      <c r="B467" s="15">
        <v>0.35707368110236215</v>
      </c>
      <c r="C467" s="15">
        <v>0.21254593139763789</v>
      </c>
    </row>
    <row r="468" spans="1:3" x14ac:dyDescent="0.2">
      <c r="A468" s="4">
        <v>489008</v>
      </c>
      <c r="B468" s="15">
        <v>0.73519490944881893</v>
      </c>
      <c r="C468" s="15">
        <v>0.27969371555118133</v>
      </c>
    </row>
    <row r="469" spans="1:3" x14ac:dyDescent="0.2">
      <c r="A469" s="4">
        <v>489010</v>
      </c>
      <c r="B469" s="15">
        <v>0.22208241141732282</v>
      </c>
      <c r="C469" s="15">
        <v>4.8901676082677217E-2</v>
      </c>
    </row>
    <row r="470" spans="1:3" x14ac:dyDescent="0.2">
      <c r="A470" s="4">
        <v>489011</v>
      </c>
      <c r="B470" s="15">
        <v>0.21337329724409448</v>
      </c>
      <c r="C470" s="15">
        <v>4.655021525590558E-2</v>
      </c>
    </row>
    <row r="471" spans="1:3" x14ac:dyDescent="0.2">
      <c r="A471" s="4">
        <v>489019</v>
      </c>
      <c r="B471" s="15">
        <v>1.7261830708661413E-2</v>
      </c>
      <c r="C471" s="15">
        <v>4.4121239291338578E-2</v>
      </c>
    </row>
    <row r="472" spans="1:3" x14ac:dyDescent="0.2">
      <c r="A472" s="4">
        <v>489020</v>
      </c>
      <c r="B472" s="15">
        <v>7.5952055118110234E-2</v>
      </c>
      <c r="C472" s="15">
        <v>9.2851387381889763E-2</v>
      </c>
    </row>
    <row r="473" spans="1:3" x14ac:dyDescent="0.2">
      <c r="A473" s="4">
        <v>489021</v>
      </c>
      <c r="B473" s="15">
        <v>0.43110115157480311</v>
      </c>
      <c r="C473" s="15">
        <v>0.27677564842519686</v>
      </c>
    </row>
    <row r="474" spans="1:3" x14ac:dyDescent="0.2">
      <c r="A474" s="4">
        <v>489022</v>
      </c>
      <c r="B474" s="15">
        <v>0.27869165354330705</v>
      </c>
      <c r="C474" s="15">
        <v>0.21903422145669291</v>
      </c>
    </row>
    <row r="475" spans="1:3" x14ac:dyDescent="0.2">
      <c r="A475" s="4">
        <v>489023</v>
      </c>
      <c r="B475" s="15">
        <v>0.42239203740157483</v>
      </c>
      <c r="C475" s="15">
        <v>0.25783332509842533</v>
      </c>
    </row>
    <row r="476" spans="1:3" x14ac:dyDescent="0.2">
      <c r="A476" s="4">
        <v>489024</v>
      </c>
      <c r="B476" s="15">
        <v>1.0548448700787401</v>
      </c>
      <c r="C476" s="15">
        <v>0.42689252242126019</v>
      </c>
    </row>
    <row r="477" spans="1:3" x14ac:dyDescent="0.2">
      <c r="A477" s="4">
        <v>489025</v>
      </c>
      <c r="B477" s="15">
        <v>0.23079152559055116</v>
      </c>
      <c r="C477" s="15">
        <v>5.1253136909448875E-2</v>
      </c>
    </row>
    <row r="478" spans="1:3" x14ac:dyDescent="0.2">
      <c r="A478" s="4">
        <v>489026</v>
      </c>
      <c r="B478" s="15">
        <v>0.57915609251968503</v>
      </c>
      <c r="C478" s="15">
        <v>0.20614473248031495</v>
      </c>
    </row>
    <row r="479" spans="1:3" x14ac:dyDescent="0.2">
      <c r="A479" s="4">
        <v>489027</v>
      </c>
      <c r="B479" s="15">
        <v>0.22208241141732288</v>
      </c>
      <c r="C479" s="15">
        <v>3.7841101082677131E-2</v>
      </c>
    </row>
    <row r="480" spans="1:3" x14ac:dyDescent="0.2">
      <c r="A480" s="4">
        <v>489032</v>
      </c>
      <c r="B480" s="15">
        <v>2.2440379921259843E-2</v>
      </c>
      <c r="C480" s="15">
        <v>4.5519447578740158E-2</v>
      </c>
    </row>
    <row r="481" spans="1:3" x14ac:dyDescent="0.2">
      <c r="A481" s="4">
        <v>489033</v>
      </c>
      <c r="B481" s="15">
        <v>2.0714196850393694E-2</v>
      </c>
      <c r="C481" s="15">
        <v>5.3822388149606312E-2</v>
      </c>
    </row>
    <row r="482" spans="1:3" x14ac:dyDescent="0.2">
      <c r="A482" s="4">
        <v>489034</v>
      </c>
      <c r="B482" s="15">
        <v>5.3511675196850399E-2</v>
      </c>
      <c r="C482" s="15">
        <v>6.9254464803149618E-2</v>
      </c>
    </row>
    <row r="483" spans="1:3" x14ac:dyDescent="0.2">
      <c r="A483" s="4">
        <v>489035</v>
      </c>
      <c r="B483" s="15">
        <v>0.14672556102362205</v>
      </c>
      <c r="C483" s="15">
        <v>0.10757572897637797</v>
      </c>
    </row>
    <row r="484" spans="1:3" x14ac:dyDescent="0.2">
      <c r="A484" s="4">
        <v>489036</v>
      </c>
      <c r="B484" s="15">
        <v>0.42239203740157472</v>
      </c>
      <c r="C484" s="15">
        <v>0.19146987509842534</v>
      </c>
    </row>
    <row r="485" spans="1:3" x14ac:dyDescent="0.2">
      <c r="A485" s="4">
        <v>489037</v>
      </c>
      <c r="B485" s="15">
        <v>1.2945823405511812</v>
      </c>
      <c r="C485" s="15">
        <v>0.36983500444881889</v>
      </c>
    </row>
    <row r="486" spans="1:3" x14ac:dyDescent="0.2">
      <c r="A486" s="4">
        <v>489038</v>
      </c>
      <c r="B486" s="15">
        <v>1.1027923641732285</v>
      </c>
      <c r="C486" s="15">
        <v>0.37894502832677213</v>
      </c>
    </row>
    <row r="487" spans="1:3" x14ac:dyDescent="0.2">
      <c r="A487" s="4">
        <v>489039</v>
      </c>
      <c r="B487" s="15">
        <v>0.33965545275590558</v>
      </c>
      <c r="C487" s="15">
        <v>0.10829783474409449</v>
      </c>
    </row>
    <row r="488" spans="1:3" x14ac:dyDescent="0.2">
      <c r="A488" s="4">
        <v>489040</v>
      </c>
      <c r="B488" s="15">
        <v>0.27869165354330716</v>
      </c>
      <c r="C488" s="15">
        <v>7.5246746456692895E-2</v>
      </c>
    </row>
    <row r="489" spans="1:3" x14ac:dyDescent="0.2">
      <c r="A489" s="4">
        <v>489041</v>
      </c>
      <c r="B489" s="15">
        <v>0.22208241141732288</v>
      </c>
      <c r="C489" s="15">
        <v>0.37518863858267715</v>
      </c>
    </row>
    <row r="490" spans="1:3" x14ac:dyDescent="0.2">
      <c r="A490" s="4">
        <v>489042</v>
      </c>
      <c r="B490" s="15">
        <v>0.20030962598425198</v>
      </c>
      <c r="C490" s="15">
        <v>0.37484027401574804</v>
      </c>
    </row>
    <row r="491" spans="1:3" x14ac:dyDescent="0.2">
      <c r="A491" s="4">
        <v>489043</v>
      </c>
      <c r="B491" s="15">
        <v>0.30917355314960637</v>
      </c>
      <c r="C491" s="15">
        <v>0.35999123435039371</v>
      </c>
    </row>
    <row r="492" spans="1:3" x14ac:dyDescent="0.2">
      <c r="A492" s="4">
        <v>489044</v>
      </c>
      <c r="B492" s="15">
        <v>1.2626173444881892</v>
      </c>
      <c r="C492" s="15">
        <v>0.60477772551181064</v>
      </c>
    </row>
    <row r="493" spans="1:3" x14ac:dyDescent="0.2">
      <c r="A493" s="4">
        <v>489045</v>
      </c>
      <c r="B493" s="15">
        <v>0.23514608267716536</v>
      </c>
      <c r="C493" s="15">
        <v>7.45500173228347E-2</v>
      </c>
    </row>
    <row r="494" spans="1:3" x14ac:dyDescent="0.2">
      <c r="A494" s="4">
        <v>489046</v>
      </c>
      <c r="B494" s="15">
        <v>0.33530089566929139</v>
      </c>
      <c r="C494" s="15">
        <v>0.12371296683070865</v>
      </c>
    </row>
    <row r="495" spans="1:3" x14ac:dyDescent="0.2">
      <c r="A495" s="4">
        <v>489047</v>
      </c>
      <c r="B495" s="15">
        <v>0.30481899606299218</v>
      </c>
      <c r="C495" s="15">
        <v>0.11548285393700791</v>
      </c>
    </row>
    <row r="496" spans="1:3" x14ac:dyDescent="0.2">
      <c r="A496" s="4">
        <v>489049</v>
      </c>
      <c r="B496" s="15">
        <v>1.380946456692914E-2</v>
      </c>
      <c r="C496" s="15">
        <v>6.2919372933070872E-2</v>
      </c>
    </row>
    <row r="497" spans="1:3" x14ac:dyDescent="0.2">
      <c r="A497" s="4">
        <v>489050</v>
      </c>
      <c r="B497" s="15">
        <v>3.1071295275590556E-2</v>
      </c>
      <c r="C497" s="15">
        <v>6.3195562224409432E-2</v>
      </c>
    </row>
    <row r="498" spans="1:3" x14ac:dyDescent="0.2">
      <c r="A498" s="4">
        <v>489051</v>
      </c>
      <c r="B498" s="15">
        <v>7.0773505905511819E-2</v>
      </c>
      <c r="C498" s="15">
        <v>9.364543159448821E-2</v>
      </c>
    </row>
    <row r="499" spans="1:3" x14ac:dyDescent="0.2">
      <c r="A499" s="4">
        <v>489052</v>
      </c>
      <c r="B499" s="15">
        <v>0.18124922244094491</v>
      </c>
      <c r="C499" s="15">
        <v>0.14539640005905513</v>
      </c>
    </row>
    <row r="500" spans="1:3" x14ac:dyDescent="0.2">
      <c r="A500" s="4">
        <v>489053</v>
      </c>
      <c r="B500" s="15">
        <v>0.34836456692913387</v>
      </c>
      <c r="C500" s="15">
        <v>0.21019447057086621</v>
      </c>
    </row>
    <row r="501" spans="1:3" x14ac:dyDescent="0.2">
      <c r="A501" s="4">
        <v>489054</v>
      </c>
      <c r="B501" s="15">
        <v>0.58786520669291353</v>
      </c>
      <c r="C501" s="15">
        <v>0.31357165580708657</v>
      </c>
    </row>
    <row r="502" spans="1:3" x14ac:dyDescent="0.2">
      <c r="A502" s="4">
        <v>489055</v>
      </c>
      <c r="B502" s="15">
        <v>0.73519490944881893</v>
      </c>
      <c r="C502" s="15">
        <v>0.17820485305118114</v>
      </c>
    </row>
    <row r="503" spans="1:3" x14ac:dyDescent="0.2">
      <c r="A503" s="4">
        <v>489056</v>
      </c>
      <c r="B503" s="15">
        <v>0.60963799212598424</v>
      </c>
      <c r="C503" s="15">
        <v>0.13142053287401598</v>
      </c>
    </row>
    <row r="504" spans="1:3" x14ac:dyDescent="0.2">
      <c r="A504" s="4">
        <v>489057</v>
      </c>
      <c r="B504" s="15">
        <v>0.57044697834645675</v>
      </c>
      <c r="C504" s="15">
        <v>0.14296010915354324</v>
      </c>
    </row>
    <row r="505" spans="1:3" x14ac:dyDescent="0.2">
      <c r="A505" s="4">
        <v>489058</v>
      </c>
      <c r="B505" s="15">
        <v>3.6249844488188979E-2</v>
      </c>
      <c r="C505" s="15">
        <v>9.0900800511811028E-2</v>
      </c>
    </row>
    <row r="506" spans="1:3" x14ac:dyDescent="0.2">
      <c r="A506" s="4">
        <v>489059</v>
      </c>
      <c r="B506" s="15">
        <v>3.7976027559055124E-2</v>
      </c>
      <c r="C506" s="15">
        <v>5.6290829940944878E-2</v>
      </c>
    </row>
    <row r="507" spans="1:3" x14ac:dyDescent="0.2">
      <c r="A507" s="4">
        <v>489060</v>
      </c>
      <c r="B507" s="15">
        <v>3.6249844488188979E-2</v>
      </c>
      <c r="C507" s="15">
        <v>7.5555033011811046E-2</v>
      </c>
    </row>
    <row r="508" spans="1:3" x14ac:dyDescent="0.2">
      <c r="A508" s="4">
        <v>489061</v>
      </c>
      <c r="B508" s="15">
        <v>7.9404421259842511E-2</v>
      </c>
      <c r="C508" s="15">
        <v>0.1069370412401575</v>
      </c>
    </row>
    <row r="509" spans="1:3" x14ac:dyDescent="0.2">
      <c r="A509" s="4">
        <v>489062</v>
      </c>
      <c r="B509" s="15">
        <v>0.46593760826771657</v>
      </c>
      <c r="C509" s="15">
        <v>0.24193919173228345</v>
      </c>
    </row>
    <row r="510" spans="1:3" x14ac:dyDescent="0.2">
      <c r="A510" s="4">
        <v>489063</v>
      </c>
      <c r="B510" s="15">
        <v>0.91100238779527554</v>
      </c>
      <c r="C510" s="15">
        <v>0.38805505220472464</v>
      </c>
    </row>
    <row r="511" spans="1:3" x14ac:dyDescent="0.2">
      <c r="A511" s="4">
        <v>489064</v>
      </c>
      <c r="B511" s="15">
        <v>0.48335583661417325</v>
      </c>
      <c r="C511" s="15">
        <v>0.1636878008858268</v>
      </c>
    </row>
    <row r="512" spans="1:3" x14ac:dyDescent="0.2">
      <c r="A512" s="4">
        <v>489065</v>
      </c>
      <c r="B512" s="15">
        <v>0.39191013779527567</v>
      </c>
      <c r="C512" s="15">
        <v>0.11134602470472435</v>
      </c>
    </row>
    <row r="513" spans="1:3" x14ac:dyDescent="0.2">
      <c r="A513" s="4">
        <v>489066</v>
      </c>
      <c r="B513" s="15">
        <v>0.39191013779527567</v>
      </c>
      <c r="C513" s="15">
        <v>0.10581573720472433</v>
      </c>
    </row>
    <row r="514" spans="1:3" x14ac:dyDescent="0.2">
      <c r="A514" s="4">
        <v>489068</v>
      </c>
      <c r="B514" s="15">
        <v>2.4166562992125981E-2</v>
      </c>
      <c r="C514" s="15">
        <v>4.3793264507874019E-2</v>
      </c>
    </row>
    <row r="515" spans="1:3" x14ac:dyDescent="0.2">
      <c r="A515" s="4">
        <v>489069</v>
      </c>
      <c r="B515" s="15">
        <v>6.904732283464568E-2</v>
      </c>
      <c r="C515" s="15">
        <v>0.10633287716535435</v>
      </c>
    </row>
    <row r="516" spans="1:3" x14ac:dyDescent="0.2">
      <c r="A516" s="4">
        <v>489070</v>
      </c>
      <c r="B516" s="15">
        <v>9.3213885826771634E-2</v>
      </c>
      <c r="C516" s="15">
        <v>0.13258812167322842</v>
      </c>
    </row>
    <row r="517" spans="1:3" x14ac:dyDescent="0.2">
      <c r="A517" s="4">
        <v>489071</v>
      </c>
      <c r="B517" s="15">
        <v>0.13636846259842522</v>
      </c>
      <c r="C517" s="15">
        <v>0.21219968490157487</v>
      </c>
    </row>
    <row r="518" spans="1:3" x14ac:dyDescent="0.2">
      <c r="A518" s="4">
        <v>489072</v>
      </c>
      <c r="B518" s="15">
        <v>0.29175532480314958</v>
      </c>
      <c r="C518" s="15">
        <v>0.27786428769685034</v>
      </c>
    </row>
    <row r="519" spans="1:3" x14ac:dyDescent="0.2">
      <c r="A519" s="4">
        <v>489073</v>
      </c>
      <c r="B519" s="15">
        <v>0.68724741535433065</v>
      </c>
      <c r="C519" s="15">
        <v>0.34793898214566943</v>
      </c>
    </row>
    <row r="520" spans="1:3" x14ac:dyDescent="0.2">
      <c r="A520" s="4">
        <v>489074</v>
      </c>
      <c r="B520" s="15">
        <v>0.56173786417322835</v>
      </c>
      <c r="C520" s="15">
        <v>0.20697209832677171</v>
      </c>
    </row>
    <row r="521" spans="1:3" x14ac:dyDescent="0.2">
      <c r="A521" s="4">
        <v>489075</v>
      </c>
      <c r="B521" s="15">
        <v>0.54867419291338582</v>
      </c>
      <c r="C521" s="15">
        <v>0.15920260708661441</v>
      </c>
    </row>
    <row r="522" spans="1:3" x14ac:dyDescent="0.2">
      <c r="A522" s="4">
        <v>489076</v>
      </c>
      <c r="B522" s="15">
        <v>0.55738330708661421</v>
      </c>
      <c r="C522" s="15">
        <v>0.16155406791338583</v>
      </c>
    </row>
    <row r="523" spans="1:3" x14ac:dyDescent="0.2">
      <c r="A523" s="4">
        <v>489078</v>
      </c>
      <c r="B523" s="15">
        <v>3.2797478346456702E-2</v>
      </c>
      <c r="C523" s="15">
        <v>5.2700369153543314E-2</v>
      </c>
    </row>
    <row r="524" spans="1:3" x14ac:dyDescent="0.2">
      <c r="A524" s="4">
        <v>489079</v>
      </c>
      <c r="B524" s="15">
        <v>4.6606942913385824E-2</v>
      </c>
      <c r="C524" s="15">
        <v>6.0813429586614183E-2</v>
      </c>
    </row>
    <row r="525" spans="1:3" x14ac:dyDescent="0.2">
      <c r="A525" s="4">
        <v>489080</v>
      </c>
      <c r="B525" s="15">
        <v>0.10184480118110237</v>
      </c>
      <c r="C525" s="15">
        <v>0.16999450881889766</v>
      </c>
    </row>
    <row r="526" spans="1:3" x14ac:dyDescent="0.2">
      <c r="A526" s="4">
        <v>489081</v>
      </c>
      <c r="B526" s="15">
        <v>0.17602866929133859</v>
      </c>
      <c r="C526" s="15">
        <v>0.22066234320866149</v>
      </c>
    </row>
    <row r="527" spans="1:3" x14ac:dyDescent="0.2">
      <c r="A527" s="4">
        <v>489082</v>
      </c>
      <c r="B527" s="15">
        <v>0.35271912401574812</v>
      </c>
      <c r="C527" s="15">
        <v>0.25561250098425192</v>
      </c>
    </row>
    <row r="528" spans="1:3" x14ac:dyDescent="0.2">
      <c r="A528" s="4">
        <v>489083</v>
      </c>
      <c r="B528" s="15">
        <v>0.34836456692913387</v>
      </c>
      <c r="C528" s="15">
        <v>0.30420935807086613</v>
      </c>
    </row>
    <row r="529" spans="1:3" x14ac:dyDescent="0.2">
      <c r="A529" s="4">
        <v>489084</v>
      </c>
      <c r="B529" s="15">
        <v>0.92698488582677174</v>
      </c>
      <c r="C529" s="15">
        <v>0.2299881466732282</v>
      </c>
    </row>
    <row r="530" spans="1:3" x14ac:dyDescent="0.2">
      <c r="A530" s="4">
        <v>489085</v>
      </c>
      <c r="B530" s="15">
        <v>1.0068973759842519</v>
      </c>
      <c r="C530" s="15">
        <v>0.23126674651574813</v>
      </c>
    </row>
    <row r="531" spans="1:3" x14ac:dyDescent="0.2">
      <c r="A531" s="4">
        <v>489088</v>
      </c>
      <c r="B531" s="15">
        <v>6.3868773622047251E-2</v>
      </c>
      <c r="C531" s="15">
        <v>0.12904944637795276</v>
      </c>
    </row>
    <row r="532" spans="1:3" x14ac:dyDescent="0.2">
      <c r="A532" s="4">
        <v>489089</v>
      </c>
      <c r="B532" s="15">
        <v>5.5237858267716544E-2</v>
      </c>
      <c r="C532" s="15">
        <v>0.10698882673228348</v>
      </c>
    </row>
    <row r="533" spans="1:3" x14ac:dyDescent="0.2">
      <c r="A533" s="4">
        <v>489090</v>
      </c>
      <c r="B533" s="15">
        <v>9.8392435039370063E-2</v>
      </c>
      <c r="C533" s="15">
        <v>0.18440813746062992</v>
      </c>
    </row>
    <row r="534" spans="1:3" x14ac:dyDescent="0.2">
      <c r="A534" s="4">
        <v>489091</v>
      </c>
      <c r="B534" s="15">
        <v>0.11047571653543306</v>
      </c>
      <c r="C534" s="15">
        <v>0.17890161346456701</v>
      </c>
    </row>
    <row r="535" spans="1:3" x14ac:dyDescent="0.2">
      <c r="A535" s="4">
        <v>489092</v>
      </c>
      <c r="B535" s="15">
        <v>0.18815395472440949</v>
      </c>
      <c r="C535" s="15">
        <v>0.16699095027559052</v>
      </c>
    </row>
    <row r="536" spans="1:3" x14ac:dyDescent="0.2">
      <c r="A536" s="4">
        <v>489093</v>
      </c>
      <c r="B536" s="15">
        <v>0.27433709645669296</v>
      </c>
      <c r="C536" s="15">
        <v>0.245509928543307</v>
      </c>
    </row>
    <row r="537" spans="1:3" x14ac:dyDescent="0.2">
      <c r="A537" s="4">
        <v>489094</v>
      </c>
      <c r="B537" s="15">
        <v>0.83108989763779517</v>
      </c>
      <c r="C537" s="15">
        <v>0.26498981736220484</v>
      </c>
    </row>
    <row r="538" spans="1:3" x14ac:dyDescent="0.2">
      <c r="A538" s="4">
        <v>489095</v>
      </c>
      <c r="B538" s="15">
        <v>0.75117740748031492</v>
      </c>
      <c r="C538" s="15">
        <v>0.28400899001968516</v>
      </c>
    </row>
    <row r="539" spans="1:3" x14ac:dyDescent="0.2">
      <c r="A539" s="4">
        <v>489096</v>
      </c>
      <c r="B539" s="15">
        <v>4.6606942913385838E-2</v>
      </c>
      <c r="C539" s="15">
        <v>0.11342748958661419</v>
      </c>
    </row>
    <row r="540" spans="1:3" x14ac:dyDescent="0.2">
      <c r="A540" s="4">
        <v>489097</v>
      </c>
      <c r="B540" s="15">
        <v>7.0773505905511819E-2</v>
      </c>
      <c r="C540" s="15">
        <v>0.11556795659448821</v>
      </c>
    </row>
    <row r="541" spans="1:3" x14ac:dyDescent="0.2">
      <c r="A541" s="4">
        <v>489098</v>
      </c>
      <c r="B541" s="15">
        <v>7.2499688976377957E-2</v>
      </c>
      <c r="C541" s="15">
        <v>0.13137979352362206</v>
      </c>
    </row>
    <row r="542" spans="1:3" x14ac:dyDescent="0.2">
      <c r="A542" s="4">
        <v>489099</v>
      </c>
      <c r="B542" s="15">
        <v>0.14672556102362205</v>
      </c>
      <c r="C542" s="15">
        <v>0.17772780897637794</v>
      </c>
    </row>
    <row r="543" spans="1:3" x14ac:dyDescent="0.2">
      <c r="A543" s="4">
        <v>489100</v>
      </c>
      <c r="B543" s="15">
        <v>0.17261830708661419</v>
      </c>
      <c r="C543" s="15">
        <v>0.16718083041338586</v>
      </c>
    </row>
    <row r="544" spans="1:3" x14ac:dyDescent="0.2">
      <c r="A544" s="4">
        <v>489101</v>
      </c>
      <c r="B544" s="15">
        <v>0.44416482283464565</v>
      </c>
      <c r="C544" s="15">
        <v>0.27477255216535446</v>
      </c>
    </row>
    <row r="545" spans="1:3" x14ac:dyDescent="0.2">
      <c r="A545" s="4">
        <v>489102</v>
      </c>
      <c r="B545" s="15">
        <v>0.61834710629921252</v>
      </c>
      <c r="C545" s="15">
        <v>0.31074119370078751</v>
      </c>
    </row>
    <row r="546" spans="1:3" x14ac:dyDescent="0.2">
      <c r="A546" s="4">
        <v>489103</v>
      </c>
      <c r="B546" s="15">
        <v>0.60092887795275585</v>
      </c>
      <c r="C546" s="15">
        <v>0.28391712204724423</v>
      </c>
    </row>
    <row r="547" spans="1:3" x14ac:dyDescent="0.2">
      <c r="A547" s="4">
        <v>489106</v>
      </c>
      <c r="B547" s="15">
        <v>2.0714196850393704E-2</v>
      </c>
      <c r="C547" s="15">
        <v>6.6975903149606303E-2</v>
      </c>
    </row>
    <row r="548" spans="1:3" x14ac:dyDescent="0.2">
      <c r="A548" s="4">
        <v>489107</v>
      </c>
      <c r="B548" s="15">
        <v>3.1071295275590546E-2</v>
      </c>
      <c r="C548" s="15">
        <v>7.4156824724409431E-2</v>
      </c>
    </row>
    <row r="549" spans="1:3" x14ac:dyDescent="0.2">
      <c r="A549" s="4">
        <v>489108</v>
      </c>
      <c r="B549" s="15">
        <v>4.3154576771653547E-2</v>
      </c>
      <c r="C549" s="15">
        <v>0.12126436072834644</v>
      </c>
    </row>
    <row r="550" spans="1:3" x14ac:dyDescent="0.2">
      <c r="A550" s="4">
        <v>489109</v>
      </c>
      <c r="B550" s="15">
        <v>6.2142590551181091E-2</v>
      </c>
      <c r="C550" s="15">
        <v>0.12200661944881891</v>
      </c>
    </row>
    <row r="551" spans="1:3" x14ac:dyDescent="0.2">
      <c r="A551" s="4">
        <v>489110</v>
      </c>
      <c r="B551" s="15">
        <v>5.6964041338582683E-2</v>
      </c>
      <c r="C551" s="15">
        <v>0.10526264366141733</v>
      </c>
    </row>
    <row r="552" spans="1:3" x14ac:dyDescent="0.2">
      <c r="A552" s="4">
        <v>489111</v>
      </c>
      <c r="B552" s="15">
        <v>0.10011861811023623</v>
      </c>
      <c r="C552" s="15">
        <v>0.14102915688976378</v>
      </c>
    </row>
    <row r="553" spans="1:3" x14ac:dyDescent="0.2">
      <c r="A553" s="4">
        <v>489112</v>
      </c>
      <c r="B553" s="15">
        <v>0.16571357480314963</v>
      </c>
      <c r="C553" s="15">
        <v>0.17408556269685041</v>
      </c>
    </row>
    <row r="554" spans="1:3" x14ac:dyDescent="0.2">
      <c r="A554" s="4">
        <v>489113</v>
      </c>
      <c r="B554" s="15">
        <v>1.9658472578740158</v>
      </c>
      <c r="C554" s="15">
        <v>0.32780103462598464</v>
      </c>
    </row>
    <row r="555" spans="1:3" x14ac:dyDescent="0.2">
      <c r="A555" s="4">
        <v>489114</v>
      </c>
      <c r="B555" s="15">
        <v>1.9818297559055118</v>
      </c>
      <c r="C555" s="15">
        <v>0.43360517159448819</v>
      </c>
    </row>
    <row r="556" spans="1:3" x14ac:dyDescent="0.2">
      <c r="A556" s="4">
        <v>489119</v>
      </c>
      <c r="B556" s="15">
        <v>2.9345112204724411E-2</v>
      </c>
      <c r="C556" s="15">
        <v>5.8344987795275596E-2</v>
      </c>
    </row>
    <row r="557" spans="1:3" x14ac:dyDescent="0.2">
      <c r="A557" s="4">
        <v>489120</v>
      </c>
      <c r="B557" s="15">
        <v>3.6249844488188972E-2</v>
      </c>
      <c r="C557" s="15">
        <v>8.213179051181102E-2</v>
      </c>
    </row>
    <row r="558" spans="1:3" x14ac:dyDescent="0.2">
      <c r="A558" s="4">
        <v>489121</v>
      </c>
      <c r="B558" s="15">
        <v>7.0773505905511819E-2</v>
      </c>
      <c r="C558" s="15">
        <v>0.11337570409448816</v>
      </c>
    </row>
    <row r="559" spans="1:3" x14ac:dyDescent="0.2">
      <c r="A559" s="4">
        <v>489122</v>
      </c>
      <c r="B559" s="15">
        <v>6.9047322834645666E-2</v>
      </c>
      <c r="C559" s="15">
        <v>0.11071738216535432</v>
      </c>
    </row>
    <row r="560" spans="1:3" x14ac:dyDescent="0.2">
      <c r="A560" s="4">
        <v>489124</v>
      </c>
      <c r="B560" s="15">
        <v>0.10874953346456692</v>
      </c>
      <c r="C560" s="15">
        <v>0.14116725153543305</v>
      </c>
    </row>
    <row r="561" spans="1:3" x14ac:dyDescent="0.2">
      <c r="A561" s="4">
        <v>489125</v>
      </c>
      <c r="B561" s="15">
        <v>0.57915609251968503</v>
      </c>
      <c r="C561" s="15">
        <v>0.2946293324803152</v>
      </c>
    </row>
    <row r="562" spans="1:3" x14ac:dyDescent="0.2">
      <c r="A562" s="4">
        <v>489127</v>
      </c>
      <c r="B562" s="15">
        <v>1.4384248228346459</v>
      </c>
      <c r="C562" s="15">
        <v>0.20569474966535428</v>
      </c>
    </row>
    <row r="563" spans="1:3" x14ac:dyDescent="0.2">
      <c r="A563" s="4">
        <v>489133</v>
      </c>
      <c r="B563" s="15">
        <v>1.726183070866142E-2</v>
      </c>
      <c r="C563" s="15">
        <v>6.3851511791338578E-2</v>
      </c>
    </row>
    <row r="564" spans="1:3" x14ac:dyDescent="0.2">
      <c r="A564" s="4">
        <v>489134</v>
      </c>
      <c r="B564" s="15">
        <v>2.9345112204724407E-2</v>
      </c>
      <c r="C564" s="15">
        <v>7.3690755295275606E-2</v>
      </c>
    </row>
    <row r="565" spans="1:3" x14ac:dyDescent="0.2">
      <c r="A565" s="4">
        <v>489135</v>
      </c>
      <c r="B565" s="15">
        <v>5.0059309055118115E-2</v>
      </c>
      <c r="C565" s="15">
        <v>7.7091335944881906E-2</v>
      </c>
    </row>
    <row r="566" spans="1:3" x14ac:dyDescent="0.2">
      <c r="A566" s="4">
        <v>489136</v>
      </c>
      <c r="B566" s="15">
        <v>0.14499937795275591</v>
      </c>
      <c r="C566" s="15">
        <v>0.14218569954724411</v>
      </c>
    </row>
    <row r="567" spans="1:3" x14ac:dyDescent="0.2">
      <c r="A567" s="4">
        <v>489137</v>
      </c>
      <c r="B567" s="15">
        <v>0.16571357480314955</v>
      </c>
      <c r="C567" s="15">
        <v>0.13681727019685047</v>
      </c>
    </row>
    <row r="568" spans="1:3" x14ac:dyDescent="0.2">
      <c r="A568" s="4">
        <v>489138</v>
      </c>
      <c r="B568" s="15">
        <v>0.22643696850393702</v>
      </c>
      <c r="C568" s="15">
        <v>0.20492545649606303</v>
      </c>
    </row>
    <row r="569" spans="1:3" x14ac:dyDescent="0.2">
      <c r="A569" s="4">
        <v>489139</v>
      </c>
      <c r="B569" s="15">
        <v>0.34836456692913387</v>
      </c>
      <c r="C569" s="15">
        <v>0.36504252057086617</v>
      </c>
    </row>
    <row r="570" spans="1:3" x14ac:dyDescent="0.2">
      <c r="A570" s="4">
        <v>489140</v>
      </c>
      <c r="B570" s="15">
        <v>2.5571996850393699</v>
      </c>
      <c r="C570" s="15">
        <v>0.3656795549606302</v>
      </c>
    </row>
    <row r="571" spans="1:3" x14ac:dyDescent="0.2">
      <c r="A571" s="4">
        <v>489141</v>
      </c>
      <c r="B571" s="15">
        <v>3.1885045590551169</v>
      </c>
      <c r="C571" s="15">
        <v>0.51180995594488243</v>
      </c>
    </row>
    <row r="572" spans="1:3" x14ac:dyDescent="0.2">
      <c r="A572" s="4">
        <v>489147</v>
      </c>
      <c r="B572" s="15">
        <v>3.1071295275590546E-2</v>
      </c>
      <c r="C572" s="15">
        <v>6.319556222440946E-2</v>
      </c>
    </row>
    <row r="573" spans="1:3" x14ac:dyDescent="0.2">
      <c r="A573" s="4">
        <v>489148</v>
      </c>
      <c r="B573" s="15">
        <v>2.2440379921259843E-2</v>
      </c>
      <c r="C573" s="15">
        <v>5.8672962578740155E-2</v>
      </c>
    </row>
    <row r="574" spans="1:3" x14ac:dyDescent="0.2">
      <c r="A574" s="4">
        <v>489149</v>
      </c>
      <c r="B574" s="15">
        <v>3.1071295275590556E-2</v>
      </c>
      <c r="C574" s="15">
        <v>7.4156824724409459E-2</v>
      </c>
    </row>
    <row r="575" spans="1:3" x14ac:dyDescent="0.2">
      <c r="A575" s="4">
        <v>489150</v>
      </c>
      <c r="B575" s="15">
        <v>7.2499688976377957E-2</v>
      </c>
      <c r="C575" s="15">
        <v>8.5342491023622041E-2</v>
      </c>
    </row>
    <row r="576" spans="1:3" x14ac:dyDescent="0.2">
      <c r="A576" s="4">
        <v>489151</v>
      </c>
      <c r="B576" s="15">
        <v>0.12601136417322834</v>
      </c>
      <c r="C576" s="15">
        <v>0.13486668332677171</v>
      </c>
    </row>
    <row r="577" spans="1:3" x14ac:dyDescent="0.2">
      <c r="A577" s="4">
        <v>489152</v>
      </c>
      <c r="B577" s="15">
        <v>0.23079152559055122</v>
      </c>
      <c r="C577" s="15">
        <v>0.20610118690944881</v>
      </c>
    </row>
    <row r="578" spans="1:3" x14ac:dyDescent="0.2">
      <c r="A578" s="4">
        <v>489153</v>
      </c>
      <c r="B578" s="15">
        <v>0.65528241929133868</v>
      </c>
      <c r="C578" s="15">
        <v>0.42049952320866146</v>
      </c>
    </row>
    <row r="579" spans="1:3" x14ac:dyDescent="0.2">
      <c r="A579" s="4">
        <v>489154</v>
      </c>
      <c r="B579" s="15">
        <v>0.52254685039370097</v>
      </c>
      <c r="C579" s="15">
        <v>0.26828426210629919</v>
      </c>
    </row>
    <row r="580" spans="1:3" x14ac:dyDescent="0.2">
      <c r="A580" s="4">
        <v>489155</v>
      </c>
      <c r="B580" s="15">
        <v>0.6052834350393701</v>
      </c>
      <c r="C580" s="15">
        <v>0.27956256496063003</v>
      </c>
    </row>
    <row r="581" spans="1:3" x14ac:dyDescent="0.2">
      <c r="A581" s="4">
        <v>489159</v>
      </c>
      <c r="B581" s="15">
        <v>8.976151968503937E-2</v>
      </c>
      <c r="C581" s="15">
        <v>0.12288697281496067</v>
      </c>
    </row>
    <row r="582" spans="1:3" x14ac:dyDescent="0.2">
      <c r="A582" s="4">
        <v>489160</v>
      </c>
      <c r="B582" s="15">
        <v>0.15535647637795275</v>
      </c>
      <c r="C582" s="15">
        <v>0.16252013612204724</v>
      </c>
    </row>
    <row r="583" spans="1:3" x14ac:dyDescent="0.2">
      <c r="A583" s="4">
        <v>498161</v>
      </c>
      <c r="B583" s="15">
        <v>0.21337329724409448</v>
      </c>
      <c r="C583" s="15">
        <v>0.18480740275590557</v>
      </c>
    </row>
    <row r="584" spans="1:3" x14ac:dyDescent="0.2">
      <c r="A584" s="4">
        <v>489162</v>
      </c>
      <c r="B584" s="15">
        <v>0.21337329724409448</v>
      </c>
      <c r="C584" s="15">
        <v>0.16268625275590551</v>
      </c>
    </row>
    <row r="585" spans="1:3" x14ac:dyDescent="0.2">
      <c r="A585" s="4">
        <v>489163</v>
      </c>
      <c r="B585" s="15">
        <v>0.21337329724409454</v>
      </c>
      <c r="C585" s="15">
        <v>0.27329200275590548</v>
      </c>
    </row>
    <row r="586" spans="1:3" x14ac:dyDescent="0.2">
      <c r="A586" s="4">
        <v>489164</v>
      </c>
      <c r="B586" s="15">
        <v>0.23950063976377955</v>
      </c>
      <c r="C586" s="15">
        <v>0.29693724773622043</v>
      </c>
    </row>
    <row r="587" spans="1:3" x14ac:dyDescent="0.2">
      <c r="A587" s="4">
        <v>489165</v>
      </c>
      <c r="B587" s="15">
        <v>0.61834710629921252</v>
      </c>
      <c r="C587" s="15">
        <v>0.34392291870078739</v>
      </c>
    </row>
    <row r="588" spans="1:3" x14ac:dyDescent="0.2">
      <c r="A588" s="4">
        <v>489166</v>
      </c>
      <c r="B588" s="15">
        <v>0.75117740748031503</v>
      </c>
      <c r="C588" s="15">
        <v>0.3854978525196851</v>
      </c>
    </row>
    <row r="589" spans="1:3" x14ac:dyDescent="0.2">
      <c r="A589" s="4">
        <v>489167</v>
      </c>
      <c r="B589" s="15">
        <v>0.75117740748031492</v>
      </c>
      <c r="C589" s="15">
        <v>0.30430676251968503</v>
      </c>
    </row>
    <row r="590" spans="1:3" x14ac:dyDescent="0.2">
      <c r="A590" s="4">
        <v>489172</v>
      </c>
      <c r="B590" s="15">
        <v>6.3868773622047237E-2</v>
      </c>
      <c r="C590" s="15">
        <v>8.0819891377952799E-2</v>
      </c>
    </row>
    <row r="591" spans="1:3" x14ac:dyDescent="0.2">
      <c r="A591" s="4">
        <v>489173</v>
      </c>
      <c r="B591" s="15">
        <v>0.11047571653543306</v>
      </c>
      <c r="C591" s="15">
        <v>0.10217277596456696</v>
      </c>
    </row>
    <row r="592" spans="1:3" x14ac:dyDescent="0.2">
      <c r="A592" s="4">
        <v>489174</v>
      </c>
      <c r="B592" s="15">
        <v>0.11392808267716537</v>
      </c>
      <c r="C592" s="15">
        <v>0.13598870232283464</v>
      </c>
    </row>
    <row r="593" spans="1:3" x14ac:dyDescent="0.2">
      <c r="A593" s="4">
        <v>489176</v>
      </c>
      <c r="B593" s="15">
        <v>0.25256431102362209</v>
      </c>
      <c r="C593" s="15">
        <v>0.22304041397637792</v>
      </c>
    </row>
    <row r="594" spans="1:3" x14ac:dyDescent="0.2">
      <c r="A594" s="4">
        <v>489177</v>
      </c>
      <c r="B594" s="15">
        <v>0.54431963582677168</v>
      </c>
      <c r="C594" s="15">
        <v>0.36817780167322833</v>
      </c>
    </row>
    <row r="595" spans="1:3" x14ac:dyDescent="0.2">
      <c r="A595" s="4">
        <v>489178</v>
      </c>
      <c r="B595" s="15">
        <v>1.2306523484251966</v>
      </c>
      <c r="C595" s="15">
        <v>0.61644494907480341</v>
      </c>
    </row>
    <row r="596" spans="1:3" x14ac:dyDescent="0.2">
      <c r="A596" s="4">
        <v>489180</v>
      </c>
      <c r="B596" s="15">
        <v>0.35707368110236215</v>
      </c>
      <c r="C596" s="15">
        <v>0.14065219389763775</v>
      </c>
    </row>
    <row r="597" spans="1:3" x14ac:dyDescent="0.2">
      <c r="A597" s="4">
        <v>489181</v>
      </c>
      <c r="B597" s="15">
        <v>0.32223722440944891</v>
      </c>
      <c r="C597" s="15">
        <v>0.11465548809055118</v>
      </c>
    </row>
    <row r="598" spans="1:3" x14ac:dyDescent="0.2">
      <c r="A598" s="4">
        <v>489186</v>
      </c>
      <c r="B598" s="15">
        <v>3.4523661417322833E-2</v>
      </c>
      <c r="C598" s="15">
        <v>5.9743196082677169E-2</v>
      </c>
    </row>
    <row r="599" spans="1:3" x14ac:dyDescent="0.2">
      <c r="A599" s="4">
        <v>489187</v>
      </c>
      <c r="B599" s="15">
        <v>2.244037992125985E-2</v>
      </c>
      <c r="C599" s="15">
        <v>6.3057467578740159E-2</v>
      </c>
    </row>
    <row r="600" spans="1:3" x14ac:dyDescent="0.2">
      <c r="A600" s="4">
        <v>489188</v>
      </c>
      <c r="B600" s="15">
        <v>8.6309153543307093E-2</v>
      </c>
      <c r="C600" s="15">
        <v>0.10660906645669291</v>
      </c>
    </row>
    <row r="601" spans="1:3" x14ac:dyDescent="0.2">
      <c r="A601" s="4">
        <v>489189</v>
      </c>
      <c r="B601" s="15">
        <v>0.10702335039370078</v>
      </c>
      <c r="C601" s="15">
        <v>0.12535541460629918</v>
      </c>
    </row>
    <row r="602" spans="1:3" x14ac:dyDescent="0.2">
      <c r="A602" s="4">
        <v>489191</v>
      </c>
      <c r="B602" s="15">
        <v>1.1667223562992128</v>
      </c>
      <c r="C602" s="15">
        <v>0.47739721620078746</v>
      </c>
    </row>
    <row r="603" spans="1:3" x14ac:dyDescent="0.2">
      <c r="A603" s="4">
        <v>489192</v>
      </c>
      <c r="B603" s="15">
        <v>0.75117740748031503</v>
      </c>
      <c r="C603" s="15">
        <v>0.28400899001968505</v>
      </c>
    </row>
    <row r="604" spans="1:3" x14ac:dyDescent="0.2">
      <c r="A604" s="4">
        <v>489193</v>
      </c>
      <c r="B604" s="15">
        <v>0.42239203740157483</v>
      </c>
      <c r="C604" s="15">
        <v>0.15275786259842525</v>
      </c>
    </row>
    <row r="605" spans="1:3" x14ac:dyDescent="0.2">
      <c r="A605" s="4">
        <v>489194</v>
      </c>
      <c r="B605" s="15">
        <v>0.44416482283464576</v>
      </c>
      <c r="C605" s="15">
        <v>0.14757593966535432</v>
      </c>
    </row>
    <row r="606" spans="1:3" x14ac:dyDescent="0.2">
      <c r="A606" s="4">
        <v>489196</v>
      </c>
      <c r="B606" s="15">
        <v>5.1785492125984253E-2</v>
      </c>
      <c r="C606" s="15">
        <v>6.4403890374015754E-2</v>
      </c>
    </row>
    <row r="607" spans="1:3" x14ac:dyDescent="0.2">
      <c r="A607" s="4">
        <v>489197</v>
      </c>
      <c r="B607" s="15">
        <v>8.1130604330708678E-2</v>
      </c>
      <c r="C607" s="15">
        <v>0.12055662566929135</v>
      </c>
    </row>
    <row r="608" spans="1:3" x14ac:dyDescent="0.2">
      <c r="A608" s="4">
        <v>489198</v>
      </c>
      <c r="B608" s="15">
        <v>0.1001186181102362</v>
      </c>
      <c r="C608" s="15">
        <v>0.13226014688976384</v>
      </c>
    </row>
    <row r="609" spans="1:3" x14ac:dyDescent="0.2">
      <c r="A609" s="4">
        <v>489199</v>
      </c>
      <c r="B609" s="15">
        <v>9.49400688976378E-2</v>
      </c>
      <c r="C609" s="15">
        <v>0.13086193860236225</v>
      </c>
    </row>
    <row r="610" spans="1:3" x14ac:dyDescent="0.2">
      <c r="A610" s="4">
        <v>489200</v>
      </c>
      <c r="B610" s="15">
        <v>0.21337329724409448</v>
      </c>
      <c r="C610" s="15">
        <v>0.14056510275590553</v>
      </c>
    </row>
    <row r="611" spans="1:3" x14ac:dyDescent="0.2">
      <c r="A611" s="4">
        <v>489201</v>
      </c>
      <c r="B611" s="15">
        <v>0.83108989763779517</v>
      </c>
      <c r="C611" s="15">
        <v>0.24469204486220475</v>
      </c>
    </row>
    <row r="612" spans="1:3" x14ac:dyDescent="0.2">
      <c r="A612" s="4">
        <v>489202</v>
      </c>
      <c r="B612" s="15">
        <v>0.67126491732283466</v>
      </c>
      <c r="C612" s="15">
        <v>0.20153930017716543</v>
      </c>
    </row>
    <row r="613" spans="1:3" x14ac:dyDescent="0.2">
      <c r="A613" s="4">
        <v>489203</v>
      </c>
      <c r="B613" s="15">
        <v>1.1187748622047247</v>
      </c>
      <c r="C613" s="15">
        <v>0.20058035029527577</v>
      </c>
    </row>
    <row r="614" spans="1:3" x14ac:dyDescent="0.2">
      <c r="A614" s="4">
        <v>489204</v>
      </c>
      <c r="B614" s="15">
        <v>1.3585123326771655</v>
      </c>
      <c r="C614" s="15">
        <v>8.2629514822834815E-2</v>
      </c>
    </row>
    <row r="615" spans="1:3" x14ac:dyDescent="0.2">
      <c r="A615" s="4">
        <v>489205</v>
      </c>
      <c r="B615" s="15">
        <v>3.1071295275590556E-2</v>
      </c>
      <c r="C615" s="15">
        <v>8.0733582224409461E-2</v>
      </c>
    </row>
    <row r="616" spans="1:3" x14ac:dyDescent="0.2">
      <c r="A616" s="4">
        <v>489206</v>
      </c>
      <c r="B616" s="15">
        <v>3.1071295275590553E-2</v>
      </c>
      <c r="C616" s="15">
        <v>7.6349077224409437E-2</v>
      </c>
    </row>
    <row r="617" spans="1:3" x14ac:dyDescent="0.2">
      <c r="A617" s="4">
        <v>489208</v>
      </c>
      <c r="B617" s="15">
        <v>7.9404421259842539E-2</v>
      </c>
      <c r="C617" s="15">
        <v>0.11570605124015744</v>
      </c>
    </row>
    <row r="618" spans="1:3" x14ac:dyDescent="0.2">
      <c r="A618" s="4">
        <v>489209</v>
      </c>
      <c r="B618" s="15">
        <v>0.20023723622047243</v>
      </c>
      <c r="C618" s="15">
        <v>0.20313722377952767</v>
      </c>
    </row>
    <row r="619" spans="1:3" x14ac:dyDescent="0.2">
      <c r="A619" s="4">
        <v>489210</v>
      </c>
      <c r="B619" s="15">
        <v>0.30046443897637798</v>
      </c>
      <c r="C619" s="15">
        <v>0.22491287352362205</v>
      </c>
    </row>
    <row r="620" spans="1:3" x14ac:dyDescent="0.2">
      <c r="A620" s="4">
        <v>489211</v>
      </c>
      <c r="B620" s="15">
        <v>0.30481899606299218</v>
      </c>
      <c r="C620" s="15">
        <v>0.19290687893700784</v>
      </c>
    </row>
    <row r="621" spans="1:3" x14ac:dyDescent="0.2">
      <c r="A621" s="4">
        <v>489212</v>
      </c>
      <c r="B621" s="15">
        <v>0.4441648228346457</v>
      </c>
      <c r="C621" s="15">
        <v>0.19181823966535441</v>
      </c>
    </row>
    <row r="622" spans="1:3" x14ac:dyDescent="0.2">
      <c r="A622" s="4">
        <v>489213</v>
      </c>
      <c r="B622" s="15">
        <v>0.81510739960629919</v>
      </c>
      <c r="C622" s="15">
        <v>9.8292362893700885E-2</v>
      </c>
    </row>
    <row r="623" spans="1:3" x14ac:dyDescent="0.2">
      <c r="A623" s="4">
        <v>489214</v>
      </c>
      <c r="B623" s="15">
        <v>6.2142590551181098E-2</v>
      </c>
      <c r="C623" s="15">
        <v>0.10227634694881889</v>
      </c>
    </row>
    <row r="624" spans="1:3" x14ac:dyDescent="0.2">
      <c r="A624" s="4">
        <v>489215</v>
      </c>
      <c r="B624" s="15">
        <v>6.904732283464568E-2</v>
      </c>
      <c r="C624" s="15">
        <v>9.5371614665354335E-2</v>
      </c>
    </row>
    <row r="625" spans="1:3" x14ac:dyDescent="0.2">
      <c r="A625" s="4">
        <v>489216</v>
      </c>
      <c r="B625" s="15">
        <v>0.21404670078740157</v>
      </c>
      <c r="C625" s="15">
        <v>0.17398199171259843</v>
      </c>
    </row>
    <row r="626" spans="1:3" x14ac:dyDescent="0.2">
      <c r="A626" s="4">
        <v>489217</v>
      </c>
      <c r="B626" s="15">
        <v>0.40061925196850395</v>
      </c>
      <c r="C626" s="15">
        <v>0.25748496053149611</v>
      </c>
    </row>
    <row r="627" spans="1:3" x14ac:dyDescent="0.2">
      <c r="A627" s="4">
        <v>489218</v>
      </c>
      <c r="B627" s="15">
        <v>0.71921241141732284</v>
      </c>
      <c r="C627" s="15">
        <v>0.25508066858267725</v>
      </c>
    </row>
    <row r="628" spans="1:3" x14ac:dyDescent="0.2">
      <c r="A628" s="4">
        <v>489219</v>
      </c>
      <c r="B628" s="15">
        <v>0.91100238779527576</v>
      </c>
      <c r="C628" s="15">
        <v>0.18507732720472425</v>
      </c>
    </row>
    <row r="629" spans="1:3" x14ac:dyDescent="0.2">
      <c r="A629" s="4">
        <v>489220</v>
      </c>
      <c r="B629" s="15">
        <v>0.70322991338582685</v>
      </c>
      <c r="C629" s="15">
        <v>0.12897875911417322</v>
      </c>
    </row>
    <row r="630" spans="1:3" x14ac:dyDescent="0.2">
      <c r="A630" s="4">
        <v>489221</v>
      </c>
      <c r="B630" s="15">
        <v>5.0059309055118108E-2</v>
      </c>
      <c r="C630" s="15">
        <v>0.1428589109448819</v>
      </c>
    </row>
    <row r="631" spans="1:3" x14ac:dyDescent="0.2">
      <c r="A631" s="4">
        <v>489222</v>
      </c>
      <c r="B631" s="15">
        <v>4.8333125984251983E-2</v>
      </c>
      <c r="C631" s="15">
        <v>0.11608581151574804</v>
      </c>
    </row>
    <row r="632" spans="1:3" x14ac:dyDescent="0.2">
      <c r="A632" s="4">
        <v>489223</v>
      </c>
      <c r="B632" s="15">
        <v>4.4880759842519692E-2</v>
      </c>
      <c r="C632" s="15">
        <v>0.1195381776574803</v>
      </c>
    </row>
    <row r="633" spans="1:3" x14ac:dyDescent="0.2">
      <c r="A633" s="4">
        <v>489224</v>
      </c>
      <c r="B633" s="15">
        <v>8.6309153543307093E-2</v>
      </c>
      <c r="C633" s="15">
        <v>0.13949285395669292</v>
      </c>
    </row>
    <row r="634" spans="1:3" x14ac:dyDescent="0.2">
      <c r="A634" s="4">
        <v>489225</v>
      </c>
      <c r="B634" s="15">
        <v>0.49206495078740153</v>
      </c>
      <c r="C634" s="15">
        <v>0.28217529921259854</v>
      </c>
    </row>
    <row r="635" spans="1:3" x14ac:dyDescent="0.2">
      <c r="A635" s="4">
        <v>489226</v>
      </c>
      <c r="B635" s="15">
        <v>1.0708273681102363</v>
      </c>
      <c r="C635" s="15">
        <v>0.30942116188976398</v>
      </c>
    </row>
    <row r="636" spans="1:3" x14ac:dyDescent="0.2">
      <c r="A636" s="4">
        <v>489227</v>
      </c>
      <c r="B636" s="15">
        <v>0.50512862204724407</v>
      </c>
      <c r="C636" s="15">
        <v>0.15850587795275595</v>
      </c>
    </row>
    <row r="637" spans="1:3" x14ac:dyDescent="0.2">
      <c r="A637" s="4">
        <v>489228</v>
      </c>
      <c r="B637" s="15">
        <v>0.76715990551181112</v>
      </c>
      <c r="C637" s="15">
        <v>0.38981312698818915</v>
      </c>
    </row>
    <row r="638" spans="1:3" x14ac:dyDescent="0.2">
      <c r="A638" s="4">
        <v>489229</v>
      </c>
      <c r="B638" s="15">
        <v>0.91100238779527576</v>
      </c>
      <c r="C638" s="15">
        <v>0.30686396220472423</v>
      </c>
    </row>
    <row r="639" spans="1:3" x14ac:dyDescent="0.2">
      <c r="A639" s="4">
        <v>489230</v>
      </c>
      <c r="B639" s="15">
        <v>0.33965545275590553</v>
      </c>
      <c r="C639" s="15">
        <v>9.1706972244094534E-2</v>
      </c>
    </row>
    <row r="640" spans="1:3" x14ac:dyDescent="0.2">
      <c r="A640" s="4">
        <v>489231</v>
      </c>
      <c r="B640" s="15">
        <v>0.20901874015748031</v>
      </c>
      <c r="C640" s="15">
        <v>4.5374484842519672E-2</v>
      </c>
    </row>
    <row r="641" spans="1:3" x14ac:dyDescent="0.2">
      <c r="A641" s="4">
        <v>489232</v>
      </c>
      <c r="B641" s="15">
        <v>0.27869165354330716</v>
      </c>
      <c r="C641" s="15">
        <v>0.29092795895669288</v>
      </c>
    </row>
    <row r="642" spans="1:3" x14ac:dyDescent="0.2">
      <c r="A642" s="4">
        <v>489233</v>
      </c>
      <c r="B642" s="15">
        <v>0.73519490944881893</v>
      </c>
      <c r="C642" s="15">
        <v>0.34058703305118115</v>
      </c>
    </row>
    <row r="643" spans="1:3" x14ac:dyDescent="0.2">
      <c r="A643" s="4">
        <v>489234</v>
      </c>
      <c r="B643" s="15">
        <v>0.95894988188976371</v>
      </c>
      <c r="C643" s="15">
        <v>0.3604053306102365</v>
      </c>
    </row>
    <row r="644" spans="1:3" x14ac:dyDescent="0.2">
      <c r="A644" s="4">
        <v>489235</v>
      </c>
      <c r="B644" s="15">
        <v>0.36578279527559054</v>
      </c>
      <c r="C644" s="15">
        <v>9.8761354724409375E-2</v>
      </c>
    </row>
    <row r="645" spans="1:3" x14ac:dyDescent="0.2">
      <c r="A645" s="4">
        <v>489236</v>
      </c>
      <c r="B645" s="15">
        <v>0.30481899606299212</v>
      </c>
      <c r="C645" s="15">
        <v>8.2301128937007875E-2</v>
      </c>
    </row>
    <row r="646" spans="1:3" x14ac:dyDescent="0.2">
      <c r="A646" s="4">
        <v>489237</v>
      </c>
      <c r="B646" s="15">
        <v>0.28740076771653539</v>
      </c>
      <c r="C646" s="15">
        <v>6.1007344783464618E-2</v>
      </c>
    </row>
    <row r="647" spans="1:3" x14ac:dyDescent="0.2">
      <c r="A647" s="4">
        <v>489238</v>
      </c>
      <c r="B647" s="15">
        <v>8.9761519685039398E-2</v>
      </c>
      <c r="C647" s="15">
        <v>0.14480949781496061</v>
      </c>
    </row>
    <row r="648" spans="1:3" x14ac:dyDescent="0.2">
      <c r="A648" s="4">
        <v>489239</v>
      </c>
      <c r="B648" s="15">
        <v>0.10011861811023623</v>
      </c>
      <c r="C648" s="15">
        <v>0.15856717688976379</v>
      </c>
    </row>
    <row r="649" spans="1:3" x14ac:dyDescent="0.2">
      <c r="A649" s="4">
        <v>489240</v>
      </c>
      <c r="B649" s="15">
        <v>0.15880884251968502</v>
      </c>
      <c r="C649" s="15">
        <v>0.15687551748031497</v>
      </c>
    </row>
    <row r="650" spans="1:3" x14ac:dyDescent="0.2">
      <c r="A650" s="4">
        <v>489241</v>
      </c>
      <c r="B650" s="15">
        <v>0.58786520669291342</v>
      </c>
      <c r="C650" s="15">
        <v>0.33569280580708677</v>
      </c>
    </row>
    <row r="651" spans="1:3" x14ac:dyDescent="0.2">
      <c r="A651" s="4">
        <v>489242</v>
      </c>
      <c r="B651" s="15">
        <v>1.1827048543307088</v>
      </c>
      <c r="C651" s="15">
        <v>0.48171249066929112</v>
      </c>
    </row>
    <row r="652" spans="1:3" x14ac:dyDescent="0.2">
      <c r="A652" s="4">
        <v>489243</v>
      </c>
      <c r="B652" s="15">
        <v>0.73519490944881893</v>
      </c>
      <c r="C652" s="15">
        <v>0.34058703305118115</v>
      </c>
    </row>
    <row r="653" spans="1:3" x14ac:dyDescent="0.2">
      <c r="A653" s="4">
        <v>489244</v>
      </c>
      <c r="B653" s="15">
        <v>0.32659178149606305</v>
      </c>
      <c r="C653" s="15">
        <v>0.10477064350393699</v>
      </c>
    </row>
    <row r="654" spans="1:3" x14ac:dyDescent="0.2">
      <c r="A654" s="4">
        <v>489245</v>
      </c>
      <c r="B654" s="15">
        <v>0.31788266732283466</v>
      </c>
      <c r="C654" s="15">
        <v>9.6888895177165424E-2</v>
      </c>
    </row>
    <row r="655" spans="1:3" x14ac:dyDescent="0.2">
      <c r="A655" s="4">
        <v>489248</v>
      </c>
      <c r="B655" s="15">
        <v>1.726183070866142E-2</v>
      </c>
      <c r="C655" s="15">
        <v>4.1928986791338566E-2</v>
      </c>
    </row>
    <row r="656" spans="1:3" x14ac:dyDescent="0.2">
      <c r="A656" s="4">
        <v>489249</v>
      </c>
      <c r="B656" s="15">
        <v>1.726183070866142E-2</v>
      </c>
      <c r="C656" s="15">
        <v>4.8505744291338582E-2</v>
      </c>
    </row>
    <row r="657" spans="1:3" x14ac:dyDescent="0.2">
      <c r="A657" s="4">
        <v>489250</v>
      </c>
      <c r="B657" s="15">
        <v>2.7618929133858276E-2</v>
      </c>
      <c r="C657" s="15">
        <v>7.5416938366141717E-2</v>
      </c>
    </row>
    <row r="658" spans="1:3" x14ac:dyDescent="0.2">
      <c r="A658" s="4">
        <v>489251</v>
      </c>
      <c r="B658" s="15">
        <v>6.5594956692913403E-2</v>
      </c>
      <c r="C658" s="15">
        <v>7.9093708307086605E-2</v>
      </c>
    </row>
    <row r="659" spans="1:3" x14ac:dyDescent="0.2">
      <c r="A659" s="4">
        <v>489252</v>
      </c>
      <c r="B659" s="15">
        <v>0.16226120866141733</v>
      </c>
      <c r="C659" s="15">
        <v>0.1249238688385827</v>
      </c>
    </row>
    <row r="660" spans="1:3" x14ac:dyDescent="0.2">
      <c r="A660" s="4">
        <v>489253</v>
      </c>
      <c r="B660" s="15">
        <v>0.31352811023622051</v>
      </c>
      <c r="C660" s="15">
        <v>0.22290977726377956</v>
      </c>
    </row>
    <row r="661" spans="1:3" x14ac:dyDescent="0.2">
      <c r="A661" s="4">
        <v>489254</v>
      </c>
      <c r="B661" s="15">
        <v>0.83108989763779528</v>
      </c>
      <c r="C661" s="15">
        <v>0.4273719973622046</v>
      </c>
    </row>
    <row r="662" spans="1:3" x14ac:dyDescent="0.2">
      <c r="A662" s="4">
        <v>489255</v>
      </c>
      <c r="B662" s="15">
        <v>0.30046443897637798</v>
      </c>
      <c r="C662" s="15">
        <v>9.7716261023622047E-2</v>
      </c>
    </row>
    <row r="663" spans="1:3" x14ac:dyDescent="0.2">
      <c r="A663" s="4">
        <v>489256</v>
      </c>
      <c r="B663" s="15">
        <v>0.25691886811023629</v>
      </c>
      <c r="C663" s="15">
        <v>6.9368094389763768E-2</v>
      </c>
    </row>
    <row r="664" spans="1:3" x14ac:dyDescent="0.2">
      <c r="A664" s="4">
        <v>489259</v>
      </c>
      <c r="B664" s="15">
        <v>1.5535647637795276E-2</v>
      </c>
      <c r="C664" s="15">
        <v>3.0501654862204731E-2</v>
      </c>
    </row>
    <row r="665" spans="1:3" x14ac:dyDescent="0.2">
      <c r="A665" s="4">
        <v>489261</v>
      </c>
      <c r="B665" s="15">
        <v>5.8690224409448821E-2</v>
      </c>
      <c r="C665" s="15">
        <v>6.8460420590551158E-2</v>
      </c>
    </row>
    <row r="666" spans="1:3" x14ac:dyDescent="0.2">
      <c r="A666" s="4">
        <v>489262</v>
      </c>
      <c r="B666" s="15">
        <v>6.5594956692913389E-2</v>
      </c>
      <c r="C666" s="15">
        <v>7.6901455807086627E-2</v>
      </c>
    </row>
    <row r="667" spans="1:3" x14ac:dyDescent="0.2">
      <c r="A667" s="4">
        <v>489263</v>
      </c>
      <c r="B667" s="15">
        <v>0.22785616535433068</v>
      </c>
      <c r="C667" s="15">
        <v>0.16455703214566933</v>
      </c>
    </row>
    <row r="668" spans="1:3" x14ac:dyDescent="0.2">
      <c r="A668" s="4">
        <v>489264</v>
      </c>
      <c r="B668" s="15">
        <v>1.1986873523622048</v>
      </c>
      <c r="C668" s="15">
        <v>0.4048366751377952</v>
      </c>
    </row>
    <row r="669" spans="1:3" x14ac:dyDescent="0.2">
      <c r="A669" s="4">
        <v>489265</v>
      </c>
      <c r="B669" s="15">
        <v>0.92698488582677152</v>
      </c>
      <c r="C669" s="15">
        <v>0.3720725541732286</v>
      </c>
    </row>
    <row r="670" spans="1:3" x14ac:dyDescent="0.2">
      <c r="A670" s="4">
        <v>489266</v>
      </c>
      <c r="B670" s="15">
        <v>0.34836456692913387</v>
      </c>
      <c r="C670" s="15">
        <v>8.8528145570866135E-2</v>
      </c>
    </row>
    <row r="671" spans="1:3" x14ac:dyDescent="0.2">
      <c r="A671" s="4">
        <v>489270</v>
      </c>
      <c r="B671" s="15">
        <v>2.9345112204724407E-2</v>
      </c>
      <c r="C671" s="15">
        <v>2.9845705295275589E-2</v>
      </c>
    </row>
    <row r="672" spans="1:3" x14ac:dyDescent="0.2">
      <c r="A672" s="4">
        <v>489271</v>
      </c>
      <c r="B672" s="15">
        <v>0.17261830708661416</v>
      </c>
      <c r="C672" s="15">
        <v>0.12552803291338588</v>
      </c>
    </row>
    <row r="673" spans="1:3" x14ac:dyDescent="0.2">
      <c r="A673" s="4">
        <v>489273</v>
      </c>
      <c r="B673" s="15">
        <v>0.20368960236220468</v>
      </c>
      <c r="C673" s="15">
        <v>0.1470707976377954</v>
      </c>
    </row>
    <row r="674" spans="1:3" x14ac:dyDescent="0.2">
      <c r="A674" s="4">
        <v>489274</v>
      </c>
      <c r="B674" s="15">
        <v>0.63929992125984259</v>
      </c>
      <c r="C674" s="15">
        <v>0.29439761374015733</v>
      </c>
    </row>
    <row r="675" spans="1:3" x14ac:dyDescent="0.2">
      <c r="A675" s="4">
        <v>489275</v>
      </c>
      <c r="B675" s="15">
        <v>1.0708273681102363</v>
      </c>
      <c r="C675" s="15">
        <v>0.41091002438976398</v>
      </c>
    </row>
    <row r="676" spans="1:3" x14ac:dyDescent="0.2">
      <c r="A676" s="4">
        <v>489276</v>
      </c>
      <c r="B676" s="15">
        <v>0.4398102657480315</v>
      </c>
      <c r="C676" s="15">
        <v>0.16852135925196848</v>
      </c>
    </row>
    <row r="677" spans="1:3" x14ac:dyDescent="0.2">
      <c r="A677" s="4">
        <v>489277</v>
      </c>
      <c r="B677" s="15">
        <v>0.3222372244094488</v>
      </c>
      <c r="C677" s="15">
        <v>8.7004050590551288E-2</v>
      </c>
    </row>
    <row r="678" spans="1:3" x14ac:dyDescent="0.2">
      <c r="A678" s="4">
        <v>489278</v>
      </c>
      <c r="B678" s="15">
        <v>0.33965545275590558</v>
      </c>
      <c r="C678" s="15">
        <v>8.0646397244094475E-2</v>
      </c>
    </row>
    <row r="679" spans="1:3" x14ac:dyDescent="0.2">
      <c r="A679" s="4">
        <v>489281</v>
      </c>
      <c r="B679" s="15">
        <v>5.1785492125984253E-2</v>
      </c>
      <c r="C679" s="15">
        <v>0.10605668787401576</v>
      </c>
    </row>
    <row r="680" spans="1:3" x14ac:dyDescent="0.2">
      <c r="A680" s="4">
        <v>489282</v>
      </c>
      <c r="B680" s="15">
        <v>0.23514608267716541</v>
      </c>
      <c r="C680" s="15">
        <v>0.14091346732283466</v>
      </c>
    </row>
    <row r="681" spans="1:3" x14ac:dyDescent="0.2">
      <c r="A681" s="4">
        <v>489283</v>
      </c>
      <c r="B681" s="15">
        <v>0.23950063976377955</v>
      </c>
      <c r="C681" s="15">
        <v>0.15314977273622049</v>
      </c>
    </row>
    <row r="682" spans="1:3" x14ac:dyDescent="0.2">
      <c r="A682" s="4">
        <v>489284</v>
      </c>
      <c r="B682" s="15">
        <v>0.30917355314960626</v>
      </c>
      <c r="C682" s="15">
        <v>0.22173404685039377</v>
      </c>
    </row>
    <row r="683" spans="1:3" x14ac:dyDescent="0.2">
      <c r="A683" s="4">
        <v>489285</v>
      </c>
      <c r="B683" s="15">
        <v>0.47464672244094491</v>
      </c>
      <c r="C683" s="15">
        <v>0.36042669005905514</v>
      </c>
    </row>
    <row r="684" spans="1:3" x14ac:dyDescent="0.2">
      <c r="A684" s="4">
        <v>489286</v>
      </c>
      <c r="B684" s="15">
        <v>0.97493237992125992</v>
      </c>
      <c r="C684" s="15">
        <v>0.42561392257874009</v>
      </c>
    </row>
    <row r="685" spans="1:3" x14ac:dyDescent="0.2">
      <c r="A685" s="4">
        <v>489288</v>
      </c>
      <c r="B685" s="15">
        <v>0.33965545275590553</v>
      </c>
      <c r="C685" s="15">
        <v>8.6176684744094512E-2</v>
      </c>
    </row>
    <row r="686" spans="1:3" x14ac:dyDescent="0.2">
      <c r="A686" s="4">
        <v>489292</v>
      </c>
      <c r="B686" s="15">
        <v>5.178549212598426E-2</v>
      </c>
      <c r="C686" s="15">
        <v>8.1941910374015742E-2</v>
      </c>
    </row>
    <row r="687" spans="1:3" x14ac:dyDescent="0.2">
      <c r="A687" s="4">
        <v>489293</v>
      </c>
      <c r="B687" s="15">
        <v>4.8333125984251948E-2</v>
      </c>
      <c r="C687" s="15">
        <v>8.1009771515748064E-2</v>
      </c>
    </row>
    <row r="688" spans="1:3" x14ac:dyDescent="0.2">
      <c r="A688" s="4">
        <v>489294</v>
      </c>
      <c r="B688" s="15">
        <v>9.4940068897637786E-2</v>
      </c>
      <c r="C688" s="15">
        <v>0.11990067610236227</v>
      </c>
    </row>
    <row r="689" spans="1:3" x14ac:dyDescent="0.2">
      <c r="A689" s="4">
        <v>489295</v>
      </c>
      <c r="B689" s="15">
        <v>0.22612998228346456</v>
      </c>
      <c r="C689" s="15">
        <v>0.14436069021653547</v>
      </c>
    </row>
    <row r="690" spans="1:3" x14ac:dyDescent="0.2">
      <c r="A690" s="4">
        <v>489296</v>
      </c>
      <c r="B690" s="15">
        <v>0.51383773622047246</v>
      </c>
      <c r="C690" s="15">
        <v>0.3267659637795276</v>
      </c>
    </row>
    <row r="691" spans="1:3" x14ac:dyDescent="0.2">
      <c r="A691" s="4">
        <v>489297</v>
      </c>
      <c r="B691" s="15">
        <v>0.61834710629921263</v>
      </c>
      <c r="C691" s="15">
        <v>0.31074119370078734</v>
      </c>
    </row>
    <row r="692" spans="1:3" x14ac:dyDescent="0.2">
      <c r="A692" s="4">
        <v>489298</v>
      </c>
      <c r="B692" s="15">
        <v>0.33530089566929133</v>
      </c>
      <c r="C692" s="15">
        <v>0.1568946918307087</v>
      </c>
    </row>
    <row r="693" spans="1:3" x14ac:dyDescent="0.2">
      <c r="A693" s="4">
        <v>489299</v>
      </c>
      <c r="B693" s="15">
        <v>0.29175532480314958</v>
      </c>
      <c r="C693" s="15">
        <v>0.12301623769685052</v>
      </c>
    </row>
    <row r="694" spans="1:3" x14ac:dyDescent="0.2">
      <c r="A694" s="4">
        <v>489300</v>
      </c>
      <c r="B694" s="15">
        <v>0.2438551968503937</v>
      </c>
      <c r="C694" s="15">
        <v>5.478032814960631E-2</v>
      </c>
    </row>
    <row r="695" spans="1:3" x14ac:dyDescent="0.2">
      <c r="A695" s="4">
        <v>489302</v>
      </c>
      <c r="B695" s="15">
        <v>3.6249844488188972E-2</v>
      </c>
      <c r="C695" s="15">
        <v>0.13913035551181105</v>
      </c>
    </row>
    <row r="696" spans="1:3" x14ac:dyDescent="0.2">
      <c r="A696" s="4">
        <v>489303</v>
      </c>
      <c r="B696" s="15">
        <v>4.4880759842519678E-2</v>
      </c>
      <c r="C696" s="15">
        <v>9.7615652657480331E-2</v>
      </c>
    </row>
    <row r="697" spans="1:3" x14ac:dyDescent="0.2">
      <c r="A697" s="4">
        <v>489304</v>
      </c>
      <c r="B697" s="15">
        <v>0.53561052165354339</v>
      </c>
      <c r="C697" s="15">
        <v>0.3437051908464569</v>
      </c>
    </row>
    <row r="698" spans="1:3" x14ac:dyDescent="0.2">
      <c r="A698" s="4">
        <v>489305</v>
      </c>
      <c r="B698" s="15">
        <v>0.26998253937007877</v>
      </c>
      <c r="C698" s="15">
        <v>0.15031931062992121</v>
      </c>
    </row>
    <row r="699" spans="1:3" x14ac:dyDescent="0.2">
      <c r="A699" s="4">
        <v>489306</v>
      </c>
      <c r="B699" s="15">
        <v>1.214669850393701</v>
      </c>
      <c r="C699" s="15">
        <v>0.47004526710629924</v>
      </c>
    </row>
    <row r="700" spans="1:3" x14ac:dyDescent="0.2">
      <c r="A700" s="4">
        <v>489307</v>
      </c>
      <c r="B700" s="15">
        <v>1.2466348464566932</v>
      </c>
      <c r="C700" s="15">
        <v>0.41778249854330712</v>
      </c>
    </row>
    <row r="701" spans="1:3" x14ac:dyDescent="0.2">
      <c r="A701" s="4">
        <v>489308</v>
      </c>
      <c r="B701" s="15">
        <v>0.42239203740157483</v>
      </c>
      <c r="C701" s="15">
        <v>0.26889390009842529</v>
      </c>
    </row>
    <row r="702" spans="1:3" x14ac:dyDescent="0.2">
      <c r="A702" s="4">
        <v>489309</v>
      </c>
      <c r="B702" s="15">
        <v>0.22643696850393702</v>
      </c>
      <c r="C702" s="15">
        <v>9.9849993996063008E-2</v>
      </c>
    </row>
    <row r="703" spans="1:3" x14ac:dyDescent="0.2">
      <c r="A703" s="4">
        <v>489310</v>
      </c>
      <c r="B703" s="15">
        <v>0.23514608267716536</v>
      </c>
      <c r="C703" s="15">
        <v>8.008030482283468E-2</v>
      </c>
    </row>
    <row r="704" spans="1:3" x14ac:dyDescent="0.2">
      <c r="A704" s="4">
        <v>489312</v>
      </c>
      <c r="B704" s="15">
        <v>4.6606942913385817E-2</v>
      </c>
      <c r="C704" s="15">
        <v>0.15946479208661421</v>
      </c>
    </row>
    <row r="705" spans="1:3" x14ac:dyDescent="0.2">
      <c r="A705" s="4">
        <v>489313</v>
      </c>
      <c r="B705" s="15">
        <v>0.12773754724409453</v>
      </c>
      <c r="C705" s="15">
        <v>0.13971725775590552</v>
      </c>
    </row>
    <row r="706" spans="1:3" x14ac:dyDescent="0.2">
      <c r="A706" s="4">
        <v>489314</v>
      </c>
      <c r="B706" s="15">
        <v>0.28304621062992125</v>
      </c>
      <c r="C706" s="15">
        <v>0.2257402393700787</v>
      </c>
    </row>
    <row r="707" spans="1:3" x14ac:dyDescent="0.2">
      <c r="A707" s="4">
        <v>489315</v>
      </c>
      <c r="B707" s="15">
        <v>0.30917355314960626</v>
      </c>
      <c r="C707" s="15">
        <v>0.2051431843503938</v>
      </c>
    </row>
    <row r="708" spans="1:3" x14ac:dyDescent="0.2">
      <c r="A708" s="4">
        <v>489316</v>
      </c>
      <c r="B708" s="15">
        <v>0.91100238779527565</v>
      </c>
      <c r="C708" s="15">
        <v>0.40835282470472445</v>
      </c>
    </row>
    <row r="709" spans="1:3" x14ac:dyDescent="0.2">
      <c r="A709" s="4">
        <v>489317</v>
      </c>
      <c r="B709" s="15">
        <v>0.31352811023622051</v>
      </c>
      <c r="C709" s="15">
        <v>0.16760690226377944</v>
      </c>
    </row>
    <row r="710" spans="1:3" x14ac:dyDescent="0.2">
      <c r="A710" s="4">
        <v>489318</v>
      </c>
      <c r="B710" s="15">
        <v>0.22643696850393702</v>
      </c>
      <c r="C710" s="15">
        <v>0.10538028149606299</v>
      </c>
    </row>
    <row r="711" spans="1:3" x14ac:dyDescent="0.2">
      <c r="A711" s="4">
        <v>489319</v>
      </c>
      <c r="B711" s="15">
        <v>0.22208241141732282</v>
      </c>
      <c r="C711" s="15">
        <v>8.2083401082677171E-2</v>
      </c>
    </row>
    <row r="712" spans="1:3" x14ac:dyDescent="0.2">
      <c r="A712" s="4">
        <v>489320</v>
      </c>
      <c r="B712" s="15">
        <v>5.696404133858269E-2</v>
      </c>
      <c r="C712" s="15">
        <v>0.14033868366141733</v>
      </c>
    </row>
    <row r="713" spans="1:3" x14ac:dyDescent="0.2">
      <c r="A713" s="4">
        <v>489321</v>
      </c>
      <c r="B713" s="15">
        <v>5.5237858267716544E-2</v>
      </c>
      <c r="C713" s="15">
        <v>0.13110360423228348</v>
      </c>
    </row>
    <row r="714" spans="1:3" x14ac:dyDescent="0.2">
      <c r="A714" s="4">
        <v>489322</v>
      </c>
      <c r="B714" s="15">
        <v>7.0773505905511819E-2</v>
      </c>
      <c r="C714" s="15">
        <v>0.11337570409448822</v>
      </c>
    </row>
    <row r="715" spans="1:3" x14ac:dyDescent="0.2">
      <c r="A715" s="4">
        <v>489323</v>
      </c>
      <c r="B715" s="15">
        <v>0.37884646653543308</v>
      </c>
      <c r="C715" s="15">
        <v>0.22395487096456712</v>
      </c>
    </row>
    <row r="716" spans="1:3" x14ac:dyDescent="0.2">
      <c r="A716" s="4">
        <v>489324</v>
      </c>
      <c r="B716" s="15">
        <v>0.41368292322834649</v>
      </c>
      <c r="C716" s="15">
        <v>0.24995157677165353</v>
      </c>
    </row>
    <row r="717" spans="1:3" x14ac:dyDescent="0.2">
      <c r="A717" s="4">
        <v>489325</v>
      </c>
      <c r="B717" s="15">
        <v>0.59657432086614182</v>
      </c>
      <c r="C717" s="15">
        <v>0.35463512913385831</v>
      </c>
    </row>
    <row r="718" spans="1:3" x14ac:dyDescent="0.2">
      <c r="A718" s="4">
        <v>489326</v>
      </c>
      <c r="B718" s="15">
        <v>0.30481899606299223</v>
      </c>
      <c r="C718" s="15">
        <v>0.15419486643700786</v>
      </c>
    </row>
    <row r="719" spans="1:3" x14ac:dyDescent="0.2">
      <c r="A719" s="4">
        <v>489327</v>
      </c>
      <c r="B719" s="15">
        <v>0.23514608267716536</v>
      </c>
      <c r="C719" s="15">
        <v>0.10773174232283467</v>
      </c>
    </row>
    <row r="720" spans="1:3" x14ac:dyDescent="0.2">
      <c r="A720" s="4">
        <v>489329</v>
      </c>
      <c r="B720" s="15">
        <v>6.5594956692913389E-2</v>
      </c>
      <c r="C720" s="15">
        <v>0.18432182830708663</v>
      </c>
    </row>
    <row r="721" spans="1:3" x14ac:dyDescent="0.2">
      <c r="A721" s="4">
        <v>489330</v>
      </c>
      <c r="B721" s="15">
        <v>5.5237858267716544E-2</v>
      </c>
      <c r="C721" s="15">
        <v>0.16398739173228349</v>
      </c>
    </row>
    <row r="722" spans="1:3" x14ac:dyDescent="0.2">
      <c r="A722" s="4">
        <v>489331</v>
      </c>
      <c r="B722" s="15">
        <v>0.10357098425196851</v>
      </c>
      <c r="C722" s="15">
        <v>0.14853805324803149</v>
      </c>
    </row>
    <row r="723" spans="1:3" x14ac:dyDescent="0.2">
      <c r="A723" s="4">
        <v>489332</v>
      </c>
      <c r="B723" s="15">
        <v>0.30481899606299206</v>
      </c>
      <c r="C723" s="15">
        <v>0.24267946643700797</v>
      </c>
    </row>
    <row r="724" spans="1:3" x14ac:dyDescent="0.2">
      <c r="A724" s="4">
        <v>489333</v>
      </c>
      <c r="B724" s="15">
        <v>0.48771039370078739</v>
      </c>
      <c r="C724" s="15">
        <v>0.26993899379921266</v>
      </c>
    </row>
    <row r="725" spans="1:3" x14ac:dyDescent="0.2">
      <c r="A725" s="4">
        <v>489334</v>
      </c>
      <c r="B725" s="15">
        <v>0.73519490944881893</v>
      </c>
      <c r="C725" s="15">
        <v>0.25939594305118124</v>
      </c>
    </row>
    <row r="726" spans="1:3" x14ac:dyDescent="0.2">
      <c r="A726" s="4">
        <v>489335</v>
      </c>
      <c r="B726" s="15">
        <v>0.28740076771653544</v>
      </c>
      <c r="C726" s="15">
        <v>0.15502223228346462</v>
      </c>
    </row>
    <row r="727" spans="1:3" x14ac:dyDescent="0.2">
      <c r="A727" s="4">
        <v>489336</v>
      </c>
      <c r="B727" s="15">
        <v>0.23079152559055122</v>
      </c>
      <c r="C727" s="15">
        <v>0.11208629940944879</v>
      </c>
    </row>
    <row r="728" spans="1:3" x14ac:dyDescent="0.2">
      <c r="A728" s="4">
        <v>489337</v>
      </c>
      <c r="B728" s="15">
        <v>0.27869165354330705</v>
      </c>
      <c r="C728" s="15">
        <v>9.1837608956692934E-2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A17" sqref="A17"/>
    </sheetView>
  </sheetViews>
  <sheetFormatPr defaultRowHeight="12.75" x14ac:dyDescent="0.2"/>
  <sheetData>
    <row r="1" spans="1:6" x14ac:dyDescent="0.2">
      <c r="A1" s="7" t="s">
        <v>2</v>
      </c>
      <c r="B1" s="7" t="s">
        <v>19</v>
      </c>
      <c r="C1" s="8" t="s">
        <v>12</v>
      </c>
      <c r="D1" s="8" t="s">
        <v>13</v>
      </c>
    </row>
    <row r="3" spans="1:6" x14ac:dyDescent="0.2">
      <c r="A3" s="31">
        <v>488251</v>
      </c>
      <c r="B3">
        <v>4</v>
      </c>
      <c r="C3" s="15">
        <v>0.91100238779527565</v>
      </c>
      <c r="D3" s="15">
        <v>0.12418400970472451</v>
      </c>
    </row>
    <row r="4" spans="1:6" x14ac:dyDescent="0.2">
      <c r="A4" s="32">
        <v>488252</v>
      </c>
      <c r="B4">
        <v>4</v>
      </c>
      <c r="C4" s="15">
        <v>1.0868098661417323</v>
      </c>
      <c r="D4" s="15">
        <v>0.21224757385826773</v>
      </c>
    </row>
    <row r="5" spans="1:6" x14ac:dyDescent="0.2">
      <c r="A5" s="32">
        <v>488253</v>
      </c>
      <c r="B5">
        <v>4</v>
      </c>
      <c r="C5" s="15">
        <v>1.1986873523622048</v>
      </c>
      <c r="D5" s="15">
        <v>0.10037008763779549</v>
      </c>
    </row>
    <row r="6" spans="1:6" x14ac:dyDescent="0.2">
      <c r="A6" s="32">
        <v>488254</v>
      </c>
      <c r="B6">
        <v>4</v>
      </c>
      <c r="C6" s="15">
        <v>0.44416482283464576</v>
      </c>
      <c r="D6" s="15">
        <v>9.2273064665354398E-2</v>
      </c>
    </row>
    <row r="7" spans="1:6" x14ac:dyDescent="0.2">
      <c r="A7" s="32">
        <v>488255</v>
      </c>
      <c r="B7">
        <v>4</v>
      </c>
      <c r="C7" s="15">
        <v>0.31352811023622051</v>
      </c>
      <c r="D7" s="15">
        <v>9.5713164763779612E-2</v>
      </c>
    </row>
    <row r="8" spans="1:6" x14ac:dyDescent="0.2">
      <c r="A8" s="32">
        <v>488256</v>
      </c>
      <c r="B8">
        <v>4</v>
      </c>
      <c r="C8" s="15">
        <v>0.12083281496062995</v>
      </c>
      <c r="D8" s="15">
        <v>4.7970627539370092E-2</v>
      </c>
    </row>
    <row r="9" spans="1:6" x14ac:dyDescent="0.2">
      <c r="A9" s="32">
        <v>488257</v>
      </c>
      <c r="B9">
        <v>4</v>
      </c>
      <c r="C9" s="15">
        <v>0.19678487007874018</v>
      </c>
      <c r="D9" s="15">
        <v>3.120938992125985E-2</v>
      </c>
    </row>
    <row r="10" spans="1:6" x14ac:dyDescent="0.2">
      <c r="A10" s="31">
        <v>488258</v>
      </c>
      <c r="B10">
        <v>4</v>
      </c>
      <c r="C10" s="15">
        <v>0.13809464566929133</v>
      </c>
      <c r="D10" s="15">
        <v>8.113060433070865E-2</v>
      </c>
    </row>
    <row r="11" spans="1:6" x14ac:dyDescent="0.2">
      <c r="A11" s="31">
        <v>488259</v>
      </c>
      <c r="B11">
        <v>4</v>
      </c>
      <c r="C11" s="15">
        <v>0.83108989763779517</v>
      </c>
      <c r="D11" s="15">
        <v>0.24469204486220475</v>
      </c>
      <c r="E11" s="25"/>
      <c r="F11" s="25"/>
    </row>
    <row r="12" spans="1:6" x14ac:dyDescent="0.2">
      <c r="A12" s="31">
        <v>488260</v>
      </c>
      <c r="B12">
        <v>4</v>
      </c>
      <c r="C12" s="15">
        <v>0.27869165354330705</v>
      </c>
      <c r="D12" s="15">
        <v>6.4186171456692975E-2</v>
      </c>
    </row>
    <row r="13" spans="1:6" x14ac:dyDescent="0.2">
      <c r="A13" s="31">
        <v>488261</v>
      </c>
      <c r="B13">
        <v>4</v>
      </c>
      <c r="C13" s="15">
        <v>0.33094633858267719</v>
      </c>
      <c r="D13" s="15">
        <v>0.11147666141732288</v>
      </c>
    </row>
    <row r="14" spans="1:6" x14ac:dyDescent="0.2">
      <c r="A14" s="31">
        <v>488262</v>
      </c>
      <c r="B14">
        <v>4</v>
      </c>
      <c r="C14" s="15">
        <v>1.1507398582677169</v>
      </c>
      <c r="D14" s="15">
        <v>0.55427303173228326</v>
      </c>
    </row>
    <row r="15" spans="1:6" x14ac:dyDescent="0.2">
      <c r="A15" s="31">
        <v>488263</v>
      </c>
      <c r="B15">
        <v>4</v>
      </c>
      <c r="C15" s="15">
        <v>1.214669850393701</v>
      </c>
      <c r="D15" s="15">
        <v>0.18587645210629944</v>
      </c>
    </row>
    <row r="16" spans="1:6" x14ac:dyDescent="0.2">
      <c r="A16" s="31">
        <v>488264</v>
      </c>
      <c r="B16">
        <v>4</v>
      </c>
      <c r="C16" s="15">
        <v>0.26998253937007877</v>
      </c>
      <c r="D16" s="15">
        <v>6.1834710629921248E-2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4"/>
  <sheetViews>
    <sheetView workbookViewId="0">
      <selection activeCell="J1" sqref="J1:Y1"/>
    </sheetView>
  </sheetViews>
  <sheetFormatPr defaultRowHeight="12.75" x14ac:dyDescent="0.2"/>
  <sheetData>
    <row r="1" spans="1:25" x14ac:dyDescent="0.2">
      <c r="A1" t="s">
        <v>20</v>
      </c>
      <c r="B1" t="s">
        <v>21</v>
      </c>
      <c r="C1" s="7" t="s">
        <v>2</v>
      </c>
      <c r="D1" s="7" t="s">
        <v>19</v>
      </c>
      <c r="E1" s="8" t="s">
        <v>12</v>
      </c>
      <c r="F1" s="8" t="s">
        <v>13</v>
      </c>
      <c r="J1" s="11"/>
      <c r="K1" s="11"/>
      <c r="L1" s="27"/>
      <c r="M1" s="11"/>
      <c r="N1" s="12"/>
      <c r="O1" s="28"/>
      <c r="P1" s="29"/>
      <c r="Q1" s="12"/>
      <c r="R1" s="12"/>
      <c r="S1" s="12"/>
      <c r="T1" s="11"/>
      <c r="U1" s="11"/>
      <c r="V1" s="11"/>
      <c r="W1" s="11"/>
      <c r="X1" s="11"/>
      <c r="Y1" s="11"/>
    </row>
    <row r="3" spans="1:25" x14ac:dyDescent="0.2">
      <c r="A3" s="16"/>
      <c r="C3" s="4"/>
      <c r="E3" s="25"/>
      <c r="F3" s="25"/>
    </row>
    <row r="4" spans="1:25" x14ac:dyDescent="0.2">
      <c r="C4" s="4"/>
      <c r="E4" s="25"/>
      <c r="F4" s="25"/>
    </row>
    <row r="5" spans="1:25" x14ac:dyDescent="0.2">
      <c r="C5" s="4"/>
      <c r="E5" s="25"/>
      <c r="F5" s="25"/>
    </row>
    <row r="6" spans="1:25" x14ac:dyDescent="0.2">
      <c r="C6" s="4"/>
      <c r="E6" s="25"/>
      <c r="F6" s="25"/>
    </row>
    <row r="8" spans="1:25" x14ac:dyDescent="0.2">
      <c r="A8" s="16"/>
      <c r="C8" s="4"/>
      <c r="E8" s="25"/>
      <c r="F8" s="25"/>
    </row>
    <row r="9" spans="1:25" x14ac:dyDescent="0.2">
      <c r="C9" s="4"/>
      <c r="E9" s="25"/>
      <c r="F9" s="25"/>
    </row>
    <row r="10" spans="1:25" x14ac:dyDescent="0.2">
      <c r="C10" s="4"/>
      <c r="E10" s="25"/>
      <c r="F10" s="25"/>
    </row>
    <row r="11" spans="1:25" x14ac:dyDescent="0.2">
      <c r="C11" s="4"/>
      <c r="E11" s="25"/>
      <c r="F11" s="25"/>
    </row>
    <row r="12" spans="1:25" x14ac:dyDescent="0.2">
      <c r="C12" s="4"/>
      <c r="E12" s="25"/>
      <c r="F12" s="25"/>
    </row>
    <row r="13" spans="1:25" x14ac:dyDescent="0.2">
      <c r="C13" s="4"/>
      <c r="E13" s="25"/>
      <c r="F13" s="25"/>
    </row>
    <row r="14" spans="1:25" x14ac:dyDescent="0.2">
      <c r="C14" s="4"/>
      <c r="E14" s="25"/>
      <c r="F14" s="25"/>
    </row>
    <row r="15" spans="1:25" x14ac:dyDescent="0.2">
      <c r="C15" s="4"/>
      <c r="E15" s="25"/>
      <c r="F15" s="25"/>
    </row>
    <row r="16" spans="1:25" x14ac:dyDescent="0.2">
      <c r="C16" s="4"/>
      <c r="E16" s="25"/>
      <c r="F16" s="25"/>
    </row>
    <row r="17" spans="3:6" x14ac:dyDescent="0.2">
      <c r="C17" s="4"/>
      <c r="E17" s="25"/>
      <c r="F17" s="25"/>
    </row>
    <row r="19" spans="3:6" x14ac:dyDescent="0.2">
      <c r="C19" s="4"/>
      <c r="E19" s="25"/>
      <c r="F19" s="25"/>
    </row>
    <row r="20" spans="3:6" x14ac:dyDescent="0.2">
      <c r="C20" s="22"/>
      <c r="E20" s="25"/>
      <c r="F20" s="25"/>
    </row>
    <row r="21" spans="3:6" x14ac:dyDescent="0.2">
      <c r="C21" s="22"/>
      <c r="E21" s="25"/>
      <c r="F21" s="25"/>
    </row>
    <row r="22" spans="3:6" x14ac:dyDescent="0.2">
      <c r="C22" s="22"/>
      <c r="E22" s="25"/>
      <c r="F22" s="25"/>
    </row>
    <row r="23" spans="3:6" x14ac:dyDescent="0.2">
      <c r="C23" s="22"/>
      <c r="E23" s="25"/>
      <c r="F23" s="25"/>
    </row>
    <row r="24" spans="3:6" x14ac:dyDescent="0.2">
      <c r="C24" s="22"/>
      <c r="E24" s="25"/>
      <c r="F24" s="25"/>
    </row>
    <row r="25" spans="3:6" x14ac:dyDescent="0.2">
      <c r="C25" s="22"/>
      <c r="E25" s="25"/>
      <c r="F25" s="25"/>
    </row>
    <row r="26" spans="3:6" x14ac:dyDescent="0.2">
      <c r="C26" s="22"/>
      <c r="E26" s="25"/>
      <c r="F26" s="25"/>
    </row>
    <row r="28" spans="3:6" x14ac:dyDescent="0.2">
      <c r="C28" s="22"/>
      <c r="E28" s="25"/>
      <c r="F28" s="25"/>
    </row>
    <row r="29" spans="3:6" x14ac:dyDescent="0.2">
      <c r="C29" s="22"/>
      <c r="E29" s="25"/>
      <c r="F29" s="25"/>
    </row>
    <row r="30" spans="3:6" x14ac:dyDescent="0.2">
      <c r="C30" s="22"/>
      <c r="E30" s="25"/>
      <c r="F30" s="25"/>
    </row>
    <row r="31" spans="3:6" x14ac:dyDescent="0.2">
      <c r="C31" s="22"/>
      <c r="E31" s="25"/>
      <c r="F31" s="25"/>
    </row>
    <row r="32" spans="3:6" x14ac:dyDescent="0.2">
      <c r="C32" s="22"/>
      <c r="E32" s="26"/>
      <c r="F32" s="26"/>
    </row>
    <row r="33" spans="3:6" x14ac:dyDescent="0.2">
      <c r="C33" s="22"/>
      <c r="E33" s="25"/>
      <c r="F33" s="25"/>
    </row>
    <row r="34" spans="3:6" x14ac:dyDescent="0.2">
      <c r="C34" s="22"/>
      <c r="E34" s="25"/>
      <c r="F34" s="25"/>
    </row>
    <row r="35" spans="3:6" x14ac:dyDescent="0.2">
      <c r="C35" s="22"/>
      <c r="E35" s="25"/>
      <c r="F35" s="25"/>
    </row>
    <row r="36" spans="3:6" x14ac:dyDescent="0.2">
      <c r="C36" s="22"/>
      <c r="E36" s="25"/>
      <c r="F36" s="25"/>
    </row>
    <row r="38" spans="3:6" x14ac:dyDescent="0.2">
      <c r="C38" s="22"/>
      <c r="E38" s="25"/>
      <c r="F38" s="25"/>
    </row>
    <row r="39" spans="3:6" x14ac:dyDescent="0.2">
      <c r="C39" s="22"/>
      <c r="E39" s="25"/>
      <c r="F39" s="25"/>
    </row>
    <row r="40" spans="3:6" x14ac:dyDescent="0.2">
      <c r="C40" s="22"/>
      <c r="E40" s="25"/>
      <c r="F40" s="25"/>
    </row>
    <row r="41" spans="3:6" x14ac:dyDescent="0.2">
      <c r="C41" s="22"/>
      <c r="E41" s="25"/>
      <c r="F41" s="25"/>
    </row>
    <row r="42" spans="3:6" x14ac:dyDescent="0.2">
      <c r="C42" s="22"/>
      <c r="E42" s="25"/>
      <c r="F42" s="25"/>
    </row>
    <row r="43" spans="3:6" x14ac:dyDescent="0.2">
      <c r="C43" s="22"/>
      <c r="E43" s="25"/>
      <c r="F43" s="25"/>
    </row>
    <row r="44" spans="3:6" x14ac:dyDescent="0.2">
      <c r="C44" s="22"/>
      <c r="E44" s="25"/>
      <c r="F44" s="25"/>
    </row>
    <row r="45" spans="3:6" x14ac:dyDescent="0.2">
      <c r="C45" s="22"/>
      <c r="E45" s="25"/>
      <c r="F45" s="25"/>
    </row>
    <row r="46" spans="3:6" x14ac:dyDescent="0.2">
      <c r="C46" s="22"/>
      <c r="E46" s="25"/>
      <c r="F46" s="25"/>
    </row>
    <row r="48" spans="3:6" x14ac:dyDescent="0.2">
      <c r="C48" s="4"/>
      <c r="E48" s="25"/>
      <c r="F48" s="25"/>
    </row>
    <row r="49" spans="1:6" x14ac:dyDescent="0.2">
      <c r="C49" s="4"/>
      <c r="E49" s="25"/>
      <c r="F49" s="25"/>
    </row>
    <row r="50" spans="1:6" x14ac:dyDescent="0.2">
      <c r="C50" s="4"/>
      <c r="E50" s="25"/>
      <c r="F50" s="25"/>
    </row>
    <row r="51" spans="1:6" x14ac:dyDescent="0.2">
      <c r="C51" s="4"/>
      <c r="E51" s="25"/>
      <c r="F51" s="25"/>
    </row>
    <row r="52" spans="1:6" x14ac:dyDescent="0.2">
      <c r="C52" s="4"/>
      <c r="E52" s="25"/>
      <c r="F52" s="25"/>
    </row>
    <row r="53" spans="1:6" x14ac:dyDescent="0.2">
      <c r="C53" s="4"/>
      <c r="E53" s="25"/>
      <c r="F53" s="25"/>
    </row>
    <row r="54" spans="1:6" x14ac:dyDescent="0.2">
      <c r="C54" s="4"/>
      <c r="E54" s="25"/>
      <c r="F54" s="25"/>
    </row>
    <row r="55" spans="1:6" x14ac:dyDescent="0.2">
      <c r="C55" s="4"/>
      <c r="E55" s="25"/>
      <c r="F55" s="25"/>
    </row>
    <row r="56" spans="1:6" x14ac:dyDescent="0.2">
      <c r="C56" s="4"/>
      <c r="E56" s="25"/>
      <c r="F56" s="25"/>
    </row>
    <row r="58" spans="1:6" x14ac:dyDescent="0.2">
      <c r="A58" s="16"/>
      <c r="C58" s="12"/>
      <c r="E58" s="25"/>
      <c r="F58" s="25"/>
    </row>
    <row r="59" spans="1:6" x14ac:dyDescent="0.2">
      <c r="C59" s="12"/>
      <c r="E59" s="25"/>
      <c r="F59" s="25"/>
    </row>
    <row r="60" spans="1:6" x14ac:dyDescent="0.2">
      <c r="C60" s="4"/>
      <c r="E60" s="25"/>
      <c r="F60" s="25"/>
    </row>
    <row r="61" spans="1:6" x14ac:dyDescent="0.2">
      <c r="C61" s="4"/>
      <c r="E61" s="25"/>
      <c r="F61" s="25"/>
    </row>
    <row r="62" spans="1:6" x14ac:dyDescent="0.2">
      <c r="C62" s="4"/>
      <c r="E62" s="15"/>
      <c r="F62" s="15"/>
    </row>
    <row r="63" spans="1:6" x14ac:dyDescent="0.2">
      <c r="C63" s="4"/>
      <c r="E63" s="15"/>
      <c r="F63" s="15"/>
    </row>
    <row r="64" spans="1:6" x14ac:dyDescent="0.2">
      <c r="C64" s="4"/>
      <c r="E64" s="15"/>
      <c r="F64" s="15"/>
    </row>
    <row r="65" spans="1:6" x14ac:dyDescent="0.2">
      <c r="C65" s="4"/>
      <c r="E65" s="15"/>
      <c r="F65" s="15"/>
    </row>
    <row r="67" spans="1:6" x14ac:dyDescent="0.2">
      <c r="A67" s="16"/>
      <c r="C67" s="4"/>
      <c r="E67" s="15"/>
      <c r="F67" s="15"/>
    </row>
    <row r="68" spans="1:6" x14ac:dyDescent="0.2">
      <c r="C68" s="4"/>
      <c r="E68" s="15"/>
      <c r="F68" s="15"/>
    </row>
    <row r="69" spans="1:6" x14ac:dyDescent="0.2">
      <c r="C69" s="4"/>
      <c r="E69" s="15"/>
      <c r="F69" s="15"/>
    </row>
    <row r="70" spans="1:6" x14ac:dyDescent="0.2">
      <c r="C70" s="12"/>
      <c r="E70" s="15"/>
      <c r="F70" s="15"/>
    </row>
    <row r="71" spans="1:6" x14ac:dyDescent="0.2">
      <c r="C71" s="4"/>
      <c r="E71" s="15"/>
      <c r="F71" s="15"/>
    </row>
    <row r="72" spans="1:6" x14ac:dyDescent="0.2">
      <c r="C72" s="4"/>
      <c r="E72" s="15"/>
      <c r="F72" s="15"/>
    </row>
    <row r="73" spans="1:6" x14ac:dyDescent="0.2">
      <c r="C73" s="4"/>
      <c r="E73" s="15"/>
      <c r="F73" s="15"/>
    </row>
    <row r="74" spans="1:6" x14ac:dyDescent="0.2">
      <c r="C74" s="4"/>
      <c r="E74" s="15"/>
      <c r="F74" s="15"/>
    </row>
    <row r="75" spans="1:6" x14ac:dyDescent="0.2">
      <c r="C75" s="4"/>
      <c r="E75" s="15"/>
      <c r="F75" s="15"/>
    </row>
    <row r="77" spans="1:6" x14ac:dyDescent="0.2">
      <c r="C77" s="4"/>
      <c r="E77" s="15"/>
      <c r="F77" s="15"/>
    </row>
    <row r="78" spans="1:6" x14ac:dyDescent="0.2">
      <c r="C78" s="4"/>
      <c r="E78" s="15"/>
      <c r="F78" s="15"/>
    </row>
    <row r="79" spans="1:6" x14ac:dyDescent="0.2">
      <c r="C79" s="4"/>
      <c r="E79" s="15"/>
      <c r="F79" s="15"/>
    </row>
    <row r="80" spans="1:6" x14ac:dyDescent="0.2">
      <c r="C80" s="4"/>
      <c r="E80" s="15"/>
      <c r="F80" s="15"/>
    </row>
    <row r="81" spans="3:6" x14ac:dyDescent="0.2">
      <c r="C81" s="4"/>
      <c r="E81" s="15"/>
      <c r="F81" s="15"/>
    </row>
    <row r="82" spans="3:6" x14ac:dyDescent="0.2">
      <c r="C82" s="4"/>
      <c r="E82" s="15"/>
      <c r="F82" s="15"/>
    </row>
    <row r="83" spans="3:6" x14ac:dyDescent="0.2">
      <c r="C83" s="4"/>
      <c r="E83" s="15"/>
      <c r="F83" s="15"/>
    </row>
    <row r="84" spans="3:6" x14ac:dyDescent="0.2">
      <c r="C84" s="4"/>
      <c r="E84" s="15"/>
      <c r="F84" s="15"/>
    </row>
    <row r="85" spans="3:6" x14ac:dyDescent="0.2">
      <c r="C85" s="4"/>
      <c r="E85" s="15"/>
      <c r="F85" s="15"/>
    </row>
    <row r="87" spans="3:6" x14ac:dyDescent="0.2">
      <c r="C87" s="4"/>
      <c r="E87" s="15"/>
      <c r="F87" s="15"/>
    </row>
    <row r="88" spans="3:6" x14ac:dyDescent="0.2">
      <c r="C88" s="4"/>
      <c r="E88" s="15"/>
      <c r="F88" s="15"/>
    </row>
    <row r="89" spans="3:6" x14ac:dyDescent="0.2">
      <c r="C89" s="4"/>
      <c r="E89" s="15"/>
      <c r="F89" s="15"/>
    </row>
    <row r="90" spans="3:6" x14ac:dyDescent="0.2">
      <c r="C90" s="4"/>
      <c r="E90" s="15"/>
      <c r="F90" s="15"/>
    </row>
    <row r="91" spans="3:6" x14ac:dyDescent="0.2">
      <c r="C91" s="4"/>
      <c r="E91" s="15"/>
      <c r="F91" s="15"/>
    </row>
    <row r="92" spans="3:6" x14ac:dyDescent="0.2">
      <c r="C92" s="4"/>
      <c r="E92" s="15"/>
      <c r="F92" s="15"/>
    </row>
    <row r="93" spans="3:6" x14ac:dyDescent="0.2">
      <c r="C93" s="4"/>
      <c r="E93" s="15"/>
      <c r="F93" s="15"/>
    </row>
    <row r="94" spans="3:6" x14ac:dyDescent="0.2">
      <c r="C94" s="4"/>
      <c r="E94" s="15"/>
      <c r="F94" s="15"/>
    </row>
    <row r="95" spans="3:6" x14ac:dyDescent="0.2">
      <c r="C95" s="12"/>
      <c r="D95" s="11"/>
      <c r="E95" s="15"/>
      <c r="F95" s="15"/>
    </row>
    <row r="97" spans="1:6" x14ac:dyDescent="0.2">
      <c r="A97" s="16"/>
      <c r="C97" s="12"/>
      <c r="E97" s="15"/>
      <c r="F97" s="15"/>
    </row>
    <row r="98" spans="1:6" x14ac:dyDescent="0.2">
      <c r="C98" s="4"/>
      <c r="E98" s="15"/>
      <c r="F98" s="15"/>
    </row>
    <row r="99" spans="1:6" x14ac:dyDescent="0.2">
      <c r="C99" s="4"/>
      <c r="E99" s="15"/>
      <c r="F99" s="15"/>
    </row>
    <row r="100" spans="1:6" x14ac:dyDescent="0.2">
      <c r="C100" s="4"/>
      <c r="E100" s="15"/>
      <c r="F100" s="15"/>
    </row>
    <row r="101" spans="1:6" x14ac:dyDescent="0.2">
      <c r="C101" s="4"/>
      <c r="E101" s="15"/>
      <c r="F101" s="15"/>
    </row>
    <row r="102" spans="1:6" x14ac:dyDescent="0.2">
      <c r="C102" s="4"/>
      <c r="E102" s="15"/>
      <c r="F102" s="15"/>
    </row>
    <row r="103" spans="1:6" x14ac:dyDescent="0.2">
      <c r="C103" s="4"/>
      <c r="E103" s="15"/>
      <c r="F103" s="15"/>
    </row>
    <row r="104" spans="1:6" x14ac:dyDescent="0.2">
      <c r="C104" s="4"/>
      <c r="E104" s="15"/>
      <c r="F104" s="15"/>
    </row>
    <row r="105" spans="1:6" x14ac:dyDescent="0.2">
      <c r="C105" s="4"/>
      <c r="E105" s="15"/>
      <c r="F105" s="15"/>
    </row>
    <row r="107" spans="1:6" x14ac:dyDescent="0.2">
      <c r="A107" s="16"/>
      <c r="C107" s="4"/>
      <c r="E107" s="15"/>
      <c r="F107" s="15"/>
    </row>
    <row r="108" spans="1:6" x14ac:dyDescent="0.2">
      <c r="C108" s="4"/>
      <c r="E108" s="15"/>
      <c r="F108" s="15"/>
    </row>
    <row r="109" spans="1:6" x14ac:dyDescent="0.2">
      <c r="C109" s="4"/>
      <c r="E109" s="15"/>
      <c r="F109" s="15"/>
    </row>
    <row r="110" spans="1:6" x14ac:dyDescent="0.2">
      <c r="C110" s="4"/>
      <c r="E110" s="15"/>
      <c r="F110" s="15"/>
    </row>
    <row r="111" spans="1:6" x14ac:dyDescent="0.2">
      <c r="C111" s="4"/>
      <c r="E111" s="15"/>
      <c r="F111" s="15"/>
    </row>
    <row r="112" spans="1:6" x14ac:dyDescent="0.2">
      <c r="C112" s="4"/>
      <c r="E112" s="15"/>
      <c r="F112" s="15"/>
    </row>
    <row r="113" spans="1:6" x14ac:dyDescent="0.2">
      <c r="C113" s="4"/>
      <c r="E113" s="15"/>
      <c r="F113" s="15"/>
    </row>
    <row r="114" spans="1:6" x14ac:dyDescent="0.2">
      <c r="C114" s="4"/>
      <c r="E114" s="15"/>
      <c r="F114" s="15"/>
    </row>
    <row r="116" spans="1:6" x14ac:dyDescent="0.2">
      <c r="A116" s="16"/>
      <c r="C116" s="4"/>
      <c r="E116" s="15"/>
      <c r="F116" s="15"/>
    </row>
    <row r="117" spans="1:6" x14ac:dyDescent="0.2">
      <c r="C117" s="4"/>
      <c r="E117" s="15"/>
      <c r="F117" s="15"/>
    </row>
    <row r="118" spans="1:6" x14ac:dyDescent="0.2">
      <c r="C118" s="4"/>
      <c r="E118" s="15"/>
      <c r="F118" s="15"/>
    </row>
    <row r="119" spans="1:6" x14ac:dyDescent="0.2">
      <c r="C119" s="4"/>
      <c r="E119" s="15"/>
      <c r="F119" s="15"/>
    </row>
    <row r="120" spans="1:6" x14ac:dyDescent="0.2">
      <c r="C120" s="4"/>
      <c r="E120" s="15"/>
      <c r="F120" s="15"/>
    </row>
    <row r="121" spans="1:6" x14ac:dyDescent="0.2">
      <c r="C121" s="4"/>
      <c r="E121" s="15"/>
      <c r="F121" s="15"/>
    </row>
    <row r="122" spans="1:6" x14ac:dyDescent="0.2">
      <c r="C122" s="4"/>
      <c r="E122" s="15"/>
      <c r="F122" s="15"/>
    </row>
    <row r="123" spans="1:6" x14ac:dyDescent="0.2">
      <c r="C123" s="4"/>
      <c r="E123" s="15"/>
      <c r="F123" s="15"/>
    </row>
    <row r="124" spans="1:6" x14ac:dyDescent="0.2">
      <c r="C124" s="4"/>
      <c r="E124" s="15"/>
      <c r="F124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JBEDITS</vt:lpstr>
      <vt:lpstr>Project</vt:lpstr>
      <vt:lpstr>Mean CHL</vt:lpstr>
      <vt:lpstr>TSG</vt:lpstr>
      <vt:lpstr>Chl Profiles</vt:lpstr>
    </vt:vector>
  </TitlesOfParts>
  <Company>Fisheries and Oceans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Fisheries and Oceans Canada</dc:creator>
  <cp:lastModifiedBy>Bugden, Jay</cp:lastModifiedBy>
  <dcterms:created xsi:type="dcterms:W3CDTF">2009-06-01T15:20:29Z</dcterms:created>
  <dcterms:modified xsi:type="dcterms:W3CDTF">2021-11-03T12:15:00Z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2021-05-06T11:53:48Z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db50ba7c-4ddb-45f3-a9ca-000000e19f17</vt:lpwstr>
  </property>
</Properties>
</file>