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RC\2020s\2021\HUD2021185\BIOCHEM\CHN\"/>
    </mc:Choice>
  </mc:AlternateContent>
  <xr:revisionPtr revIDLastSave="0" documentId="13_ncr:1_{BD2F24E0-57E8-4959-93A8-3FA8CEC6EC2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JBEDITS" sheetId="2" r:id="rId1"/>
    <sheet name="ORIGINAL" sheetId="1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</calcChain>
</file>

<file path=xl/sharedStrings.xml><?xml version="1.0" encoding="utf-8"?>
<sst xmlns="http://schemas.openxmlformats.org/spreadsheetml/2006/main" count="22" uniqueCount="13">
  <si>
    <t>Hudson 2021-0185 Fall AZMP 2021(Sept./Oct. 2021) POC/PON</t>
  </si>
  <si>
    <t>Run January 2022</t>
  </si>
  <si>
    <t xml:space="preserve">L.S.- lost sample </t>
  </si>
  <si>
    <t>I.D.</t>
  </si>
  <si>
    <t>VOLUME(L)</t>
  </si>
  <si>
    <t>CARBON(micrograms)</t>
  </si>
  <si>
    <t>NITROGEN(micrograms)</t>
  </si>
  <si>
    <t>C/L(micrograms/litre)</t>
  </si>
  <si>
    <t>N/L(micrograms/litre)</t>
  </si>
  <si>
    <t>C/N</t>
  </si>
  <si>
    <t>HUD2021185</t>
  </si>
  <si>
    <t>POC_QC</t>
  </si>
  <si>
    <t>PON_QC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</si>
</sst>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6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4"/>
      <name val="Times New Roman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3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top"/>
    </xf>
    <xf numFmtId="3" fontId="4" fillId="2" borderId="0" applyFont="0" applyFill="0" applyBorder="0" applyAlignment="0" applyProtection="0"/>
    <xf numFmtId="164" fontId="4" fillId="2" borderId="0" applyFont="0" applyFill="0" applyBorder="0" applyAlignment="0" applyProtection="0"/>
    <xf numFmtId="0" fontId="4" fillId="2" borderId="0" applyFont="0" applyFill="0" applyBorder="0" applyAlignment="0" applyProtection="0"/>
    <xf numFmtId="2" fontId="4" fillId="2" borderId="0" applyFont="0" applyFill="0" applyBorder="0" applyAlignment="0" applyProtection="0"/>
    <xf numFmtId="0" fontId="1" fillId="2" borderId="0" applyFont="0" applyFill="0" applyBorder="0" applyAlignment="0" applyProtection="0"/>
    <xf numFmtId="0" fontId="2" fillId="2" borderId="0" applyFont="0" applyFill="0" applyBorder="0" applyAlignment="0" applyProtection="0"/>
    <xf numFmtId="0" fontId="4" fillId="2" borderId="0" applyFont="0" applyFill="0" applyBorder="0" applyAlignment="0" applyProtection="0"/>
  </cellStyleXfs>
  <cellXfs count="12">
    <xf numFmtId="0" fontId="0" fillId="2" borderId="0" xfId="0" applyFill="1" applyAlignment="1"/>
    <xf numFmtId="0" fontId="3" fillId="2" borderId="0" xfId="0" applyFont="1" applyFill="1" applyAlignment="1"/>
    <xf numFmtId="1" fontId="0" fillId="2" borderId="0" xfId="0" applyNumberFormat="1" applyFill="1" applyAlignment="1"/>
    <xf numFmtId="2" fontId="0" fillId="2" borderId="0" xfId="0" applyNumberFormat="1" applyFill="1" applyAlignment="1"/>
    <xf numFmtId="0" fontId="5" fillId="2" borderId="0" xfId="0" applyFont="1" applyFill="1" applyAlignment="1"/>
    <xf numFmtId="2" fontId="5" fillId="2" borderId="0" xfId="0" applyNumberFormat="1" applyFont="1" applyFill="1" applyAlignment="1"/>
    <xf numFmtId="2" fontId="5" fillId="3" borderId="0" xfId="0" applyNumberFormat="1" applyFont="1" applyFill="1" applyAlignment="1"/>
    <xf numFmtId="2" fontId="0" fillId="3" borderId="0" xfId="0" applyNumberFormat="1" applyFill="1" applyAlignment="1"/>
    <xf numFmtId="2" fontId="0" fillId="2" borderId="1" xfId="0" applyNumberFormat="1" applyFill="1" applyBorder="1" applyAlignment="1"/>
    <xf numFmtId="0" fontId="0" fillId="2" borderId="1" xfId="0" applyFill="1" applyBorder="1" applyAlignment="1"/>
    <xf numFmtId="0" fontId="4" fillId="2" borderId="1" xfId="0" applyFont="1" applyFill="1" applyBorder="1" applyAlignment="1"/>
    <xf numFmtId="0" fontId="0" fillId="0" borderId="1" xfId="0" applyFill="1" applyBorder="1" applyAlignment="1"/>
  </cellXfs>
  <cellStyles count="8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92"/>
  <sheetViews>
    <sheetView tabSelected="1" workbookViewId="0">
      <selection activeCell="E2" sqref="E2"/>
    </sheetView>
  </sheetViews>
  <sheetFormatPr defaultRowHeight="12.75" x14ac:dyDescent="0.2"/>
  <cols>
    <col min="1" max="1" width="11.85546875" style="9" bestFit="1" customWidth="1"/>
    <col min="2" max="2" width="11" style="9" bestFit="1" customWidth="1"/>
    <col min="3" max="3" width="20" style="9" bestFit="1" customWidth="1"/>
    <col min="4" max="4" width="20" style="9" customWidth="1"/>
    <col min="5" max="5" width="21.7109375" style="9" bestFit="1" customWidth="1"/>
    <col min="6" max="6" width="21.7109375" style="9" customWidth="1"/>
    <col min="7" max="7" width="18.5703125" style="9" bestFit="1" customWidth="1"/>
    <col min="8" max="8" width="18.5703125" style="9" customWidth="1"/>
    <col min="9" max="9" width="18.5703125" style="9" bestFit="1" customWidth="1"/>
    <col min="10" max="10" width="18.5703125" style="9" customWidth="1"/>
    <col min="11" max="11" width="12" style="9" bestFit="1" customWidth="1"/>
    <col min="12" max="53" width="9.140625" style="9"/>
    <col min="54" max="54" width="9.85546875" style="9" customWidth="1"/>
    <col min="55" max="16384" width="9.140625" style="9"/>
  </cols>
  <sheetData>
    <row r="1" spans="1:54" x14ac:dyDescent="0.2">
      <c r="A1" s="10" t="s">
        <v>10</v>
      </c>
    </row>
    <row r="2" spans="1:54" x14ac:dyDescent="0.2">
      <c r="A2" s="9" t="s">
        <v>3</v>
      </c>
      <c r="B2" s="9" t="s">
        <v>4</v>
      </c>
      <c r="C2" s="11" t="s">
        <v>5</v>
      </c>
      <c r="D2" s="10" t="s">
        <v>11</v>
      </c>
      <c r="E2" s="11" t="s">
        <v>6</v>
      </c>
      <c r="F2" s="10" t="s">
        <v>12</v>
      </c>
      <c r="G2" s="9" t="s">
        <v>7</v>
      </c>
      <c r="H2" s="10" t="s">
        <v>11</v>
      </c>
      <c r="I2" s="9" t="s">
        <v>8</v>
      </c>
      <c r="J2" s="10" t="s">
        <v>12</v>
      </c>
      <c r="K2" s="9" t="s">
        <v>9</v>
      </c>
      <c r="BA2" s="8"/>
      <c r="BB2" s="8"/>
    </row>
    <row r="3" spans="1:54" x14ac:dyDescent="0.2">
      <c r="A3" s="9">
        <v>488284</v>
      </c>
      <c r="B3" s="9">
        <v>0.75</v>
      </c>
      <c r="C3" s="9">
        <v>125.3</v>
      </c>
      <c r="E3" s="9">
        <v>16.86</v>
      </c>
      <c r="G3" s="9">
        <v>167.06666666666666</v>
      </c>
      <c r="I3" s="9">
        <v>22.48</v>
      </c>
      <c r="K3" s="9">
        <v>7.431791221826809</v>
      </c>
      <c r="BA3" s="8"/>
      <c r="BB3" s="8"/>
    </row>
    <row r="4" spans="1:54" x14ac:dyDescent="0.2">
      <c r="A4" s="9">
        <v>488284</v>
      </c>
      <c r="B4" s="9">
        <v>0.75</v>
      </c>
      <c r="C4" s="9">
        <v>109.7</v>
      </c>
      <c r="E4" s="9">
        <v>16.29</v>
      </c>
      <c r="G4" s="9">
        <v>146.26666666666668</v>
      </c>
      <c r="I4" s="9">
        <v>21.72</v>
      </c>
      <c r="K4" s="9">
        <v>6.7341927562922042</v>
      </c>
      <c r="BA4" s="8"/>
      <c r="BB4" s="8"/>
    </row>
    <row r="5" spans="1:54" x14ac:dyDescent="0.2">
      <c r="A5" s="9">
        <v>488291</v>
      </c>
      <c r="B5" s="9">
        <v>0.5</v>
      </c>
      <c r="C5" s="9">
        <v>240.4</v>
      </c>
      <c r="E5" s="9">
        <v>33.99</v>
      </c>
      <c r="G5" s="9">
        <v>480.8</v>
      </c>
      <c r="I5" s="9">
        <v>67.98</v>
      </c>
      <c r="K5" s="9">
        <v>7.0726684318917323</v>
      </c>
      <c r="BA5" s="8"/>
      <c r="BB5" s="8"/>
    </row>
    <row r="6" spans="1:54" x14ac:dyDescent="0.2">
      <c r="A6" s="9">
        <v>488291</v>
      </c>
      <c r="B6" s="9">
        <v>0.5</v>
      </c>
      <c r="C6" s="9">
        <v>229.6</v>
      </c>
      <c r="E6" s="9">
        <v>34.299999999999997</v>
      </c>
      <c r="G6" s="9">
        <v>459.2</v>
      </c>
      <c r="I6" s="9">
        <v>68.599999999999994</v>
      </c>
      <c r="K6" s="9">
        <v>6.6938775510204085</v>
      </c>
      <c r="BA6" s="8"/>
      <c r="BB6" s="8"/>
    </row>
    <row r="7" spans="1:54" x14ac:dyDescent="0.2">
      <c r="A7" s="9">
        <v>488300</v>
      </c>
      <c r="B7" s="9">
        <v>0.5</v>
      </c>
      <c r="C7" s="9">
        <v>246.3</v>
      </c>
      <c r="E7" s="9">
        <v>35.61</v>
      </c>
      <c r="G7" s="9">
        <v>492.6</v>
      </c>
      <c r="I7" s="9">
        <v>71.22</v>
      </c>
      <c r="K7" s="9">
        <v>6.9165964616680711</v>
      </c>
      <c r="BA7" s="8"/>
      <c r="BB7" s="8"/>
    </row>
    <row r="8" spans="1:54" x14ac:dyDescent="0.2">
      <c r="A8" s="9">
        <v>488300</v>
      </c>
      <c r="B8" s="9">
        <v>0.5</v>
      </c>
      <c r="C8" s="9">
        <v>226.2</v>
      </c>
      <c r="E8" s="9">
        <v>35.89</v>
      </c>
      <c r="G8" s="9">
        <v>452.4</v>
      </c>
      <c r="I8" s="9">
        <v>71.78</v>
      </c>
      <c r="K8" s="9">
        <v>6.3025912510448592</v>
      </c>
      <c r="BA8" s="8"/>
      <c r="BB8" s="8"/>
    </row>
    <row r="9" spans="1:54" x14ac:dyDescent="0.2">
      <c r="A9" s="9">
        <v>488309</v>
      </c>
      <c r="B9" s="9">
        <v>0.5</v>
      </c>
      <c r="C9" s="9">
        <v>277.2</v>
      </c>
      <c r="E9" s="9">
        <v>36.82</v>
      </c>
      <c r="G9" s="9">
        <v>554.4</v>
      </c>
      <c r="I9" s="9">
        <v>73.64</v>
      </c>
      <c r="K9" s="9">
        <v>7.5285171102661597</v>
      </c>
      <c r="BA9" s="8"/>
      <c r="BB9" s="8"/>
    </row>
    <row r="10" spans="1:54" x14ac:dyDescent="0.2">
      <c r="A10" s="9">
        <v>488309</v>
      </c>
      <c r="B10" s="9">
        <v>0.5</v>
      </c>
      <c r="C10" s="9">
        <v>266.2</v>
      </c>
      <c r="E10" s="9">
        <v>38.54</v>
      </c>
      <c r="G10" s="9">
        <v>532.4</v>
      </c>
      <c r="I10" s="9">
        <v>77.08</v>
      </c>
      <c r="K10" s="9">
        <v>6.9071094966268811</v>
      </c>
      <c r="BA10" s="8"/>
      <c r="BB10" s="8"/>
    </row>
    <row r="11" spans="1:54" x14ac:dyDescent="0.2">
      <c r="A11" s="9">
        <v>488318</v>
      </c>
      <c r="B11" s="9">
        <v>0.75</v>
      </c>
      <c r="C11" s="9">
        <v>116</v>
      </c>
      <c r="E11" s="9">
        <v>15.11</v>
      </c>
      <c r="G11" s="9">
        <v>154.66666666666666</v>
      </c>
      <c r="I11" s="9">
        <v>20.146666666666665</v>
      </c>
      <c r="K11" s="9">
        <v>7.6770350761085373</v>
      </c>
      <c r="BA11" s="8"/>
      <c r="BB11" s="8"/>
    </row>
    <row r="12" spans="1:54" x14ac:dyDescent="0.2">
      <c r="A12" s="9">
        <v>488318</v>
      </c>
      <c r="B12" s="9">
        <v>0.75</v>
      </c>
      <c r="C12" s="9">
        <v>93.48</v>
      </c>
      <c r="E12" s="9">
        <v>13.91</v>
      </c>
      <c r="G12" s="9">
        <v>124.64</v>
      </c>
      <c r="I12" s="9">
        <v>18.546666666666667</v>
      </c>
      <c r="K12" s="9">
        <v>6.7203450754852625</v>
      </c>
      <c r="BA12" s="8"/>
      <c r="BB12" s="8"/>
    </row>
    <row r="13" spans="1:54" x14ac:dyDescent="0.2">
      <c r="A13" s="9">
        <v>488329</v>
      </c>
      <c r="B13" s="9">
        <v>0.75</v>
      </c>
      <c r="C13" s="9">
        <v>100.9</v>
      </c>
      <c r="E13" s="9">
        <v>15.78</v>
      </c>
      <c r="G13" s="9">
        <v>134.53333333333333</v>
      </c>
      <c r="I13" s="9">
        <v>21.04</v>
      </c>
      <c r="K13" s="9">
        <v>6.3941698352344742</v>
      </c>
      <c r="BA13" s="8"/>
      <c r="BB13" s="8"/>
    </row>
    <row r="14" spans="1:54" x14ac:dyDescent="0.2">
      <c r="A14" s="9">
        <v>488329</v>
      </c>
      <c r="B14" s="9">
        <v>0.75</v>
      </c>
      <c r="C14" s="9">
        <v>105.7</v>
      </c>
      <c r="E14" s="9">
        <v>18.809999999999999</v>
      </c>
      <c r="G14" s="9">
        <v>140.93333333333334</v>
      </c>
      <c r="I14" s="9">
        <v>25.08</v>
      </c>
      <c r="K14" s="9">
        <v>5.6193514088250938</v>
      </c>
      <c r="BA14" s="8"/>
      <c r="BB14" s="8"/>
    </row>
    <row r="15" spans="1:54" x14ac:dyDescent="0.2">
      <c r="A15" s="9">
        <v>488344</v>
      </c>
      <c r="B15" s="9">
        <v>1</v>
      </c>
      <c r="C15" s="9">
        <v>206.4</v>
      </c>
      <c r="E15" s="9">
        <v>31.56</v>
      </c>
      <c r="G15" s="9">
        <v>206.4</v>
      </c>
      <c r="I15" s="9">
        <v>31.56</v>
      </c>
      <c r="K15" s="9">
        <v>6.5399239543726244</v>
      </c>
      <c r="BA15" s="8"/>
      <c r="BB15" s="8"/>
    </row>
    <row r="16" spans="1:54" x14ac:dyDescent="0.2">
      <c r="A16" s="9">
        <v>488344</v>
      </c>
      <c r="B16" s="9">
        <v>1</v>
      </c>
      <c r="C16" s="9">
        <v>192.8</v>
      </c>
      <c r="E16" s="9">
        <v>32.18</v>
      </c>
      <c r="G16" s="9">
        <v>192.8</v>
      </c>
      <c r="I16" s="9">
        <v>32.18</v>
      </c>
      <c r="K16" s="9">
        <v>5.991298943443133</v>
      </c>
      <c r="BA16" s="8"/>
      <c r="BB16" s="8"/>
    </row>
    <row r="17" spans="1:54" x14ac:dyDescent="0.2">
      <c r="A17" s="9">
        <v>488360</v>
      </c>
      <c r="B17" s="9">
        <v>1</v>
      </c>
      <c r="C17" s="9">
        <v>64.94</v>
      </c>
      <c r="E17" s="9">
        <v>8.6300000000000008</v>
      </c>
      <c r="G17" s="9">
        <v>64.94</v>
      </c>
      <c r="I17" s="9">
        <v>8.6300000000000008</v>
      </c>
      <c r="K17" s="9">
        <v>7.5249130938586317</v>
      </c>
      <c r="BA17" s="8"/>
      <c r="BB17" s="8"/>
    </row>
    <row r="18" spans="1:54" x14ac:dyDescent="0.2">
      <c r="A18" s="9">
        <v>488360</v>
      </c>
      <c r="B18" s="9">
        <v>1</v>
      </c>
      <c r="C18" s="9">
        <v>55.16</v>
      </c>
      <c r="E18" s="9">
        <v>10.07</v>
      </c>
      <c r="G18" s="9">
        <v>55.16</v>
      </c>
      <c r="I18" s="9">
        <v>10.07</v>
      </c>
      <c r="K18" s="9">
        <v>5.4776564051638523</v>
      </c>
      <c r="BA18" s="8"/>
      <c r="BB18" s="8"/>
    </row>
    <row r="19" spans="1:54" x14ac:dyDescent="0.2">
      <c r="A19" s="9">
        <v>488369</v>
      </c>
      <c r="B19" s="9">
        <v>1</v>
      </c>
      <c r="C19" s="9">
        <v>335.2</v>
      </c>
      <c r="E19" s="9">
        <v>41.54</v>
      </c>
      <c r="G19" s="9">
        <v>335.2</v>
      </c>
      <c r="I19" s="9">
        <v>41.54</v>
      </c>
      <c r="K19" s="9">
        <v>8.0693307655272033</v>
      </c>
      <c r="BA19" s="8"/>
      <c r="BB19" s="8"/>
    </row>
    <row r="20" spans="1:54" x14ac:dyDescent="0.2">
      <c r="A20" s="9">
        <v>488369</v>
      </c>
      <c r="B20" s="9">
        <v>1</v>
      </c>
      <c r="C20" s="9">
        <v>321.10000000000002</v>
      </c>
      <c r="E20" s="9">
        <v>45.69</v>
      </c>
      <c r="G20" s="9">
        <v>321.10000000000002</v>
      </c>
      <c r="I20" s="9">
        <v>45.69</v>
      </c>
      <c r="K20" s="9">
        <v>7.0277960166338378</v>
      </c>
      <c r="BA20" s="8"/>
      <c r="BB20" s="8"/>
    </row>
    <row r="21" spans="1:54" x14ac:dyDescent="0.2">
      <c r="A21" s="9">
        <v>488382</v>
      </c>
      <c r="B21" s="9">
        <v>1</v>
      </c>
      <c r="C21" s="9">
        <v>255</v>
      </c>
      <c r="E21" s="9">
        <v>35.880000000000003</v>
      </c>
      <c r="G21" s="9">
        <v>255</v>
      </c>
      <c r="I21" s="9">
        <v>35.880000000000003</v>
      </c>
      <c r="K21" s="9">
        <v>7.1070234113712374</v>
      </c>
      <c r="BA21" s="8"/>
      <c r="BB21" s="8"/>
    </row>
    <row r="22" spans="1:54" x14ac:dyDescent="0.2">
      <c r="A22" s="9">
        <v>488382</v>
      </c>
      <c r="B22" s="9">
        <v>1</v>
      </c>
      <c r="C22" s="9">
        <v>235</v>
      </c>
      <c r="E22" s="9">
        <v>34.83</v>
      </c>
      <c r="G22" s="9">
        <v>235</v>
      </c>
      <c r="I22" s="9">
        <v>34.83</v>
      </c>
      <c r="K22" s="9">
        <v>6.7470571346540344</v>
      </c>
      <c r="BA22" s="8"/>
      <c r="BB22" s="8"/>
    </row>
    <row r="23" spans="1:54" x14ac:dyDescent="0.2">
      <c r="A23" s="9">
        <v>488394</v>
      </c>
      <c r="B23" s="9">
        <v>0.75</v>
      </c>
      <c r="C23" s="9">
        <v>160.6</v>
      </c>
      <c r="E23" s="9">
        <v>25.76</v>
      </c>
      <c r="G23" s="9">
        <v>214.13333333333333</v>
      </c>
      <c r="I23" s="9">
        <v>34.346666666666671</v>
      </c>
      <c r="K23" s="9">
        <v>6.2344720496894404</v>
      </c>
      <c r="BA23" s="8"/>
      <c r="BB23" s="8"/>
    </row>
    <row r="24" spans="1:54" x14ac:dyDescent="0.2">
      <c r="A24" s="9">
        <v>488394</v>
      </c>
      <c r="B24" s="9">
        <v>0.75</v>
      </c>
      <c r="C24" s="9">
        <v>133.80000000000001</v>
      </c>
      <c r="E24" s="9">
        <v>19.34</v>
      </c>
      <c r="G24" s="9">
        <v>178.4</v>
      </c>
      <c r="I24" s="9">
        <v>25.786666666666665</v>
      </c>
      <c r="K24" s="9">
        <v>6.9183040330920376</v>
      </c>
      <c r="BA24" s="8"/>
      <c r="BB24" s="8"/>
    </row>
    <row r="25" spans="1:54" x14ac:dyDescent="0.2">
      <c r="A25" s="9">
        <v>488408</v>
      </c>
      <c r="B25" s="9">
        <v>0.75</v>
      </c>
      <c r="C25" s="9">
        <v>206.4</v>
      </c>
      <c r="E25" s="9">
        <v>26.71</v>
      </c>
      <c r="G25" s="9">
        <v>275.2</v>
      </c>
      <c r="I25" s="9">
        <v>35.613333333333337</v>
      </c>
      <c r="K25" s="9">
        <v>7.727442905278922</v>
      </c>
      <c r="BA25" s="8"/>
      <c r="BB25" s="8"/>
    </row>
    <row r="26" spans="1:54" x14ac:dyDescent="0.2">
      <c r="A26" s="9">
        <v>488408</v>
      </c>
      <c r="B26" s="9">
        <v>0.75</v>
      </c>
      <c r="C26" s="9">
        <v>146.1</v>
      </c>
      <c r="E26" s="9">
        <v>23.57</v>
      </c>
      <c r="G26" s="9">
        <v>194.79999999999998</v>
      </c>
      <c r="I26" s="9">
        <v>31.426666666666666</v>
      </c>
      <c r="K26" s="9">
        <v>6.198557488332626</v>
      </c>
      <c r="BA26" s="8"/>
      <c r="BB26" s="8"/>
    </row>
    <row r="27" spans="1:54" x14ac:dyDescent="0.2">
      <c r="A27" s="9">
        <v>488430</v>
      </c>
      <c r="B27" s="9">
        <v>0.75</v>
      </c>
      <c r="C27" s="9">
        <v>93.45</v>
      </c>
      <c r="E27" s="9">
        <v>14.16</v>
      </c>
      <c r="G27" s="9">
        <v>124.60000000000001</v>
      </c>
      <c r="I27" s="9">
        <v>18.88</v>
      </c>
      <c r="K27" s="9">
        <v>6.5995762711864412</v>
      </c>
      <c r="BA27" s="8"/>
      <c r="BB27" s="8"/>
    </row>
    <row r="28" spans="1:54" x14ac:dyDescent="0.2">
      <c r="A28" s="9">
        <v>488430</v>
      </c>
      <c r="B28" s="9">
        <v>0.75</v>
      </c>
      <c r="C28" s="9">
        <v>105.7</v>
      </c>
      <c r="E28" s="9">
        <v>14.57</v>
      </c>
      <c r="G28" s="9">
        <v>140.93333333333334</v>
      </c>
      <c r="I28" s="9">
        <v>19.426666666666666</v>
      </c>
      <c r="K28" s="9">
        <v>7.2546328071379547</v>
      </c>
      <c r="BA28" s="8"/>
      <c r="BB28" s="8"/>
    </row>
    <row r="29" spans="1:54" x14ac:dyDescent="0.2">
      <c r="A29" s="9">
        <v>488490</v>
      </c>
      <c r="B29" s="9">
        <v>1</v>
      </c>
      <c r="C29" s="9">
        <v>223.7</v>
      </c>
      <c r="E29" s="9">
        <v>30.75</v>
      </c>
      <c r="G29" s="9">
        <v>223.7</v>
      </c>
      <c r="I29" s="9">
        <v>30.75</v>
      </c>
      <c r="K29" s="9">
        <v>7.2747967479674793</v>
      </c>
      <c r="BA29" s="8"/>
      <c r="BB29" s="8"/>
    </row>
    <row r="30" spans="1:54" x14ac:dyDescent="0.2">
      <c r="A30" s="9">
        <v>488490</v>
      </c>
      <c r="B30" s="9">
        <v>1</v>
      </c>
      <c r="C30" s="9">
        <v>227.1</v>
      </c>
      <c r="E30" s="9">
        <v>28.74</v>
      </c>
      <c r="G30" s="9">
        <v>227.1</v>
      </c>
      <c r="I30" s="9">
        <v>28.74</v>
      </c>
      <c r="K30" s="9">
        <v>7.9018789144050103</v>
      </c>
      <c r="BA30" s="8"/>
      <c r="BB30" s="8"/>
    </row>
    <row r="31" spans="1:54" x14ac:dyDescent="0.2">
      <c r="A31" s="9">
        <v>488502</v>
      </c>
      <c r="B31" s="9">
        <v>0.75</v>
      </c>
      <c r="C31" s="9">
        <v>174.3</v>
      </c>
      <c r="E31" s="9">
        <v>22.66</v>
      </c>
      <c r="G31" s="9">
        <v>232.4</v>
      </c>
      <c r="I31" s="9">
        <v>30.213333333333335</v>
      </c>
      <c r="K31" s="9">
        <v>7.6919682259488091</v>
      </c>
      <c r="BA31" s="8"/>
      <c r="BB31" s="8"/>
    </row>
    <row r="32" spans="1:54" x14ac:dyDescent="0.2">
      <c r="A32" s="9">
        <v>488502</v>
      </c>
      <c r="B32" s="9">
        <v>0.75</v>
      </c>
      <c r="C32" s="9">
        <v>181.4</v>
      </c>
      <c r="E32" s="9">
        <v>24.37</v>
      </c>
      <c r="G32" s="9">
        <v>241.86666666666667</v>
      </c>
      <c r="I32" s="9">
        <v>32.493333333333332</v>
      </c>
      <c r="K32" s="9">
        <v>7.4435781698810013</v>
      </c>
      <c r="BA32" s="8"/>
      <c r="BB32" s="8"/>
    </row>
    <row r="33" spans="1:54" x14ac:dyDescent="0.2">
      <c r="A33" s="9">
        <v>488514</v>
      </c>
      <c r="B33" s="9">
        <v>0.75</v>
      </c>
      <c r="C33" s="9">
        <v>217.7</v>
      </c>
      <c r="E33" s="9">
        <v>27.79</v>
      </c>
      <c r="G33" s="9">
        <v>290.26666666666665</v>
      </c>
      <c r="I33" s="9">
        <v>37.053333333333335</v>
      </c>
      <c r="K33" s="9">
        <v>7.8337531486146093</v>
      </c>
      <c r="BA33" s="8"/>
      <c r="BB33" s="8"/>
    </row>
    <row r="34" spans="1:54" x14ac:dyDescent="0.2">
      <c r="A34" s="9">
        <v>488514</v>
      </c>
      <c r="B34" s="9">
        <v>0.75</v>
      </c>
      <c r="C34" s="9">
        <v>239.9</v>
      </c>
      <c r="E34" s="9">
        <v>29.4</v>
      </c>
      <c r="G34" s="9">
        <v>319.86666666666667</v>
      </c>
      <c r="I34" s="9">
        <v>39.199999999999996</v>
      </c>
      <c r="K34" s="9">
        <v>8.1598639455782322</v>
      </c>
      <c r="BA34" s="8"/>
      <c r="BB34" s="8"/>
    </row>
    <row r="35" spans="1:54" x14ac:dyDescent="0.2">
      <c r="A35" s="9">
        <v>488525</v>
      </c>
      <c r="B35" s="9">
        <v>0.75</v>
      </c>
      <c r="C35" s="9">
        <v>296.2</v>
      </c>
      <c r="E35" s="9">
        <v>41.14</v>
      </c>
      <c r="G35" s="9">
        <v>394.93333333333334</v>
      </c>
      <c r="I35" s="9">
        <v>54.853333333333332</v>
      </c>
      <c r="K35" s="9">
        <v>7.1998055420515312</v>
      </c>
      <c r="BA35" s="8"/>
      <c r="BB35" s="8"/>
    </row>
    <row r="36" spans="1:54" x14ac:dyDescent="0.2">
      <c r="A36" s="9">
        <v>488525</v>
      </c>
      <c r="B36" s="9">
        <v>0.75</v>
      </c>
      <c r="C36" s="9">
        <v>292.60000000000002</v>
      </c>
      <c r="E36" s="9">
        <v>39.07</v>
      </c>
      <c r="G36" s="9">
        <v>390.13333333333338</v>
      </c>
      <c r="I36" s="9">
        <v>52.093333333333334</v>
      </c>
      <c r="K36" s="9">
        <v>7.4891220885589975</v>
      </c>
      <c r="BA36" s="8"/>
      <c r="BB36" s="8"/>
    </row>
    <row r="37" spans="1:54" x14ac:dyDescent="0.2">
      <c r="A37" s="9">
        <v>488535</v>
      </c>
      <c r="B37" s="9">
        <v>0.75</v>
      </c>
      <c r="C37" s="9">
        <v>288.3</v>
      </c>
      <c r="E37" s="9">
        <v>42.35</v>
      </c>
      <c r="G37" s="9">
        <v>384.40000000000003</v>
      </c>
      <c r="I37" s="9">
        <v>56.466666666666669</v>
      </c>
      <c r="K37" s="9">
        <v>6.8075560802833532</v>
      </c>
      <c r="BA37" s="8"/>
      <c r="BB37" s="8"/>
    </row>
    <row r="38" spans="1:54" x14ac:dyDescent="0.2">
      <c r="A38" s="9">
        <v>488535</v>
      </c>
      <c r="B38" s="9">
        <v>0.75</v>
      </c>
      <c r="C38" s="9">
        <v>257.2</v>
      </c>
      <c r="E38" s="9">
        <v>33.909999999999997</v>
      </c>
      <c r="G38" s="9">
        <v>342.93333333333334</v>
      </c>
      <c r="I38" s="9">
        <v>45.213333333333331</v>
      </c>
      <c r="K38" s="9">
        <v>7.5847832497788268</v>
      </c>
      <c r="BA38" s="8"/>
      <c r="BB38" s="8"/>
    </row>
    <row r="39" spans="1:54" x14ac:dyDescent="0.2">
      <c r="A39" s="9">
        <v>488546</v>
      </c>
      <c r="B39" s="9">
        <v>0.75</v>
      </c>
      <c r="C39" s="9">
        <v>229.3</v>
      </c>
      <c r="E39" s="9">
        <v>31.29</v>
      </c>
      <c r="G39" s="9">
        <v>305.73333333333335</v>
      </c>
      <c r="I39" s="9">
        <v>41.72</v>
      </c>
      <c r="K39" s="9">
        <v>7.3282198785554495</v>
      </c>
      <c r="BA39" s="8"/>
      <c r="BB39" s="8"/>
    </row>
    <row r="40" spans="1:54" x14ac:dyDescent="0.2">
      <c r="A40" s="9">
        <v>488546</v>
      </c>
      <c r="B40" s="9">
        <v>0.75</v>
      </c>
      <c r="C40" s="9">
        <v>233.8</v>
      </c>
      <c r="E40" s="9">
        <v>30.99</v>
      </c>
      <c r="G40" s="9">
        <v>311.73333333333335</v>
      </c>
      <c r="I40" s="9">
        <v>41.32</v>
      </c>
      <c r="K40" s="9">
        <v>7.5443691513391427</v>
      </c>
      <c r="BA40" s="8"/>
      <c r="BB40" s="8"/>
    </row>
    <row r="41" spans="1:54" x14ac:dyDescent="0.2">
      <c r="A41" s="9">
        <v>488557</v>
      </c>
      <c r="B41" s="9">
        <v>1</v>
      </c>
      <c r="C41" s="9">
        <v>231.6</v>
      </c>
      <c r="E41" s="9">
        <v>34.130000000000003</v>
      </c>
      <c r="G41" s="9">
        <v>231.6</v>
      </c>
      <c r="I41" s="9">
        <v>34.130000000000003</v>
      </c>
      <c r="K41" s="9">
        <v>6.7858189276296503</v>
      </c>
      <c r="BA41" s="8"/>
      <c r="BB41" s="8"/>
    </row>
    <row r="42" spans="1:54" x14ac:dyDescent="0.2">
      <c r="A42" s="9">
        <v>488557</v>
      </c>
      <c r="B42" s="9">
        <v>1</v>
      </c>
      <c r="C42" s="9">
        <v>244</v>
      </c>
      <c r="E42" s="9">
        <v>34.57</v>
      </c>
      <c r="G42" s="9">
        <v>244</v>
      </c>
      <c r="I42" s="9">
        <v>34.57</v>
      </c>
      <c r="K42" s="9">
        <v>7.0581428984668788</v>
      </c>
      <c r="BA42" s="8"/>
      <c r="BB42" s="8"/>
    </row>
    <row r="43" spans="1:54" x14ac:dyDescent="0.2">
      <c r="A43" s="9">
        <v>488567</v>
      </c>
      <c r="B43" s="9">
        <v>1</v>
      </c>
      <c r="C43" s="9">
        <v>118.7</v>
      </c>
      <c r="E43" s="9">
        <v>17.8</v>
      </c>
      <c r="G43" s="9">
        <v>118.7</v>
      </c>
      <c r="I43" s="9">
        <v>17.8</v>
      </c>
      <c r="K43" s="9">
        <v>6.6685393258426968</v>
      </c>
      <c r="BA43" s="8"/>
      <c r="BB43" s="8"/>
    </row>
    <row r="44" spans="1:54" x14ac:dyDescent="0.2">
      <c r="A44" s="9">
        <v>488567</v>
      </c>
      <c r="B44" s="9">
        <v>1</v>
      </c>
      <c r="C44" s="9">
        <v>121.1</v>
      </c>
      <c r="E44" s="9">
        <v>16.559999999999999</v>
      </c>
      <c r="G44" s="9">
        <v>121.1</v>
      </c>
      <c r="I44" s="9">
        <v>16.559999999999999</v>
      </c>
      <c r="K44" s="9">
        <v>7.31280193236715</v>
      </c>
      <c r="BA44" s="8"/>
      <c r="BB44" s="8"/>
    </row>
    <row r="45" spans="1:54" x14ac:dyDescent="0.2">
      <c r="A45" s="9">
        <v>488577</v>
      </c>
      <c r="B45" s="9">
        <v>0.75</v>
      </c>
      <c r="C45" s="9">
        <v>290.2</v>
      </c>
      <c r="E45" s="9">
        <v>36.28</v>
      </c>
      <c r="G45" s="9">
        <v>386.93333333333334</v>
      </c>
      <c r="I45" s="9">
        <v>48.373333333333335</v>
      </c>
      <c r="K45" s="9">
        <v>7.9988974641675847</v>
      </c>
      <c r="BA45" s="8"/>
      <c r="BB45" s="8"/>
    </row>
    <row r="46" spans="1:54" x14ac:dyDescent="0.2">
      <c r="A46" s="9">
        <v>488577</v>
      </c>
      <c r="B46" s="9">
        <v>0.75</v>
      </c>
      <c r="C46" s="9">
        <v>274.2</v>
      </c>
      <c r="E46" s="9">
        <v>32.58</v>
      </c>
      <c r="G46" s="9">
        <v>365.59999999999997</v>
      </c>
      <c r="I46" s="9">
        <v>43.44</v>
      </c>
      <c r="K46" s="9">
        <v>8.4162062615101298</v>
      </c>
      <c r="BA46" s="8"/>
      <c r="BB46" s="8"/>
    </row>
    <row r="47" spans="1:54" x14ac:dyDescent="0.2">
      <c r="A47" s="9">
        <v>488586</v>
      </c>
      <c r="B47" s="9">
        <v>0.25</v>
      </c>
      <c r="C47" s="9">
        <v>114.3</v>
      </c>
      <c r="E47" s="9">
        <v>13.76</v>
      </c>
      <c r="G47" s="9">
        <v>457.2</v>
      </c>
      <c r="I47" s="9">
        <v>55.04</v>
      </c>
      <c r="K47" s="9">
        <v>8.3066860465116275</v>
      </c>
      <c r="BA47" s="8"/>
      <c r="BB47" s="8"/>
    </row>
    <row r="48" spans="1:54" x14ac:dyDescent="0.2">
      <c r="A48" s="9">
        <v>488586</v>
      </c>
      <c r="B48" s="9">
        <v>0.25</v>
      </c>
      <c r="C48" s="9">
        <v>133.5</v>
      </c>
      <c r="E48" s="9">
        <v>17.75</v>
      </c>
      <c r="G48" s="9">
        <v>534</v>
      </c>
      <c r="I48" s="9">
        <v>71</v>
      </c>
      <c r="K48" s="9">
        <v>7.52112676056338</v>
      </c>
      <c r="BA48" s="8"/>
      <c r="BB48" s="8"/>
    </row>
    <row r="49" spans="1:54" x14ac:dyDescent="0.2">
      <c r="A49" s="9">
        <v>488595</v>
      </c>
      <c r="B49" s="9">
        <v>0.5</v>
      </c>
      <c r="C49" s="9">
        <v>139.1</v>
      </c>
      <c r="E49" s="9">
        <v>20.77</v>
      </c>
      <c r="G49" s="9">
        <v>278.2</v>
      </c>
      <c r="I49" s="9">
        <v>41.54</v>
      </c>
      <c r="K49" s="9">
        <v>6.6971593644679821</v>
      </c>
      <c r="BA49" s="8"/>
      <c r="BB49" s="8"/>
    </row>
    <row r="50" spans="1:54" x14ac:dyDescent="0.2">
      <c r="A50" s="9">
        <v>488595</v>
      </c>
      <c r="B50" s="9">
        <v>0.5</v>
      </c>
      <c r="C50" s="9">
        <v>147.5</v>
      </c>
      <c r="E50" s="9">
        <v>20.93</v>
      </c>
      <c r="G50" s="9">
        <v>295</v>
      </c>
      <c r="I50" s="9">
        <v>41.86</v>
      </c>
      <c r="K50" s="9">
        <v>7.0473005255613952</v>
      </c>
      <c r="BA50" s="8"/>
      <c r="BB50" s="8"/>
    </row>
    <row r="51" spans="1:54" x14ac:dyDescent="0.2">
      <c r="A51" s="9">
        <v>488605</v>
      </c>
      <c r="B51" s="9">
        <v>1</v>
      </c>
      <c r="C51" s="9">
        <v>122.3</v>
      </c>
      <c r="E51" s="9">
        <v>17.5</v>
      </c>
      <c r="G51" s="9">
        <v>122.3</v>
      </c>
      <c r="I51" s="9">
        <v>17.5</v>
      </c>
      <c r="K51" s="9">
        <v>6.9885714285714284</v>
      </c>
      <c r="BA51" s="8"/>
      <c r="BB51" s="8"/>
    </row>
    <row r="52" spans="1:54" x14ac:dyDescent="0.2">
      <c r="A52" s="9">
        <v>488605</v>
      </c>
      <c r="B52" s="9">
        <v>1</v>
      </c>
      <c r="C52" s="9">
        <v>314.8</v>
      </c>
      <c r="E52" s="9">
        <v>56.34</v>
      </c>
      <c r="G52" s="9">
        <v>314.8</v>
      </c>
      <c r="I52" s="9">
        <v>56.34</v>
      </c>
      <c r="K52" s="9">
        <v>5.5875044373446929</v>
      </c>
      <c r="BA52" s="8"/>
      <c r="BB52" s="8"/>
    </row>
    <row r="53" spans="1:54" x14ac:dyDescent="0.2">
      <c r="A53" s="9">
        <v>488615</v>
      </c>
      <c r="B53" s="9">
        <v>0.75</v>
      </c>
      <c r="C53" s="9">
        <v>162.5</v>
      </c>
      <c r="E53" s="9">
        <v>24.91</v>
      </c>
      <c r="G53" s="9">
        <v>216.66666666666666</v>
      </c>
      <c r="I53" s="9">
        <v>33.213333333333331</v>
      </c>
      <c r="K53" s="9">
        <v>6.5234845443596949</v>
      </c>
      <c r="BA53" s="8"/>
      <c r="BB53" s="8"/>
    </row>
    <row r="54" spans="1:54" x14ac:dyDescent="0.2">
      <c r="A54" s="9">
        <v>488615</v>
      </c>
      <c r="B54" s="9">
        <v>0.75</v>
      </c>
      <c r="C54" s="9">
        <v>163.4</v>
      </c>
      <c r="E54" s="9">
        <v>24.79</v>
      </c>
      <c r="G54" s="9">
        <v>217.86666666666667</v>
      </c>
      <c r="I54" s="9">
        <v>33.053333333333335</v>
      </c>
      <c r="K54" s="9">
        <v>6.5913674868898751</v>
      </c>
      <c r="BA54" s="8"/>
      <c r="BB54" s="8"/>
    </row>
    <row r="55" spans="1:54" x14ac:dyDescent="0.2">
      <c r="A55" s="9">
        <v>488625</v>
      </c>
      <c r="B55" s="9">
        <v>0.5</v>
      </c>
      <c r="C55" s="9">
        <v>275</v>
      </c>
      <c r="E55" s="9">
        <v>38.78</v>
      </c>
      <c r="G55" s="9">
        <v>550</v>
      </c>
      <c r="I55" s="9">
        <v>77.56</v>
      </c>
      <c r="K55" s="9">
        <v>7.0912841670964415</v>
      </c>
      <c r="BA55" s="8"/>
      <c r="BB55" s="8"/>
    </row>
    <row r="56" spans="1:54" x14ac:dyDescent="0.2">
      <c r="A56" s="9">
        <v>488625</v>
      </c>
      <c r="B56" s="9">
        <v>0.5</v>
      </c>
      <c r="C56" s="9">
        <v>271.5</v>
      </c>
      <c r="E56" s="9">
        <v>39.24</v>
      </c>
      <c r="G56" s="9">
        <v>543</v>
      </c>
      <c r="I56" s="9">
        <v>78.48</v>
      </c>
      <c r="K56" s="9">
        <v>6.9189602446483178</v>
      </c>
      <c r="BA56" s="8"/>
      <c r="BB56" s="8"/>
    </row>
    <row r="57" spans="1:54" x14ac:dyDescent="0.2">
      <c r="A57" s="9">
        <v>488636</v>
      </c>
      <c r="B57" s="9">
        <v>1</v>
      </c>
      <c r="C57" s="9">
        <v>123.5</v>
      </c>
      <c r="E57" s="9">
        <v>19.79</v>
      </c>
      <c r="G57" s="9">
        <v>123.5</v>
      </c>
      <c r="I57" s="9">
        <v>19.79</v>
      </c>
      <c r="K57" s="9">
        <v>6.2405255179383525</v>
      </c>
      <c r="BA57" s="8"/>
      <c r="BB57" s="8"/>
    </row>
    <row r="58" spans="1:54" x14ac:dyDescent="0.2">
      <c r="A58" s="9">
        <v>488636</v>
      </c>
      <c r="B58" s="9">
        <v>1</v>
      </c>
      <c r="C58" s="9">
        <v>132.19999999999999</v>
      </c>
      <c r="E58" s="9">
        <v>21.74</v>
      </c>
      <c r="G58" s="9">
        <v>132.19999999999999</v>
      </c>
      <c r="I58" s="9">
        <v>21.74</v>
      </c>
      <c r="K58" s="9">
        <v>6.0809567617295306</v>
      </c>
      <c r="BA58" s="8"/>
      <c r="BB58" s="8"/>
    </row>
    <row r="59" spans="1:54" x14ac:dyDescent="0.2">
      <c r="A59" s="9">
        <v>488647</v>
      </c>
      <c r="B59" s="9">
        <v>1</v>
      </c>
      <c r="C59" s="9">
        <v>218</v>
      </c>
      <c r="E59" s="9">
        <v>26.26</v>
      </c>
      <c r="G59" s="9">
        <v>218</v>
      </c>
      <c r="I59" s="9">
        <v>26.26</v>
      </c>
      <c r="K59" s="9">
        <v>8.3015993907083008</v>
      </c>
      <c r="BA59" s="8"/>
      <c r="BB59" s="8"/>
    </row>
    <row r="60" spans="1:54" x14ac:dyDescent="0.2">
      <c r="A60" s="9">
        <v>488647</v>
      </c>
      <c r="B60" s="9">
        <v>1</v>
      </c>
      <c r="C60" s="9">
        <v>218.4</v>
      </c>
      <c r="E60" s="9">
        <v>30.09</v>
      </c>
      <c r="G60" s="9">
        <v>218.4</v>
      </c>
      <c r="I60" s="9">
        <v>30.09</v>
      </c>
      <c r="K60" s="9">
        <v>7.2582253240279169</v>
      </c>
      <c r="BA60" s="8"/>
      <c r="BB60" s="8"/>
    </row>
    <row r="61" spans="1:54" x14ac:dyDescent="0.2">
      <c r="A61" s="9">
        <v>488658</v>
      </c>
      <c r="B61" s="9">
        <v>0.75</v>
      </c>
      <c r="C61" s="9">
        <v>296.10000000000002</v>
      </c>
      <c r="E61" s="9">
        <v>42.28</v>
      </c>
      <c r="G61" s="9">
        <v>394.8</v>
      </c>
      <c r="I61" s="9">
        <v>56.373333333333335</v>
      </c>
      <c r="K61" s="9">
        <v>7.0033112582781456</v>
      </c>
    </row>
    <row r="62" spans="1:54" x14ac:dyDescent="0.2">
      <c r="A62" s="9">
        <v>488658</v>
      </c>
      <c r="B62" s="9">
        <v>0.75</v>
      </c>
      <c r="C62" s="9">
        <v>292.3</v>
      </c>
      <c r="E62" s="9">
        <v>41.75</v>
      </c>
      <c r="G62" s="9">
        <v>389.73333333333335</v>
      </c>
      <c r="I62" s="9">
        <v>55.666666666666664</v>
      </c>
      <c r="K62" s="9">
        <v>7.0011976047904199</v>
      </c>
    </row>
    <row r="63" spans="1:54" x14ac:dyDescent="0.2">
      <c r="A63" s="9">
        <v>488668</v>
      </c>
      <c r="B63" s="9">
        <v>0.75</v>
      </c>
      <c r="C63" s="9">
        <v>202.4</v>
      </c>
      <c r="E63" s="9">
        <v>32.32</v>
      </c>
      <c r="G63" s="9">
        <v>269.86666666666667</v>
      </c>
      <c r="I63" s="9">
        <v>43.093333333333334</v>
      </c>
      <c r="K63" s="9">
        <v>6.2623762376237622</v>
      </c>
    </row>
    <row r="64" spans="1:54" x14ac:dyDescent="0.2">
      <c r="A64" s="9">
        <v>488668</v>
      </c>
      <c r="B64" s="9">
        <v>0.75</v>
      </c>
      <c r="C64" s="9">
        <v>210.2</v>
      </c>
      <c r="E64" s="9">
        <v>35.39</v>
      </c>
      <c r="G64" s="9">
        <v>280.26666666666665</v>
      </c>
      <c r="I64" s="9">
        <v>47.186666666666667</v>
      </c>
      <c r="K64" s="9">
        <v>5.9395309409437687</v>
      </c>
    </row>
    <row r="65" spans="1:11" x14ac:dyDescent="0.2">
      <c r="A65" s="9">
        <v>488676</v>
      </c>
      <c r="B65" s="9">
        <v>1</v>
      </c>
      <c r="C65" s="9">
        <v>168</v>
      </c>
      <c r="E65" s="9">
        <v>23.83</v>
      </c>
      <c r="G65" s="9">
        <v>168</v>
      </c>
      <c r="I65" s="9">
        <v>23.83</v>
      </c>
      <c r="K65" s="9">
        <v>7.0499370541334461</v>
      </c>
    </row>
    <row r="66" spans="1:11" x14ac:dyDescent="0.2">
      <c r="A66" s="9">
        <v>488676</v>
      </c>
      <c r="B66" s="9">
        <v>1</v>
      </c>
      <c r="C66" s="9">
        <v>181</v>
      </c>
      <c r="E66" s="9">
        <v>28.9</v>
      </c>
      <c r="G66" s="9">
        <v>181</v>
      </c>
      <c r="I66" s="9">
        <v>28.9</v>
      </c>
      <c r="K66" s="9">
        <v>6.2629757785467133</v>
      </c>
    </row>
    <row r="67" spans="1:11" x14ac:dyDescent="0.2">
      <c r="A67" s="9">
        <v>488684</v>
      </c>
      <c r="B67" s="9">
        <v>1</v>
      </c>
      <c r="C67" s="9">
        <v>104.7</v>
      </c>
      <c r="E67" s="9">
        <v>13.47</v>
      </c>
      <c r="G67" s="9">
        <v>104.7</v>
      </c>
      <c r="I67" s="9">
        <v>13.47</v>
      </c>
      <c r="K67" s="9">
        <v>7.7728285077950998</v>
      </c>
    </row>
    <row r="68" spans="1:11" x14ac:dyDescent="0.2">
      <c r="A68" s="9">
        <v>488684</v>
      </c>
      <c r="B68" s="9">
        <v>1</v>
      </c>
      <c r="C68" s="9">
        <v>116.2</v>
      </c>
      <c r="E68" s="9">
        <v>17.23</v>
      </c>
      <c r="G68" s="9">
        <v>116.2</v>
      </c>
      <c r="I68" s="9">
        <v>17.23</v>
      </c>
      <c r="K68" s="9">
        <v>6.7440510737086479</v>
      </c>
    </row>
    <row r="69" spans="1:11" x14ac:dyDescent="0.2">
      <c r="A69" s="9">
        <v>488694</v>
      </c>
      <c r="B69" s="9">
        <v>1</v>
      </c>
      <c r="C69" s="9">
        <v>113.3</v>
      </c>
      <c r="E69" s="9">
        <v>14.41</v>
      </c>
      <c r="G69" s="9">
        <v>113.3</v>
      </c>
      <c r="I69" s="9">
        <v>14.41</v>
      </c>
      <c r="K69" s="9">
        <v>7.8625954198473282</v>
      </c>
    </row>
    <row r="70" spans="1:11" x14ac:dyDescent="0.2">
      <c r="A70" s="9">
        <v>488694</v>
      </c>
      <c r="B70" s="9">
        <v>1</v>
      </c>
      <c r="C70" s="9">
        <v>117.3</v>
      </c>
      <c r="E70" s="9">
        <v>15.77</v>
      </c>
      <c r="G70" s="9">
        <v>117.3</v>
      </c>
      <c r="I70" s="9">
        <v>15.77</v>
      </c>
      <c r="K70" s="9">
        <v>7.4381737476220673</v>
      </c>
    </row>
    <row r="71" spans="1:11" x14ac:dyDescent="0.2">
      <c r="A71" s="9">
        <v>488705</v>
      </c>
      <c r="B71" s="9">
        <v>1</v>
      </c>
      <c r="C71" s="9">
        <v>110</v>
      </c>
      <c r="E71" s="9">
        <v>16.559999999999999</v>
      </c>
      <c r="G71" s="9">
        <v>110</v>
      </c>
      <c r="I71" s="9">
        <v>16.559999999999999</v>
      </c>
      <c r="K71" s="9">
        <v>6.6425120772946862</v>
      </c>
    </row>
    <row r="72" spans="1:11" x14ac:dyDescent="0.2">
      <c r="A72" s="9">
        <v>488705</v>
      </c>
      <c r="B72" s="9">
        <v>1</v>
      </c>
      <c r="C72" s="9">
        <v>103.8</v>
      </c>
      <c r="E72" s="9">
        <v>16.97</v>
      </c>
      <c r="G72" s="9">
        <v>103.8</v>
      </c>
      <c r="I72" s="9">
        <v>16.97</v>
      </c>
      <c r="K72" s="9">
        <v>6.1166764879198592</v>
      </c>
    </row>
    <row r="73" spans="1:11" x14ac:dyDescent="0.2">
      <c r="A73" s="9">
        <v>488715</v>
      </c>
      <c r="B73" s="9">
        <v>1</v>
      </c>
      <c r="C73" s="9">
        <v>74.59</v>
      </c>
      <c r="E73" s="9">
        <v>12.66</v>
      </c>
      <c r="G73" s="9">
        <v>74.59</v>
      </c>
      <c r="I73" s="9">
        <v>12.66</v>
      </c>
      <c r="K73" s="9">
        <v>5.8917851500789888</v>
      </c>
    </row>
    <row r="74" spans="1:11" x14ac:dyDescent="0.2">
      <c r="A74" s="9">
        <v>488715</v>
      </c>
      <c r="B74" s="9">
        <v>1</v>
      </c>
      <c r="C74" s="9">
        <v>79.180000000000007</v>
      </c>
      <c r="E74" s="9">
        <v>14.45</v>
      </c>
      <c r="G74" s="9">
        <v>79.180000000000007</v>
      </c>
      <c r="I74" s="9">
        <v>14.45</v>
      </c>
      <c r="K74" s="9">
        <v>5.4795847750865061</v>
      </c>
    </row>
    <row r="75" spans="1:11" x14ac:dyDescent="0.2">
      <c r="A75" s="9">
        <v>488723</v>
      </c>
      <c r="B75" s="9">
        <v>1</v>
      </c>
      <c r="C75" s="9">
        <v>71.34</v>
      </c>
      <c r="E75" s="9">
        <v>11.62</v>
      </c>
      <c r="G75" s="9">
        <v>71.34</v>
      </c>
      <c r="I75" s="9">
        <v>11.62</v>
      </c>
      <c r="K75" s="9">
        <v>6.1394148020654056</v>
      </c>
    </row>
    <row r="76" spans="1:11" x14ac:dyDescent="0.2">
      <c r="A76" s="9">
        <v>488723</v>
      </c>
      <c r="B76" s="9">
        <v>1</v>
      </c>
      <c r="C76" s="9">
        <v>65.75</v>
      </c>
      <c r="E76" s="9">
        <v>11.41</v>
      </c>
      <c r="G76" s="9">
        <v>65.75</v>
      </c>
      <c r="I76" s="9">
        <v>11.41</v>
      </c>
      <c r="K76" s="9">
        <v>5.7624890446976336</v>
      </c>
    </row>
    <row r="77" spans="1:11" x14ac:dyDescent="0.2">
      <c r="A77" s="9">
        <v>488732</v>
      </c>
      <c r="B77" s="9">
        <v>0.75</v>
      </c>
      <c r="C77" s="9">
        <v>72.3</v>
      </c>
      <c r="E77" s="9">
        <v>10.54</v>
      </c>
      <c r="G77" s="9">
        <v>96.399999999999991</v>
      </c>
      <c r="I77" s="9">
        <v>14.053333333333333</v>
      </c>
      <c r="K77" s="9">
        <v>6.8595825426944979</v>
      </c>
    </row>
    <row r="78" spans="1:11" x14ac:dyDescent="0.2">
      <c r="A78" s="9">
        <v>488732</v>
      </c>
      <c r="B78" s="9">
        <v>0.75</v>
      </c>
      <c r="C78" s="9">
        <v>104.6</v>
      </c>
      <c r="E78" s="9">
        <v>18.760000000000002</v>
      </c>
      <c r="G78" s="9">
        <v>139.46666666666667</v>
      </c>
      <c r="I78" s="9">
        <v>25.013333333333335</v>
      </c>
      <c r="K78" s="9">
        <v>5.5756929637526644</v>
      </c>
    </row>
    <row r="79" spans="1:11" x14ac:dyDescent="0.2">
      <c r="A79" s="9">
        <v>488743</v>
      </c>
      <c r="B79" s="9">
        <v>1</v>
      </c>
      <c r="C79" s="9">
        <v>86.56</v>
      </c>
      <c r="E79" s="9">
        <v>17.57</v>
      </c>
      <c r="G79" s="9">
        <v>86.56</v>
      </c>
      <c r="I79" s="9">
        <v>17.57</v>
      </c>
      <c r="K79" s="9">
        <v>4.9265793966989184</v>
      </c>
    </row>
    <row r="80" spans="1:11" x14ac:dyDescent="0.2">
      <c r="A80" s="9">
        <v>488743</v>
      </c>
      <c r="B80" s="9">
        <v>1</v>
      </c>
      <c r="C80" s="9">
        <v>62.89</v>
      </c>
      <c r="E80" s="9">
        <v>9.58</v>
      </c>
      <c r="G80" s="9">
        <v>62.89</v>
      </c>
      <c r="I80" s="9">
        <v>9.58</v>
      </c>
      <c r="K80" s="9">
        <v>6.5647181628392488</v>
      </c>
    </row>
    <row r="81" spans="1:11" x14ac:dyDescent="0.2">
      <c r="A81" s="9">
        <v>488759</v>
      </c>
      <c r="B81" s="9">
        <v>1</v>
      </c>
      <c r="C81" s="9">
        <v>71.239999999999995</v>
      </c>
      <c r="E81" s="9">
        <v>10.27</v>
      </c>
      <c r="G81" s="9">
        <v>71.239999999999995</v>
      </c>
      <c r="I81" s="9">
        <v>10.27</v>
      </c>
      <c r="K81" s="9">
        <v>6.9367088607594933</v>
      </c>
    </row>
    <row r="82" spans="1:11" x14ac:dyDescent="0.2">
      <c r="A82" s="9">
        <v>488759</v>
      </c>
      <c r="B82" s="9">
        <v>1</v>
      </c>
      <c r="C82" s="9">
        <v>79.38</v>
      </c>
      <c r="E82" s="9">
        <v>10.76</v>
      </c>
      <c r="G82" s="9">
        <v>79.38</v>
      </c>
      <c r="I82" s="9">
        <v>10.76</v>
      </c>
      <c r="K82" s="9">
        <v>7.3773234200743492</v>
      </c>
    </row>
    <row r="83" spans="1:11" x14ac:dyDescent="0.2">
      <c r="A83" s="9">
        <v>488775</v>
      </c>
      <c r="B83" s="9">
        <v>1</v>
      </c>
      <c r="C83" s="9">
        <v>134.5</v>
      </c>
      <c r="E83" s="9">
        <v>18.649999999999999</v>
      </c>
      <c r="G83" s="9">
        <v>134.5</v>
      </c>
      <c r="I83" s="9">
        <v>18.649999999999999</v>
      </c>
      <c r="K83" s="9">
        <v>7.2117962466487944</v>
      </c>
    </row>
    <row r="84" spans="1:11" x14ac:dyDescent="0.2">
      <c r="A84" s="9">
        <v>488775</v>
      </c>
      <c r="B84" s="9">
        <v>1</v>
      </c>
      <c r="C84" s="9">
        <v>114.3</v>
      </c>
      <c r="E84" s="9">
        <v>19.28</v>
      </c>
      <c r="G84" s="9">
        <v>114.3</v>
      </c>
      <c r="I84" s="9">
        <v>19.28</v>
      </c>
      <c r="K84" s="9">
        <v>5.9284232365145222</v>
      </c>
    </row>
    <row r="85" spans="1:11" x14ac:dyDescent="0.2">
      <c r="A85" s="9">
        <v>488794</v>
      </c>
      <c r="B85" s="9">
        <v>1</v>
      </c>
      <c r="C85" s="9">
        <v>84.54</v>
      </c>
      <c r="E85" s="9">
        <v>12.7</v>
      </c>
      <c r="G85" s="9">
        <v>84.54</v>
      </c>
      <c r="I85" s="9">
        <v>12.7</v>
      </c>
      <c r="K85" s="9">
        <v>6.6566929133858279</v>
      </c>
    </row>
    <row r="86" spans="1:11" x14ac:dyDescent="0.2">
      <c r="A86" s="9">
        <v>488794</v>
      </c>
      <c r="B86" s="9">
        <v>1</v>
      </c>
      <c r="C86" s="9">
        <v>78.69</v>
      </c>
      <c r="E86" s="9">
        <v>11.28</v>
      </c>
      <c r="G86" s="9">
        <v>78.69</v>
      </c>
      <c r="I86" s="9">
        <v>11.28</v>
      </c>
      <c r="K86" s="9">
        <v>6.9760638297872344</v>
      </c>
    </row>
    <row r="87" spans="1:11" x14ac:dyDescent="0.2">
      <c r="A87" s="9">
        <v>488813</v>
      </c>
      <c r="B87" s="9">
        <v>0.75</v>
      </c>
      <c r="C87" s="9">
        <v>67.040000000000006</v>
      </c>
      <c r="E87" s="9">
        <v>11.08</v>
      </c>
      <c r="G87" s="9">
        <v>89.38666666666667</v>
      </c>
      <c r="I87" s="9">
        <v>14.773333333333333</v>
      </c>
      <c r="K87" s="9">
        <v>6.0505415162454881</v>
      </c>
    </row>
    <row r="88" spans="1:11" x14ac:dyDescent="0.2">
      <c r="A88" s="9">
        <v>488813</v>
      </c>
      <c r="B88" s="9">
        <v>0.75</v>
      </c>
      <c r="C88" s="9">
        <v>81.3</v>
      </c>
      <c r="E88" s="9">
        <v>13.12</v>
      </c>
      <c r="G88" s="9">
        <v>108.39999999999999</v>
      </c>
      <c r="I88" s="9">
        <v>17.493333333333332</v>
      </c>
      <c r="K88" s="9">
        <v>6.1966463414634152</v>
      </c>
    </row>
    <row r="89" spans="1:11" x14ac:dyDescent="0.2">
      <c r="A89" s="9">
        <v>488833</v>
      </c>
      <c r="B89" s="9">
        <v>1</v>
      </c>
      <c r="C89" s="9">
        <v>74.319999999999993</v>
      </c>
      <c r="E89" s="9">
        <v>12.97</v>
      </c>
      <c r="G89" s="9">
        <v>74.319999999999993</v>
      </c>
      <c r="I89" s="9">
        <v>12.97</v>
      </c>
      <c r="K89" s="9">
        <v>5.7301464919043941</v>
      </c>
    </row>
    <row r="90" spans="1:11" x14ac:dyDescent="0.2">
      <c r="A90" s="9">
        <v>488833</v>
      </c>
      <c r="B90" s="9">
        <v>1</v>
      </c>
      <c r="C90" s="9">
        <v>71.03</v>
      </c>
      <c r="E90" s="9">
        <v>11.68</v>
      </c>
      <c r="G90" s="9">
        <v>71.03</v>
      </c>
      <c r="I90" s="9">
        <v>11.68</v>
      </c>
      <c r="K90" s="9">
        <v>6.0813356164383565</v>
      </c>
    </row>
    <row r="91" spans="1:11" x14ac:dyDescent="0.2">
      <c r="A91" s="9">
        <v>488857</v>
      </c>
      <c r="B91" s="9">
        <v>1</v>
      </c>
      <c r="C91" s="9">
        <v>83.17</v>
      </c>
      <c r="E91" s="9">
        <v>11.49</v>
      </c>
      <c r="G91" s="9">
        <v>83.17</v>
      </c>
      <c r="I91" s="9">
        <v>11.49</v>
      </c>
      <c r="K91" s="9">
        <v>7.2384682332463015</v>
      </c>
    </row>
    <row r="92" spans="1:11" x14ac:dyDescent="0.2">
      <c r="A92" s="9">
        <v>488857</v>
      </c>
      <c r="B92" s="9">
        <v>1</v>
      </c>
      <c r="C92" s="9">
        <v>89.69</v>
      </c>
      <c r="E92" s="9">
        <v>12.99</v>
      </c>
      <c r="G92" s="9">
        <v>89.69</v>
      </c>
      <c r="I92" s="9">
        <v>12.99</v>
      </c>
      <c r="K92" s="9">
        <v>6.9045419553502692</v>
      </c>
    </row>
    <row r="93" spans="1:11" x14ac:dyDescent="0.2">
      <c r="A93" s="9">
        <v>488880</v>
      </c>
      <c r="B93" s="9">
        <v>1</v>
      </c>
      <c r="C93" s="9">
        <v>70.02</v>
      </c>
      <c r="E93" s="9">
        <v>11.35</v>
      </c>
      <c r="G93" s="9">
        <v>70.02</v>
      </c>
      <c r="I93" s="9">
        <v>11.35</v>
      </c>
      <c r="K93" s="9">
        <v>6.1691629955947134</v>
      </c>
    </row>
    <row r="94" spans="1:11" x14ac:dyDescent="0.2">
      <c r="A94" s="9">
        <v>488880</v>
      </c>
      <c r="B94" s="9">
        <v>1</v>
      </c>
      <c r="C94" s="9">
        <v>72.52</v>
      </c>
      <c r="E94" s="9">
        <v>11.02</v>
      </c>
      <c r="G94" s="9">
        <v>72.52</v>
      </c>
      <c r="I94" s="9">
        <v>11.02</v>
      </c>
      <c r="K94" s="9">
        <v>6.58076225045372</v>
      </c>
    </row>
    <row r="95" spans="1:11" x14ac:dyDescent="0.2">
      <c r="A95" s="9">
        <v>488904</v>
      </c>
      <c r="B95" s="9">
        <v>1</v>
      </c>
      <c r="C95" s="9">
        <v>47.27</v>
      </c>
      <c r="E95" s="9">
        <v>9.19</v>
      </c>
      <c r="G95" s="9">
        <v>47.27</v>
      </c>
      <c r="I95" s="9">
        <v>9.19</v>
      </c>
      <c r="K95" s="9">
        <v>5.143634385201306</v>
      </c>
    </row>
    <row r="96" spans="1:11" x14ac:dyDescent="0.2">
      <c r="A96" s="9">
        <v>488904</v>
      </c>
      <c r="B96" s="9">
        <v>1</v>
      </c>
      <c r="C96" s="9">
        <v>43.69</v>
      </c>
      <c r="E96" s="9">
        <v>6.82</v>
      </c>
      <c r="G96" s="9">
        <v>43.69</v>
      </c>
      <c r="I96" s="9">
        <v>6.82</v>
      </c>
      <c r="K96" s="9">
        <v>6.4061583577712602</v>
      </c>
    </row>
    <row r="97" spans="1:11" x14ac:dyDescent="0.2">
      <c r="A97" s="9">
        <v>488927</v>
      </c>
      <c r="B97" s="9">
        <v>1</v>
      </c>
      <c r="C97" s="9">
        <v>53.74</v>
      </c>
      <c r="E97" s="9">
        <v>7.16</v>
      </c>
      <c r="G97" s="9">
        <v>53.74</v>
      </c>
      <c r="I97" s="9">
        <v>7.16</v>
      </c>
      <c r="K97" s="9">
        <v>7.505586592178771</v>
      </c>
    </row>
    <row r="98" spans="1:11" x14ac:dyDescent="0.2">
      <c r="A98" s="9">
        <v>488927</v>
      </c>
      <c r="B98" s="9">
        <v>1</v>
      </c>
      <c r="C98" s="9">
        <v>57.66</v>
      </c>
      <c r="E98" s="9">
        <v>8.66</v>
      </c>
      <c r="G98" s="9">
        <v>57.66</v>
      </c>
      <c r="I98" s="9">
        <v>8.66</v>
      </c>
      <c r="K98" s="9">
        <v>6.6581986143187066</v>
      </c>
    </row>
    <row r="99" spans="1:11" x14ac:dyDescent="0.2">
      <c r="A99" s="9">
        <v>488939</v>
      </c>
      <c r="B99" s="9">
        <v>1</v>
      </c>
      <c r="C99" s="9">
        <v>133.80000000000001</v>
      </c>
      <c r="E99" s="9">
        <v>23.89</v>
      </c>
      <c r="G99" s="9">
        <v>133.80000000000001</v>
      </c>
      <c r="I99" s="9">
        <v>23.89</v>
      </c>
      <c r="K99" s="9">
        <v>5.6006697362913354</v>
      </c>
    </row>
    <row r="100" spans="1:11" x14ac:dyDescent="0.2">
      <c r="A100" s="9">
        <v>488939</v>
      </c>
      <c r="B100" s="9">
        <v>1</v>
      </c>
      <c r="C100" s="9">
        <v>118</v>
      </c>
      <c r="E100" s="9">
        <v>19.68</v>
      </c>
      <c r="G100" s="9">
        <v>118</v>
      </c>
      <c r="I100" s="9">
        <v>19.68</v>
      </c>
      <c r="K100" s="9">
        <v>5.9959349593495936</v>
      </c>
    </row>
    <row r="101" spans="1:11" x14ac:dyDescent="0.2">
      <c r="A101" s="9">
        <v>488951</v>
      </c>
      <c r="B101" s="9">
        <v>0.75</v>
      </c>
      <c r="C101" s="9">
        <v>113.3</v>
      </c>
      <c r="E101" s="9">
        <v>18.55</v>
      </c>
      <c r="G101" s="9">
        <v>151.06666666666666</v>
      </c>
      <c r="I101" s="9">
        <v>24.733333333333334</v>
      </c>
      <c r="K101" s="9">
        <v>6.1078167115902957</v>
      </c>
    </row>
    <row r="102" spans="1:11" x14ac:dyDescent="0.2">
      <c r="A102" s="9">
        <v>488951</v>
      </c>
      <c r="B102" s="9">
        <v>0.75</v>
      </c>
      <c r="C102" s="9">
        <v>95.49</v>
      </c>
      <c r="E102" s="9">
        <v>13.89</v>
      </c>
      <c r="G102" s="9">
        <v>127.32</v>
      </c>
      <c r="I102" s="9">
        <v>18.52</v>
      </c>
      <c r="K102" s="9">
        <v>6.8747300215982712</v>
      </c>
    </row>
    <row r="103" spans="1:11" x14ac:dyDescent="0.2">
      <c r="A103" s="9">
        <v>488964</v>
      </c>
      <c r="B103" s="9">
        <v>0.75</v>
      </c>
      <c r="C103" s="9">
        <v>126.3</v>
      </c>
      <c r="E103" s="9">
        <v>20.420000000000002</v>
      </c>
      <c r="G103" s="9">
        <v>168.4</v>
      </c>
      <c r="I103" s="9">
        <v>27.22666666666667</v>
      </c>
      <c r="K103" s="9">
        <v>6.1851126346718894</v>
      </c>
    </row>
    <row r="104" spans="1:11" x14ac:dyDescent="0.2">
      <c r="A104" s="9">
        <v>488964</v>
      </c>
      <c r="B104" s="9">
        <v>0.75</v>
      </c>
      <c r="C104" s="9">
        <v>125.8</v>
      </c>
      <c r="E104" s="9">
        <v>18.87</v>
      </c>
      <c r="G104" s="9">
        <v>167.73333333333332</v>
      </c>
      <c r="I104" s="9">
        <v>25.16</v>
      </c>
      <c r="K104" s="9">
        <v>6.6666666666666661</v>
      </c>
    </row>
    <row r="105" spans="1:11" x14ac:dyDescent="0.2">
      <c r="A105" s="9">
        <v>488978</v>
      </c>
      <c r="B105" s="9">
        <v>1</v>
      </c>
      <c r="C105" s="9">
        <v>84.47</v>
      </c>
      <c r="E105" s="9">
        <v>13.88</v>
      </c>
      <c r="G105" s="9">
        <v>84.47</v>
      </c>
      <c r="I105" s="9">
        <v>13.88</v>
      </c>
      <c r="K105" s="9">
        <v>6.0857348703170029</v>
      </c>
    </row>
    <row r="106" spans="1:11" x14ac:dyDescent="0.2">
      <c r="A106" s="9">
        <v>488978</v>
      </c>
      <c r="B106" s="9">
        <v>1</v>
      </c>
      <c r="C106" s="9">
        <v>111.9</v>
      </c>
      <c r="E106" s="9">
        <v>17.93</v>
      </c>
      <c r="G106" s="9">
        <v>111.9</v>
      </c>
      <c r="I106" s="9">
        <v>17.93</v>
      </c>
      <c r="K106" s="9">
        <v>6.2409369771332965</v>
      </c>
    </row>
    <row r="107" spans="1:11" x14ac:dyDescent="0.2">
      <c r="A107" s="9">
        <v>488992</v>
      </c>
      <c r="B107" s="9">
        <v>1</v>
      </c>
      <c r="C107" s="9">
        <v>91.28</v>
      </c>
      <c r="E107" s="9">
        <v>15.08</v>
      </c>
      <c r="G107" s="9">
        <v>91.28</v>
      </c>
      <c r="I107" s="9">
        <v>15.08</v>
      </c>
      <c r="K107" s="9">
        <v>6.0530503978779837</v>
      </c>
    </row>
    <row r="108" spans="1:11" x14ac:dyDescent="0.2">
      <c r="A108" s="9">
        <v>488992</v>
      </c>
      <c r="B108" s="9">
        <v>1</v>
      </c>
      <c r="C108" s="9">
        <v>86.09</v>
      </c>
      <c r="E108" s="9">
        <v>13.89</v>
      </c>
      <c r="G108" s="9">
        <v>86.09</v>
      </c>
      <c r="I108" s="9">
        <v>13.89</v>
      </c>
      <c r="K108" s="9">
        <v>6.1979841612670983</v>
      </c>
    </row>
    <row r="109" spans="1:11" x14ac:dyDescent="0.2">
      <c r="A109" s="9">
        <v>489011</v>
      </c>
      <c r="B109" s="9">
        <v>1</v>
      </c>
      <c r="C109" s="9">
        <v>116.8</v>
      </c>
      <c r="E109" s="9">
        <v>12.68</v>
      </c>
      <c r="G109" s="9">
        <v>116.8</v>
      </c>
      <c r="I109" s="9">
        <v>12.68</v>
      </c>
      <c r="K109" s="9">
        <v>9.2113564668769712</v>
      </c>
    </row>
    <row r="110" spans="1:11" x14ac:dyDescent="0.2">
      <c r="A110" s="9">
        <v>489011</v>
      </c>
      <c r="B110" s="9">
        <v>1</v>
      </c>
      <c r="C110" s="9">
        <v>102.2</v>
      </c>
      <c r="E110" s="9">
        <v>14.69</v>
      </c>
      <c r="G110" s="9">
        <v>102.2</v>
      </c>
      <c r="I110" s="9">
        <v>14.69</v>
      </c>
      <c r="K110" s="9">
        <v>6.9571136827773996</v>
      </c>
    </row>
    <row r="111" spans="1:11" x14ac:dyDescent="0.2">
      <c r="A111" s="9">
        <v>489027</v>
      </c>
      <c r="B111" s="9">
        <v>0.75</v>
      </c>
      <c r="C111" s="9">
        <v>82.72</v>
      </c>
      <c r="E111" s="9">
        <v>13.88</v>
      </c>
      <c r="G111" s="9">
        <v>110.29333333333334</v>
      </c>
      <c r="I111" s="9">
        <v>18.506666666666668</v>
      </c>
      <c r="K111" s="9">
        <v>5.9596541786743513</v>
      </c>
    </row>
    <row r="112" spans="1:11" x14ac:dyDescent="0.2">
      <c r="A112" s="9">
        <v>489027</v>
      </c>
      <c r="B112" s="9">
        <v>0.75</v>
      </c>
      <c r="C112" s="9">
        <v>83.17</v>
      </c>
      <c r="E112" s="9">
        <v>12.81</v>
      </c>
      <c r="G112" s="9">
        <v>110.89333333333333</v>
      </c>
      <c r="I112" s="9">
        <v>17.080000000000002</v>
      </c>
      <c r="K112" s="9">
        <v>6.4925839188134269</v>
      </c>
    </row>
    <row r="113" spans="1:11" x14ac:dyDescent="0.2">
      <c r="A113" s="9">
        <v>489040</v>
      </c>
      <c r="B113" s="9">
        <v>0.75</v>
      </c>
      <c r="C113" s="9">
        <v>108.6</v>
      </c>
      <c r="E113" s="9">
        <v>18.28</v>
      </c>
      <c r="G113" s="9">
        <v>144.79999999999998</v>
      </c>
      <c r="I113" s="9">
        <v>24.373333333333335</v>
      </c>
      <c r="K113" s="9">
        <v>5.9409190371991238</v>
      </c>
    </row>
    <row r="114" spans="1:11" x14ac:dyDescent="0.2">
      <c r="A114" s="9">
        <v>489040</v>
      </c>
      <c r="B114" s="9">
        <v>0.75</v>
      </c>
      <c r="C114" s="9">
        <v>93.63</v>
      </c>
      <c r="E114" s="9">
        <v>16.309999999999999</v>
      </c>
      <c r="G114" s="9">
        <v>124.83999999999999</v>
      </c>
      <c r="I114" s="9">
        <v>21.746666666666666</v>
      </c>
      <c r="K114" s="9">
        <v>5.740649908031882</v>
      </c>
    </row>
    <row r="115" spans="1:11" x14ac:dyDescent="0.2">
      <c r="A115" s="9">
        <v>489047</v>
      </c>
      <c r="B115" s="9">
        <v>0.75</v>
      </c>
      <c r="C115" s="9">
        <v>79.27</v>
      </c>
      <c r="E115" s="9">
        <v>11.61</v>
      </c>
      <c r="G115" s="9">
        <v>105.69333333333333</v>
      </c>
      <c r="I115" s="9">
        <v>15.479999999999999</v>
      </c>
      <c r="K115" s="9">
        <v>6.8277347114556415</v>
      </c>
    </row>
    <row r="116" spans="1:11" x14ac:dyDescent="0.2">
      <c r="A116" s="9">
        <v>489047</v>
      </c>
      <c r="B116" s="9">
        <v>0.75</v>
      </c>
      <c r="C116" s="9">
        <v>81.72</v>
      </c>
      <c r="E116" s="9">
        <v>12.54</v>
      </c>
      <c r="G116" s="9">
        <v>108.96</v>
      </c>
      <c r="I116" s="9">
        <v>16.72</v>
      </c>
      <c r="K116" s="9">
        <v>6.5167464114832541</v>
      </c>
    </row>
    <row r="117" spans="1:11" x14ac:dyDescent="0.2">
      <c r="A117" s="9">
        <v>489057</v>
      </c>
      <c r="B117" s="9">
        <v>0.75</v>
      </c>
      <c r="C117" s="9">
        <v>87.43</v>
      </c>
      <c r="E117" s="9">
        <v>13.48</v>
      </c>
      <c r="G117" s="9">
        <v>116.57333333333334</v>
      </c>
      <c r="I117" s="9">
        <v>17.973333333333333</v>
      </c>
      <c r="K117" s="9">
        <v>6.4859050445103863</v>
      </c>
    </row>
    <row r="118" spans="1:11" x14ac:dyDescent="0.2">
      <c r="A118" s="9">
        <v>489057</v>
      </c>
      <c r="B118" s="9">
        <v>0.75</v>
      </c>
      <c r="C118" s="9">
        <v>88.3</v>
      </c>
      <c r="E118" s="9">
        <v>12.81</v>
      </c>
      <c r="G118" s="9">
        <v>117.73333333333333</v>
      </c>
      <c r="I118" s="9">
        <v>17.080000000000002</v>
      </c>
      <c r="K118" s="9">
        <v>6.8930523028883677</v>
      </c>
    </row>
    <row r="119" spans="1:11" x14ac:dyDescent="0.2">
      <c r="A119" s="9">
        <v>489066</v>
      </c>
      <c r="B119" s="9">
        <v>0.75</v>
      </c>
      <c r="C119" s="9">
        <v>78.66</v>
      </c>
      <c r="E119" s="9">
        <v>9.74</v>
      </c>
      <c r="G119" s="9">
        <v>104.88</v>
      </c>
      <c r="I119" s="9">
        <v>12.986666666666666</v>
      </c>
      <c r="K119" s="9">
        <v>8.075975359342916</v>
      </c>
    </row>
    <row r="120" spans="1:11" x14ac:dyDescent="0.2">
      <c r="A120" s="9">
        <v>489066</v>
      </c>
      <c r="B120" s="9">
        <v>0.75</v>
      </c>
      <c r="C120" s="9">
        <v>76.84</v>
      </c>
      <c r="E120" s="9">
        <v>10.11</v>
      </c>
      <c r="G120" s="9">
        <v>102.45333333333333</v>
      </c>
      <c r="I120" s="9">
        <v>13.479999999999999</v>
      </c>
      <c r="K120" s="9">
        <v>7.6003956478733938</v>
      </c>
    </row>
    <row r="121" spans="1:11" x14ac:dyDescent="0.2">
      <c r="A121" s="9">
        <v>489076</v>
      </c>
      <c r="B121" s="9">
        <v>1</v>
      </c>
      <c r="C121" s="9">
        <v>106.9</v>
      </c>
      <c r="E121" s="9">
        <v>14.55</v>
      </c>
      <c r="G121" s="9">
        <v>106.9</v>
      </c>
      <c r="I121" s="9">
        <v>14.55</v>
      </c>
      <c r="K121" s="9">
        <v>7.3470790378006869</v>
      </c>
    </row>
    <row r="122" spans="1:11" x14ac:dyDescent="0.2">
      <c r="A122" s="9">
        <v>489076</v>
      </c>
      <c r="B122" s="9">
        <v>1</v>
      </c>
      <c r="C122" s="9">
        <v>100.6</v>
      </c>
      <c r="E122" s="9">
        <v>12.94</v>
      </c>
      <c r="G122" s="9">
        <v>100.6</v>
      </c>
      <c r="I122" s="9">
        <v>12.94</v>
      </c>
      <c r="K122" s="9">
        <v>7.7743431221020094</v>
      </c>
    </row>
    <row r="123" spans="1:11" x14ac:dyDescent="0.2">
      <c r="A123" s="9">
        <v>489085</v>
      </c>
      <c r="B123" s="9">
        <v>0.7</v>
      </c>
      <c r="C123" s="9">
        <v>152.9</v>
      </c>
      <c r="E123" s="9">
        <v>27.62</v>
      </c>
      <c r="G123" s="9">
        <v>218.42857142857144</v>
      </c>
      <c r="I123" s="9">
        <v>39.457142857142863</v>
      </c>
      <c r="K123" s="9">
        <v>5.5358435916002895</v>
      </c>
    </row>
    <row r="124" spans="1:11" x14ac:dyDescent="0.2">
      <c r="A124" s="9">
        <v>489085</v>
      </c>
      <c r="B124" s="9">
        <v>0.75</v>
      </c>
      <c r="C124" s="9">
        <v>140</v>
      </c>
      <c r="E124" s="9">
        <v>23.32</v>
      </c>
      <c r="G124" s="9">
        <v>186.66666666666666</v>
      </c>
      <c r="I124" s="9">
        <v>31.093333333333334</v>
      </c>
      <c r="K124" s="9">
        <v>6.0034305317324188</v>
      </c>
    </row>
    <row r="125" spans="1:11" x14ac:dyDescent="0.2">
      <c r="A125" s="9">
        <v>489095</v>
      </c>
      <c r="B125" s="9">
        <v>0.75</v>
      </c>
      <c r="C125" s="9">
        <v>104.6</v>
      </c>
      <c r="E125" s="9">
        <v>18.02</v>
      </c>
      <c r="G125" s="9">
        <v>139.46666666666667</v>
      </c>
      <c r="I125" s="9">
        <v>24.026666666666667</v>
      </c>
      <c r="K125" s="9">
        <v>5.8046614872364035</v>
      </c>
    </row>
    <row r="126" spans="1:11" x14ac:dyDescent="0.2">
      <c r="A126" s="9">
        <v>489095</v>
      </c>
      <c r="B126" s="9">
        <v>0.75</v>
      </c>
      <c r="C126" s="9">
        <v>179.9</v>
      </c>
      <c r="E126" s="9">
        <v>32.49</v>
      </c>
      <c r="G126" s="9">
        <v>239.86666666666667</v>
      </c>
      <c r="I126" s="9">
        <v>43.32</v>
      </c>
      <c r="K126" s="9">
        <v>5.5370883348722684</v>
      </c>
    </row>
    <row r="127" spans="1:11" x14ac:dyDescent="0.2">
      <c r="A127" s="9">
        <v>489103</v>
      </c>
      <c r="B127" s="9">
        <v>1</v>
      </c>
      <c r="C127" s="9">
        <v>143.69999999999999</v>
      </c>
      <c r="E127" s="9">
        <v>26.02</v>
      </c>
      <c r="G127" s="9">
        <v>143.69999999999999</v>
      </c>
      <c r="I127" s="9">
        <v>26.02</v>
      </c>
      <c r="K127" s="9">
        <v>5.5226748654880859</v>
      </c>
    </row>
    <row r="128" spans="1:11" x14ac:dyDescent="0.2">
      <c r="A128" s="9">
        <v>489103</v>
      </c>
      <c r="B128" s="9">
        <v>1</v>
      </c>
      <c r="C128" s="9">
        <v>136</v>
      </c>
      <c r="E128" s="9">
        <v>24.4</v>
      </c>
      <c r="G128" s="9">
        <v>136</v>
      </c>
      <c r="I128" s="9">
        <v>24.4</v>
      </c>
      <c r="K128" s="9">
        <v>5.5737704918032787</v>
      </c>
    </row>
    <row r="129" spans="1:11" x14ac:dyDescent="0.2">
      <c r="A129" s="9">
        <v>489113</v>
      </c>
      <c r="B129" s="9">
        <v>0.75</v>
      </c>
      <c r="C129" s="9">
        <v>139.69999999999999</v>
      </c>
      <c r="E129" s="9">
        <v>24.29</v>
      </c>
      <c r="G129" s="9">
        <v>186.26666666666665</v>
      </c>
      <c r="I129" s="9">
        <v>32.386666666666663</v>
      </c>
      <c r="K129" s="9">
        <v>5.7513379991766156</v>
      </c>
    </row>
    <row r="130" spans="1:11" x14ac:dyDescent="0.2">
      <c r="A130" s="9">
        <v>489113</v>
      </c>
      <c r="B130" s="9">
        <v>0.75</v>
      </c>
      <c r="C130" s="9">
        <v>148</v>
      </c>
      <c r="E130" s="9">
        <v>25.75</v>
      </c>
      <c r="G130" s="9">
        <v>197.33333333333334</v>
      </c>
      <c r="I130" s="9">
        <v>34.333333333333336</v>
      </c>
      <c r="K130" s="9">
        <v>5.7475728155339807</v>
      </c>
    </row>
    <row r="131" spans="1:11" x14ac:dyDescent="0.2">
      <c r="A131" s="9">
        <v>489127</v>
      </c>
      <c r="B131" s="9">
        <v>0.75</v>
      </c>
      <c r="C131" s="9">
        <v>132.4</v>
      </c>
      <c r="E131" s="9">
        <v>20.68</v>
      </c>
      <c r="G131" s="9">
        <v>176.53333333333333</v>
      </c>
      <c r="I131" s="9">
        <v>27.573333333333334</v>
      </c>
      <c r="K131" s="9">
        <v>6.4023210831721471</v>
      </c>
    </row>
    <row r="132" spans="1:11" x14ac:dyDescent="0.2">
      <c r="A132" s="9">
        <v>489127</v>
      </c>
      <c r="B132" s="9">
        <v>0.75</v>
      </c>
      <c r="C132" s="9">
        <v>132.9</v>
      </c>
      <c r="E132" s="9">
        <v>19.82</v>
      </c>
      <c r="G132" s="9">
        <v>177.20000000000002</v>
      </c>
      <c r="I132" s="9">
        <v>26.426666666666666</v>
      </c>
      <c r="K132" s="9">
        <v>6.7053481331987896</v>
      </c>
    </row>
    <row r="133" spans="1:11" x14ac:dyDescent="0.2">
      <c r="A133" s="9">
        <v>489141</v>
      </c>
      <c r="B133" s="9">
        <v>0.5</v>
      </c>
      <c r="C133" s="9">
        <v>114.1</v>
      </c>
      <c r="E133" s="9">
        <v>18.02</v>
      </c>
      <c r="G133" s="9">
        <v>228.2</v>
      </c>
      <c r="I133" s="9">
        <v>36.04</v>
      </c>
      <c r="K133" s="9">
        <v>6.3318534961154267</v>
      </c>
    </row>
    <row r="134" spans="1:11" x14ac:dyDescent="0.2">
      <c r="A134" s="9">
        <v>489141</v>
      </c>
      <c r="B134" s="9">
        <v>0.5</v>
      </c>
      <c r="C134" s="9">
        <v>106.9</v>
      </c>
      <c r="E134" s="9">
        <v>15.37</v>
      </c>
      <c r="G134" s="9">
        <v>213.8</v>
      </c>
      <c r="I134" s="9">
        <v>30.74</v>
      </c>
      <c r="K134" s="9">
        <v>6.9551073519843856</v>
      </c>
    </row>
    <row r="135" spans="1:11" x14ac:dyDescent="0.2">
      <c r="A135" s="9">
        <v>489155</v>
      </c>
      <c r="B135" s="9">
        <v>0.75</v>
      </c>
      <c r="C135" s="9">
        <v>103.5</v>
      </c>
      <c r="E135" s="9">
        <v>18.149999999999999</v>
      </c>
      <c r="G135" s="9">
        <v>138</v>
      </c>
      <c r="I135" s="9">
        <v>24.2</v>
      </c>
      <c r="K135" s="9">
        <v>5.7024793388429753</v>
      </c>
    </row>
    <row r="136" spans="1:11" x14ac:dyDescent="0.2">
      <c r="A136" s="9">
        <v>489155</v>
      </c>
      <c r="B136" s="9">
        <v>0.75</v>
      </c>
      <c r="C136" s="9">
        <v>115.8</v>
      </c>
      <c r="E136" s="9">
        <v>18.2</v>
      </c>
      <c r="G136" s="9">
        <v>154.4</v>
      </c>
      <c r="I136" s="9">
        <v>24.266666666666666</v>
      </c>
      <c r="K136" s="9">
        <v>6.3626373626373631</v>
      </c>
    </row>
    <row r="137" spans="1:11" x14ac:dyDescent="0.2">
      <c r="A137" s="9">
        <v>489167</v>
      </c>
      <c r="B137" s="9">
        <v>0.75</v>
      </c>
      <c r="C137" s="9">
        <v>110.8</v>
      </c>
      <c r="E137" s="9">
        <v>18.55</v>
      </c>
      <c r="G137" s="9">
        <v>147.73333333333332</v>
      </c>
      <c r="I137" s="9">
        <v>24.733333333333334</v>
      </c>
      <c r="K137" s="9">
        <v>5.9730458221024252</v>
      </c>
    </row>
    <row r="138" spans="1:11" x14ac:dyDescent="0.2">
      <c r="A138" s="9">
        <v>489167</v>
      </c>
      <c r="B138" s="9">
        <v>0.75</v>
      </c>
      <c r="C138" s="9">
        <v>139.4</v>
      </c>
      <c r="E138" s="9">
        <v>22.78</v>
      </c>
      <c r="G138" s="9">
        <v>185.86666666666667</v>
      </c>
      <c r="I138" s="9">
        <v>30.373333333333335</v>
      </c>
      <c r="K138" s="9">
        <v>6.1194029850746272</v>
      </c>
    </row>
    <row r="139" spans="1:11" x14ac:dyDescent="0.2">
      <c r="A139" s="9">
        <v>489181</v>
      </c>
      <c r="B139" s="9">
        <v>1</v>
      </c>
      <c r="C139" s="9">
        <v>88.68</v>
      </c>
      <c r="E139" s="9">
        <v>15.21</v>
      </c>
      <c r="G139" s="9">
        <v>88.68</v>
      </c>
      <c r="I139" s="9">
        <v>15.21</v>
      </c>
      <c r="K139" s="9">
        <v>5.830374753451677</v>
      </c>
    </row>
    <row r="140" spans="1:11" x14ac:dyDescent="0.2">
      <c r="A140" s="9">
        <v>489181</v>
      </c>
      <c r="B140" s="9">
        <v>1</v>
      </c>
      <c r="C140" s="9">
        <v>99.11</v>
      </c>
      <c r="E140" s="9">
        <v>17.260000000000002</v>
      </c>
      <c r="G140" s="9">
        <v>99.11</v>
      </c>
      <c r="I140" s="9">
        <v>17.260000000000002</v>
      </c>
      <c r="K140" s="9">
        <v>5.7421784472769399</v>
      </c>
    </row>
    <row r="141" spans="1:11" x14ac:dyDescent="0.2">
      <c r="A141" s="9">
        <v>489194</v>
      </c>
      <c r="B141" s="9">
        <v>0.75</v>
      </c>
      <c r="C141" s="9">
        <v>122.1</v>
      </c>
      <c r="E141" s="9">
        <v>23.62</v>
      </c>
      <c r="G141" s="9">
        <v>162.79999999999998</v>
      </c>
      <c r="I141" s="9">
        <v>31.493333333333336</v>
      </c>
      <c r="K141" s="9">
        <v>5.1693480101608804</v>
      </c>
    </row>
    <row r="142" spans="1:11" x14ac:dyDescent="0.2">
      <c r="A142" s="9">
        <v>489194</v>
      </c>
      <c r="B142" s="9">
        <v>0.75</v>
      </c>
      <c r="C142" s="9">
        <v>99.11</v>
      </c>
      <c r="E142" s="9">
        <v>17.8</v>
      </c>
      <c r="G142" s="9">
        <v>132.14666666666668</v>
      </c>
      <c r="I142" s="9">
        <v>23.733333333333334</v>
      </c>
      <c r="K142" s="9">
        <v>5.5679775280898873</v>
      </c>
    </row>
    <row r="143" spans="1:11" x14ac:dyDescent="0.2">
      <c r="A143" s="9">
        <v>489204</v>
      </c>
      <c r="B143" s="9">
        <v>0.75</v>
      </c>
      <c r="C143" s="9">
        <v>111.3</v>
      </c>
      <c r="E143" s="9">
        <v>19.350000000000001</v>
      </c>
      <c r="G143" s="9">
        <v>148.4</v>
      </c>
      <c r="I143" s="9">
        <v>25.8</v>
      </c>
      <c r="K143" s="9">
        <v>5.7519379844961236</v>
      </c>
    </row>
    <row r="144" spans="1:11" x14ac:dyDescent="0.2">
      <c r="A144" s="9">
        <v>489204</v>
      </c>
      <c r="B144" s="9">
        <v>0.75</v>
      </c>
      <c r="C144" s="9">
        <v>103.5</v>
      </c>
      <c r="E144" s="9">
        <v>17.53</v>
      </c>
      <c r="G144" s="9">
        <v>138</v>
      </c>
      <c r="I144" s="9">
        <v>23.373333333333335</v>
      </c>
      <c r="K144" s="9">
        <v>5.904164289788933</v>
      </c>
    </row>
    <row r="145" spans="1:11" x14ac:dyDescent="0.2">
      <c r="A145" s="9">
        <v>489213</v>
      </c>
      <c r="B145" s="9">
        <v>0.75</v>
      </c>
      <c r="C145" s="9">
        <v>85.02</v>
      </c>
      <c r="E145" s="9">
        <v>12.41</v>
      </c>
      <c r="G145" s="9">
        <v>113.36</v>
      </c>
      <c r="I145" s="9">
        <v>16.546666666666667</v>
      </c>
      <c r="K145" s="9">
        <v>6.8509266720386783</v>
      </c>
    </row>
    <row r="146" spans="1:11" x14ac:dyDescent="0.2">
      <c r="A146" s="9">
        <v>489213</v>
      </c>
      <c r="B146" s="9">
        <v>0.75</v>
      </c>
      <c r="C146" s="9">
        <v>96.04</v>
      </c>
      <c r="E146" s="9">
        <v>16.989999999999998</v>
      </c>
      <c r="G146" s="9">
        <v>128.05333333333334</v>
      </c>
      <c r="I146" s="9">
        <v>22.653333333333332</v>
      </c>
      <c r="K146" s="9">
        <v>5.6527369040612134</v>
      </c>
    </row>
    <row r="147" spans="1:11" x14ac:dyDescent="0.2">
      <c r="A147" s="9">
        <v>489220</v>
      </c>
      <c r="B147" s="9">
        <v>0.75</v>
      </c>
      <c r="C147" s="9">
        <v>114.2</v>
      </c>
      <c r="E147" s="9">
        <v>15.13</v>
      </c>
      <c r="G147" s="9">
        <v>152.26666666666668</v>
      </c>
      <c r="I147" s="9">
        <v>20.173333333333336</v>
      </c>
      <c r="K147" s="9">
        <v>7.5479180436219426</v>
      </c>
    </row>
    <row r="148" spans="1:11" x14ac:dyDescent="0.2">
      <c r="A148" s="9">
        <v>489220</v>
      </c>
      <c r="B148" s="9">
        <v>0.75</v>
      </c>
      <c r="C148" s="9">
        <v>111.3</v>
      </c>
      <c r="E148" s="9">
        <v>14.58</v>
      </c>
      <c r="G148" s="9">
        <v>148.4</v>
      </c>
      <c r="I148" s="9">
        <v>19.440000000000001</v>
      </c>
      <c r="K148" s="9">
        <v>7.6337448559670777</v>
      </c>
    </row>
    <row r="149" spans="1:11" x14ac:dyDescent="0.2">
      <c r="A149" s="9">
        <v>489227</v>
      </c>
      <c r="B149" s="9">
        <v>0.75</v>
      </c>
      <c r="C149" s="9">
        <v>106.4</v>
      </c>
      <c r="E149" s="9">
        <v>11.12</v>
      </c>
      <c r="G149" s="9">
        <v>141.86666666666667</v>
      </c>
      <c r="I149" s="9">
        <v>14.826666666666666</v>
      </c>
      <c r="K149" s="9">
        <v>9.5683453237410081</v>
      </c>
    </row>
    <row r="150" spans="1:11" x14ac:dyDescent="0.2">
      <c r="A150" s="9">
        <v>489227</v>
      </c>
      <c r="B150" s="9">
        <v>0.75</v>
      </c>
      <c r="C150" s="9">
        <v>121.8</v>
      </c>
      <c r="E150" s="9">
        <v>17.95</v>
      </c>
      <c r="G150" s="9">
        <v>162.4</v>
      </c>
      <c r="I150" s="9">
        <v>23.933333333333334</v>
      </c>
      <c r="K150" s="9">
        <v>6.7855153203342615</v>
      </c>
    </row>
    <row r="151" spans="1:11" x14ac:dyDescent="0.2">
      <c r="A151" s="9">
        <v>489231</v>
      </c>
      <c r="B151" s="9">
        <v>0.75</v>
      </c>
      <c r="C151" s="9">
        <v>65.69</v>
      </c>
      <c r="E151" s="9">
        <v>9.11</v>
      </c>
      <c r="G151" s="9">
        <v>87.586666666666659</v>
      </c>
      <c r="I151" s="9">
        <v>12.146666666666667</v>
      </c>
      <c r="K151" s="9">
        <v>7.2107574094401761</v>
      </c>
    </row>
    <row r="152" spans="1:11" x14ac:dyDescent="0.2">
      <c r="A152" s="9">
        <v>489231</v>
      </c>
      <c r="B152" s="9">
        <v>0.75</v>
      </c>
      <c r="C152" s="9">
        <v>83.56</v>
      </c>
      <c r="E152" s="9">
        <v>13.23</v>
      </c>
      <c r="G152" s="9">
        <v>111.41333333333334</v>
      </c>
      <c r="I152" s="9">
        <v>17.64</v>
      </c>
      <c r="K152" s="9">
        <v>6.3159486016628872</v>
      </c>
    </row>
    <row r="153" spans="1:11" x14ac:dyDescent="0.2">
      <c r="A153" s="9">
        <v>489237</v>
      </c>
      <c r="B153" s="9">
        <v>1</v>
      </c>
      <c r="C153" s="9">
        <v>118.7</v>
      </c>
      <c r="E153" s="9">
        <v>18.48</v>
      </c>
      <c r="G153" s="9">
        <v>118.7</v>
      </c>
      <c r="I153" s="9">
        <v>18.48</v>
      </c>
      <c r="K153" s="9">
        <v>6.4231601731601735</v>
      </c>
    </row>
    <row r="154" spans="1:11" x14ac:dyDescent="0.2">
      <c r="A154" s="9">
        <v>489237</v>
      </c>
      <c r="B154" s="9">
        <v>1</v>
      </c>
      <c r="C154" s="9">
        <v>113.8</v>
      </c>
      <c r="E154" s="9">
        <v>18.36</v>
      </c>
      <c r="G154" s="9">
        <v>113.8</v>
      </c>
      <c r="I154" s="9">
        <v>18.36</v>
      </c>
      <c r="K154" s="9">
        <v>6.1982570806100217</v>
      </c>
    </row>
    <row r="155" spans="1:11" x14ac:dyDescent="0.2">
      <c r="A155" s="9">
        <v>489245</v>
      </c>
      <c r="B155" s="9">
        <v>0.75</v>
      </c>
      <c r="C155" s="9">
        <v>93.91</v>
      </c>
      <c r="E155" s="9">
        <v>13.26</v>
      </c>
      <c r="G155" s="9">
        <v>125.21333333333332</v>
      </c>
      <c r="I155" s="9">
        <v>17.68</v>
      </c>
      <c r="K155" s="9">
        <v>7.082202111613876</v>
      </c>
    </row>
    <row r="156" spans="1:11" x14ac:dyDescent="0.2">
      <c r="A156" s="9">
        <v>489245</v>
      </c>
      <c r="B156" s="9">
        <v>0.75</v>
      </c>
      <c r="C156" s="9">
        <v>78.650000000000006</v>
      </c>
      <c r="E156" s="9">
        <v>10.66</v>
      </c>
      <c r="G156" s="9">
        <v>104.86666666666667</v>
      </c>
      <c r="I156" s="9">
        <v>14.213333333333333</v>
      </c>
      <c r="K156" s="9">
        <v>7.3780487804878057</v>
      </c>
    </row>
    <row r="157" spans="1:11" x14ac:dyDescent="0.2">
      <c r="A157" s="9">
        <v>489256</v>
      </c>
      <c r="B157" s="9">
        <v>0.75</v>
      </c>
      <c r="C157" s="9">
        <v>90.34</v>
      </c>
      <c r="E157" s="9">
        <v>11.65</v>
      </c>
      <c r="G157" s="9">
        <v>120.45333333333333</v>
      </c>
      <c r="I157" s="9">
        <v>15.533333333333333</v>
      </c>
      <c r="K157" s="9">
        <v>7.7545064377682404</v>
      </c>
    </row>
    <row r="158" spans="1:11" x14ac:dyDescent="0.2">
      <c r="A158" s="9">
        <v>489256</v>
      </c>
      <c r="B158" s="9">
        <v>0.75</v>
      </c>
      <c r="C158" s="9">
        <v>88.82</v>
      </c>
      <c r="E158" s="9">
        <v>13.36</v>
      </c>
      <c r="G158" s="9">
        <v>118.42666666666666</v>
      </c>
      <c r="I158" s="9">
        <v>17.813333333333333</v>
      </c>
      <c r="K158" s="9">
        <v>6.6482035928143715</v>
      </c>
    </row>
    <row r="159" spans="1:11" x14ac:dyDescent="0.2">
      <c r="A159" s="9">
        <v>489266</v>
      </c>
      <c r="B159" s="9">
        <v>0.5</v>
      </c>
      <c r="C159" s="9">
        <v>55.84</v>
      </c>
      <c r="E159" s="9">
        <v>8.17</v>
      </c>
      <c r="G159" s="9">
        <v>111.68</v>
      </c>
      <c r="I159" s="9">
        <v>16.34</v>
      </c>
      <c r="K159" s="9">
        <v>6.8347613219094248</v>
      </c>
    </row>
    <row r="160" spans="1:11" x14ac:dyDescent="0.2">
      <c r="A160" s="9">
        <v>489266</v>
      </c>
      <c r="B160" s="9">
        <v>0.5</v>
      </c>
      <c r="C160" s="9">
        <v>53.97</v>
      </c>
      <c r="E160" s="9">
        <v>8.23</v>
      </c>
      <c r="G160" s="9">
        <v>107.94</v>
      </c>
      <c r="I160" s="9">
        <v>16.46</v>
      </c>
      <c r="K160" s="9">
        <v>6.5577156743620897</v>
      </c>
    </row>
    <row r="161" spans="1:11" x14ac:dyDescent="0.2">
      <c r="A161" s="9">
        <v>489278</v>
      </c>
      <c r="B161" s="9">
        <v>0.75</v>
      </c>
      <c r="C161" s="9">
        <v>67.44</v>
      </c>
      <c r="E161" s="9">
        <v>6.96</v>
      </c>
      <c r="G161" s="9">
        <v>89.92</v>
      </c>
      <c r="I161" s="9">
        <v>9.2799999999999994</v>
      </c>
      <c r="K161" s="9">
        <v>9.6896551724137936</v>
      </c>
    </row>
    <row r="162" spans="1:11" x14ac:dyDescent="0.2">
      <c r="A162" s="9">
        <v>489278</v>
      </c>
      <c r="B162" s="9">
        <v>0.75</v>
      </c>
      <c r="C162" s="9">
        <v>69.45</v>
      </c>
      <c r="E162" s="9">
        <v>11.47</v>
      </c>
      <c r="G162" s="9">
        <v>92.600000000000009</v>
      </c>
      <c r="I162" s="9">
        <v>15.293333333333335</v>
      </c>
      <c r="K162" s="9">
        <v>6.0549258936355708</v>
      </c>
    </row>
    <row r="163" spans="1:11" x14ac:dyDescent="0.2">
      <c r="A163" s="9">
        <v>489288</v>
      </c>
      <c r="B163" s="9">
        <v>1</v>
      </c>
      <c r="C163" s="9">
        <v>87.08</v>
      </c>
      <c r="E163" s="9">
        <v>9.91</v>
      </c>
      <c r="G163" s="9">
        <v>87.08</v>
      </c>
      <c r="I163" s="9">
        <v>9.91</v>
      </c>
      <c r="K163" s="9">
        <v>8.7870837537840565</v>
      </c>
    </row>
    <row r="164" spans="1:11" x14ac:dyDescent="0.2">
      <c r="A164" s="9">
        <v>489288</v>
      </c>
      <c r="B164" s="9">
        <v>1</v>
      </c>
      <c r="C164" s="9">
        <v>117.8</v>
      </c>
      <c r="E164" s="9">
        <v>19.57</v>
      </c>
      <c r="G164" s="9">
        <v>117.8</v>
      </c>
      <c r="I164" s="9">
        <v>19.57</v>
      </c>
      <c r="K164" s="9">
        <v>6.0194174757281553</v>
      </c>
    </row>
    <row r="165" spans="1:11" x14ac:dyDescent="0.2">
      <c r="A165" s="9">
        <v>489300</v>
      </c>
      <c r="B165" s="9">
        <v>1</v>
      </c>
      <c r="C165" s="9">
        <v>92.76</v>
      </c>
      <c r="E165" s="9">
        <v>10.85</v>
      </c>
      <c r="G165" s="9">
        <v>92.76</v>
      </c>
      <c r="I165" s="9">
        <v>10.85</v>
      </c>
      <c r="K165" s="9">
        <v>8.5493087557603697</v>
      </c>
    </row>
    <row r="166" spans="1:11" x14ac:dyDescent="0.2">
      <c r="A166" s="9">
        <v>489300</v>
      </c>
      <c r="B166" s="9">
        <v>1</v>
      </c>
      <c r="C166" s="9">
        <v>75.06</v>
      </c>
      <c r="E166" s="9">
        <v>12.42</v>
      </c>
      <c r="G166" s="9">
        <v>75.06</v>
      </c>
      <c r="I166" s="9">
        <v>12.42</v>
      </c>
      <c r="K166" s="9">
        <v>6.0434782608695654</v>
      </c>
    </row>
    <row r="167" spans="1:11" x14ac:dyDescent="0.2">
      <c r="A167" s="9">
        <v>489310</v>
      </c>
      <c r="B167" s="9">
        <v>0.75</v>
      </c>
      <c r="C167" s="9">
        <v>110.8</v>
      </c>
      <c r="E167" s="9">
        <v>18.48</v>
      </c>
      <c r="G167" s="9">
        <v>147.73333333333332</v>
      </c>
      <c r="I167" s="9">
        <v>24.64</v>
      </c>
      <c r="K167" s="9">
        <v>5.995670995670995</v>
      </c>
    </row>
    <row r="168" spans="1:11" x14ac:dyDescent="0.2">
      <c r="A168" s="9">
        <v>489310</v>
      </c>
      <c r="B168" s="9">
        <v>0.75</v>
      </c>
      <c r="C168" s="9">
        <v>76.17</v>
      </c>
      <c r="E168" s="9">
        <v>12.82</v>
      </c>
      <c r="G168" s="9">
        <v>101.56</v>
      </c>
      <c r="I168" s="9">
        <v>17.093333333333334</v>
      </c>
      <c r="K168" s="9">
        <v>5.9414976599063962</v>
      </c>
    </row>
    <row r="169" spans="1:11" x14ac:dyDescent="0.2">
      <c r="A169" s="9">
        <v>489319</v>
      </c>
      <c r="B169" s="9">
        <v>0.75</v>
      </c>
      <c r="C169" s="9">
        <v>97.12</v>
      </c>
      <c r="E169" s="9">
        <v>16.34</v>
      </c>
      <c r="G169" s="9">
        <v>129.49333333333334</v>
      </c>
      <c r="I169" s="9">
        <v>21.786666666666665</v>
      </c>
      <c r="K169" s="9">
        <v>5.9436964504283969</v>
      </c>
    </row>
    <row r="170" spans="1:11" x14ac:dyDescent="0.2">
      <c r="A170" s="9">
        <v>489319</v>
      </c>
      <c r="B170" s="9">
        <v>0.75</v>
      </c>
      <c r="C170" s="9">
        <v>98.23</v>
      </c>
      <c r="E170" s="9">
        <v>15.66</v>
      </c>
      <c r="G170" s="9">
        <v>130.97333333333333</v>
      </c>
      <c r="I170" s="9">
        <v>20.88</v>
      </c>
      <c r="K170" s="9">
        <v>6.2726692209450832</v>
      </c>
    </row>
    <row r="171" spans="1:11" x14ac:dyDescent="0.2">
      <c r="A171" s="9">
        <v>489327</v>
      </c>
      <c r="B171" s="9">
        <v>0.75</v>
      </c>
      <c r="C171" s="9">
        <v>91.71</v>
      </c>
      <c r="E171" s="9">
        <v>13.11</v>
      </c>
      <c r="G171" s="9">
        <v>122.27999999999999</v>
      </c>
      <c r="I171" s="9">
        <v>17.48</v>
      </c>
      <c r="K171" s="9">
        <v>6.9954233409610982</v>
      </c>
    </row>
    <row r="172" spans="1:11" x14ac:dyDescent="0.2">
      <c r="A172" s="9">
        <v>489327</v>
      </c>
      <c r="B172" s="9">
        <v>0.75</v>
      </c>
      <c r="C172" s="9">
        <v>88.09</v>
      </c>
      <c r="E172" s="9">
        <v>13.16</v>
      </c>
      <c r="G172" s="9">
        <v>117.45333333333333</v>
      </c>
      <c r="I172" s="9">
        <v>17.546666666666667</v>
      </c>
      <c r="K172" s="9">
        <v>6.6937689969604861</v>
      </c>
    </row>
    <row r="173" spans="1:11" x14ac:dyDescent="0.2">
      <c r="A173" s="9">
        <v>489337</v>
      </c>
      <c r="B173" s="9">
        <v>1</v>
      </c>
      <c r="C173" s="9">
        <v>115.2</v>
      </c>
      <c r="E173" s="9">
        <v>17.16</v>
      </c>
      <c r="G173" s="9">
        <v>115.2</v>
      </c>
      <c r="I173" s="9">
        <v>17.16</v>
      </c>
      <c r="K173" s="9">
        <v>6.7132867132867133</v>
      </c>
    </row>
    <row r="174" spans="1:11" x14ac:dyDescent="0.2">
      <c r="A174" s="9">
        <v>489337</v>
      </c>
      <c r="B174" s="9">
        <v>1</v>
      </c>
      <c r="C174" s="9">
        <v>108</v>
      </c>
      <c r="E174" s="9">
        <v>18.05</v>
      </c>
      <c r="G174" s="9">
        <v>108</v>
      </c>
      <c r="I174" s="9">
        <v>18.05</v>
      </c>
      <c r="K174" s="9">
        <v>5.9833795013850413</v>
      </c>
    </row>
    <row r="175" spans="1:11" x14ac:dyDescent="0.2">
      <c r="A175" s="9">
        <v>489348</v>
      </c>
      <c r="B175" s="9">
        <v>1</v>
      </c>
      <c r="C175" s="9">
        <v>110.1</v>
      </c>
      <c r="E175" s="9">
        <v>18.920000000000002</v>
      </c>
      <c r="G175" s="9">
        <v>110.1</v>
      </c>
      <c r="I175" s="9">
        <v>18.920000000000002</v>
      </c>
      <c r="K175" s="9">
        <v>5.8192389006342484</v>
      </c>
    </row>
    <row r="176" spans="1:11" x14ac:dyDescent="0.2">
      <c r="A176" s="9">
        <v>489348</v>
      </c>
      <c r="B176" s="9">
        <v>1</v>
      </c>
      <c r="C176" s="9">
        <v>115.6</v>
      </c>
      <c r="E176" s="9">
        <v>20.22</v>
      </c>
      <c r="G176" s="9">
        <v>115.6</v>
      </c>
      <c r="I176" s="9">
        <v>20.22</v>
      </c>
      <c r="K176" s="9">
        <v>5.7171117705242338</v>
      </c>
    </row>
    <row r="177" spans="1:11" x14ac:dyDescent="0.2">
      <c r="A177" s="9">
        <v>489360</v>
      </c>
      <c r="B177" s="9">
        <v>1</v>
      </c>
      <c r="C177" s="9">
        <v>86.46</v>
      </c>
      <c r="E177" s="9">
        <v>12.97</v>
      </c>
      <c r="G177" s="9">
        <v>86.46</v>
      </c>
      <c r="I177" s="9">
        <v>12.97</v>
      </c>
      <c r="K177" s="9">
        <v>6.6661526599845793</v>
      </c>
    </row>
    <row r="178" spans="1:11" x14ac:dyDescent="0.2">
      <c r="A178" s="9">
        <v>489360</v>
      </c>
      <c r="B178" s="9">
        <v>1</v>
      </c>
      <c r="C178" s="9">
        <v>93.34</v>
      </c>
      <c r="E178" s="9">
        <v>14.93</v>
      </c>
      <c r="G178" s="9">
        <v>93.34</v>
      </c>
      <c r="I178" s="9">
        <v>14.93</v>
      </c>
      <c r="K178" s="9">
        <v>6.2518419290020093</v>
      </c>
    </row>
    <row r="179" spans="1:11" x14ac:dyDescent="0.2">
      <c r="A179" s="9">
        <v>489373</v>
      </c>
      <c r="B179" s="9">
        <v>1</v>
      </c>
      <c r="C179" s="9">
        <v>69.67</v>
      </c>
      <c r="E179" s="9">
        <v>9.73</v>
      </c>
      <c r="G179" s="9">
        <v>69.67</v>
      </c>
      <c r="I179" s="9">
        <v>9.73</v>
      </c>
      <c r="K179" s="9">
        <v>7.1603288797533402</v>
      </c>
    </row>
    <row r="180" spans="1:11" x14ac:dyDescent="0.2">
      <c r="A180" s="9">
        <v>489373</v>
      </c>
      <c r="B180" s="9">
        <v>1</v>
      </c>
      <c r="C180" s="9">
        <v>66.37</v>
      </c>
      <c r="E180" s="9">
        <v>10.45</v>
      </c>
      <c r="G180" s="9">
        <v>66.37</v>
      </c>
      <c r="I180" s="9">
        <v>10.45</v>
      </c>
      <c r="K180" s="9">
        <v>6.3511961722488044</v>
      </c>
    </row>
    <row r="181" spans="1:11" x14ac:dyDescent="0.2">
      <c r="A181" s="9">
        <v>489387</v>
      </c>
      <c r="B181" s="9">
        <v>1</v>
      </c>
      <c r="C181" s="9">
        <v>113.4</v>
      </c>
      <c r="E181" s="9">
        <v>16.079999999999998</v>
      </c>
      <c r="G181" s="9">
        <v>113.4</v>
      </c>
      <c r="I181" s="9">
        <v>16.079999999999998</v>
      </c>
      <c r="K181" s="9">
        <v>7.0522388059701502</v>
      </c>
    </row>
    <row r="182" spans="1:11" x14ac:dyDescent="0.2">
      <c r="A182" s="9">
        <v>489387</v>
      </c>
      <c r="B182" s="9">
        <v>1</v>
      </c>
      <c r="C182" s="9">
        <v>110.8</v>
      </c>
      <c r="E182" s="9">
        <v>17.23</v>
      </c>
      <c r="G182" s="9">
        <v>110.8</v>
      </c>
      <c r="I182" s="9">
        <v>17.23</v>
      </c>
      <c r="K182" s="9">
        <v>6.4306442251886242</v>
      </c>
    </row>
    <row r="183" spans="1:11" x14ac:dyDescent="0.2">
      <c r="A183" s="9">
        <v>489403</v>
      </c>
      <c r="B183" s="9">
        <v>1</v>
      </c>
      <c r="C183" s="9">
        <v>95.38</v>
      </c>
      <c r="E183" s="9">
        <v>15.27</v>
      </c>
      <c r="G183" s="9">
        <v>95.38</v>
      </c>
      <c r="I183" s="9">
        <v>15.27</v>
      </c>
      <c r="K183" s="9">
        <v>6.2462344466273736</v>
      </c>
    </row>
    <row r="184" spans="1:11" x14ac:dyDescent="0.2">
      <c r="A184" s="9">
        <v>489403</v>
      </c>
      <c r="B184" s="9">
        <v>1</v>
      </c>
      <c r="C184" s="9">
        <v>78.81</v>
      </c>
      <c r="E184" s="9">
        <v>12.35</v>
      </c>
      <c r="G184" s="9">
        <v>78.81</v>
      </c>
      <c r="I184" s="9">
        <v>12.35</v>
      </c>
      <c r="K184" s="9">
        <v>6.3813765182186239</v>
      </c>
    </row>
    <row r="185" spans="1:11" x14ac:dyDescent="0.2">
      <c r="A185" s="9">
        <v>489417</v>
      </c>
      <c r="B185" s="9">
        <v>0.75</v>
      </c>
      <c r="C185" s="9">
        <v>109.8</v>
      </c>
      <c r="E185" s="9">
        <v>20.54</v>
      </c>
      <c r="G185" s="9">
        <v>146.4</v>
      </c>
      <c r="I185" s="9">
        <v>27.386666666666667</v>
      </c>
      <c r="K185" s="9">
        <v>5.3456669912366115</v>
      </c>
    </row>
    <row r="186" spans="1:11" x14ac:dyDescent="0.2">
      <c r="A186" s="9">
        <v>489417</v>
      </c>
      <c r="B186" s="9">
        <v>0.75</v>
      </c>
      <c r="C186" s="9">
        <v>75.55</v>
      </c>
      <c r="E186" s="9">
        <v>11.26</v>
      </c>
      <c r="G186" s="9">
        <v>100.73333333333333</v>
      </c>
      <c r="I186" s="9">
        <v>15.013333333333334</v>
      </c>
      <c r="K186" s="9">
        <v>6.7095914742451157</v>
      </c>
    </row>
    <row r="187" spans="1:11" x14ac:dyDescent="0.2">
      <c r="A187" s="9">
        <v>489431</v>
      </c>
      <c r="B187" s="9">
        <v>1</v>
      </c>
      <c r="C187" s="9">
        <v>115.8</v>
      </c>
      <c r="E187" s="9">
        <v>17.43</v>
      </c>
      <c r="G187" s="9">
        <v>115.8</v>
      </c>
      <c r="I187" s="9">
        <v>17.43</v>
      </c>
      <c r="K187" s="9">
        <v>6.6437177280550772</v>
      </c>
    </row>
    <row r="188" spans="1:11" x14ac:dyDescent="0.2">
      <c r="A188" s="9">
        <v>489431</v>
      </c>
      <c r="B188" s="9">
        <v>1</v>
      </c>
      <c r="C188" s="9">
        <v>104.3</v>
      </c>
      <c r="E188" s="9">
        <v>16.420000000000002</v>
      </c>
      <c r="G188" s="9">
        <v>104.3</v>
      </c>
      <c r="I188" s="9">
        <v>16.420000000000002</v>
      </c>
      <c r="K188" s="9">
        <v>6.3520097442143717</v>
      </c>
    </row>
    <row r="189" spans="1:11" x14ac:dyDescent="0.2">
      <c r="A189" s="9">
        <v>489445</v>
      </c>
      <c r="B189" s="9">
        <v>1</v>
      </c>
      <c r="C189" s="9">
        <v>106.6</v>
      </c>
      <c r="E189" s="9">
        <v>17.3</v>
      </c>
      <c r="G189" s="9">
        <v>106.6</v>
      </c>
      <c r="I189" s="9">
        <v>17.3</v>
      </c>
      <c r="K189" s="9">
        <v>6.1618497109826587</v>
      </c>
    </row>
    <row r="190" spans="1:11" x14ac:dyDescent="0.2">
      <c r="A190" s="9">
        <v>489445</v>
      </c>
      <c r="B190" s="9">
        <v>1</v>
      </c>
      <c r="C190" s="9">
        <v>107.2</v>
      </c>
      <c r="E190" s="9">
        <v>15.88</v>
      </c>
      <c r="G190" s="9">
        <v>107.2</v>
      </c>
      <c r="I190" s="9">
        <v>15.88</v>
      </c>
      <c r="K190" s="9">
        <v>6.7506297229219143</v>
      </c>
    </row>
    <row r="191" spans="1:11" x14ac:dyDescent="0.2">
      <c r="A191" s="9">
        <v>489459</v>
      </c>
      <c r="B191" s="9">
        <v>1</v>
      </c>
      <c r="C191" s="9">
        <v>120.7</v>
      </c>
      <c r="E191" s="9">
        <v>18.25</v>
      </c>
      <c r="G191" s="9">
        <v>120.7</v>
      </c>
      <c r="I191" s="9">
        <v>18.25</v>
      </c>
      <c r="K191" s="9">
        <v>6.6136986301369864</v>
      </c>
    </row>
    <row r="192" spans="1:11" x14ac:dyDescent="0.2">
      <c r="A192" s="9">
        <v>489459</v>
      </c>
      <c r="B192" s="9">
        <v>1</v>
      </c>
      <c r="C192" s="9">
        <v>114.5</v>
      </c>
      <c r="E192" s="9">
        <v>18.05</v>
      </c>
      <c r="G192" s="9">
        <v>114.5</v>
      </c>
      <c r="I192" s="9">
        <v>18.05</v>
      </c>
      <c r="K192" s="9">
        <v>6.3434903047091407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95"/>
  <sheetViews>
    <sheetView workbookViewId="0">
      <selection sqref="A1:IV65536"/>
    </sheetView>
  </sheetViews>
  <sheetFormatPr defaultRowHeight="12.75" x14ac:dyDescent="0.2"/>
  <cols>
    <col min="1" max="1" width="11.42578125" customWidth="1"/>
    <col min="2" max="2" width="11.7109375" style="3" customWidth="1"/>
    <col min="3" max="3" width="19" style="3" customWidth="1"/>
    <col min="4" max="4" width="20.42578125" style="3" customWidth="1"/>
    <col min="5" max="7" width="8.42578125" style="3" customWidth="1"/>
    <col min="49" max="49" width="11.28515625" customWidth="1"/>
    <col min="51" max="51" width="11.85546875" customWidth="1"/>
  </cols>
  <sheetData>
    <row r="1" spans="1:7" x14ac:dyDescent="0.2">
      <c r="A1" t="s">
        <v>0</v>
      </c>
    </row>
    <row r="2" spans="1:7" x14ac:dyDescent="0.2">
      <c r="D2" s="3" t="s">
        <v>1</v>
      </c>
      <c r="F2" s="6" t="s">
        <v>2</v>
      </c>
      <c r="G2" s="7"/>
    </row>
    <row r="4" spans="1:7" x14ac:dyDescent="0.2">
      <c r="A4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6" spans="1:7" x14ac:dyDescent="0.2">
      <c r="A6">
        <v>488284</v>
      </c>
      <c r="B6" s="3">
        <v>0.75</v>
      </c>
      <c r="C6" s="3">
        <v>125.3</v>
      </c>
      <c r="D6" s="3">
        <v>16.86</v>
      </c>
      <c r="E6" s="3">
        <f>(C6/B6)</f>
        <v>167.06666666666666</v>
      </c>
      <c r="F6" s="3">
        <f>(D6/B6)</f>
        <v>22.48</v>
      </c>
      <c r="G6" s="3">
        <f>(C6/D6)</f>
        <v>7.431791221826809</v>
      </c>
    </row>
    <row r="7" spans="1:7" x14ac:dyDescent="0.2">
      <c r="A7">
        <v>488284</v>
      </c>
      <c r="B7" s="3">
        <v>0.75</v>
      </c>
      <c r="C7" s="3">
        <v>109.7</v>
      </c>
      <c r="D7" s="3">
        <v>16.29</v>
      </c>
      <c r="E7" s="3">
        <f t="shared" ref="E7:E70" si="0">(C7/B7)</f>
        <v>146.26666666666668</v>
      </c>
      <c r="F7" s="3">
        <f t="shared" ref="F7:F70" si="1">(D7/B7)</f>
        <v>21.72</v>
      </c>
      <c r="G7" s="3">
        <f t="shared" ref="G7:G70" si="2">(C7/D7)</f>
        <v>6.7341927562922042</v>
      </c>
    </row>
    <row r="8" spans="1:7" x14ac:dyDescent="0.2">
      <c r="A8">
        <v>488291</v>
      </c>
      <c r="B8" s="3">
        <v>0.5</v>
      </c>
      <c r="C8" s="3">
        <v>240.4</v>
      </c>
      <c r="D8" s="3">
        <v>33.99</v>
      </c>
      <c r="E8" s="3">
        <f t="shared" si="0"/>
        <v>480.8</v>
      </c>
      <c r="F8" s="3">
        <f t="shared" si="1"/>
        <v>67.98</v>
      </c>
      <c r="G8" s="3">
        <f t="shared" si="2"/>
        <v>7.0726684318917323</v>
      </c>
    </row>
    <row r="9" spans="1:7" x14ac:dyDescent="0.2">
      <c r="A9">
        <v>488291</v>
      </c>
      <c r="B9" s="3">
        <v>0.5</v>
      </c>
      <c r="C9" s="3">
        <v>229.6</v>
      </c>
      <c r="D9" s="3">
        <v>34.299999999999997</v>
      </c>
      <c r="E9" s="3">
        <f t="shared" si="0"/>
        <v>459.2</v>
      </c>
      <c r="F9" s="3">
        <f t="shared" si="1"/>
        <v>68.599999999999994</v>
      </c>
      <c r="G9" s="3">
        <f t="shared" si="2"/>
        <v>6.6938775510204085</v>
      </c>
    </row>
    <row r="10" spans="1:7" x14ac:dyDescent="0.2">
      <c r="A10">
        <v>488300</v>
      </c>
      <c r="B10" s="3">
        <v>0.5</v>
      </c>
      <c r="C10" s="3">
        <v>246.3</v>
      </c>
      <c r="D10" s="3">
        <v>35.61</v>
      </c>
      <c r="E10" s="3">
        <f t="shared" si="0"/>
        <v>492.6</v>
      </c>
      <c r="F10" s="3">
        <f t="shared" si="1"/>
        <v>71.22</v>
      </c>
      <c r="G10" s="3">
        <f t="shared" si="2"/>
        <v>6.9165964616680711</v>
      </c>
    </row>
    <row r="11" spans="1:7" x14ac:dyDescent="0.2">
      <c r="A11">
        <v>488300</v>
      </c>
      <c r="B11" s="3">
        <v>0.5</v>
      </c>
      <c r="C11" s="3">
        <v>226.2</v>
      </c>
      <c r="D11" s="3">
        <v>35.89</v>
      </c>
      <c r="E11" s="3">
        <f t="shared" si="0"/>
        <v>452.4</v>
      </c>
      <c r="F11" s="3">
        <f t="shared" si="1"/>
        <v>71.78</v>
      </c>
      <c r="G11" s="3">
        <f t="shared" si="2"/>
        <v>6.3025912510448592</v>
      </c>
    </row>
    <row r="12" spans="1:7" x14ac:dyDescent="0.2">
      <c r="A12">
        <v>488309</v>
      </c>
      <c r="B12" s="3">
        <v>0.5</v>
      </c>
      <c r="C12" s="3">
        <v>277.2</v>
      </c>
      <c r="D12" s="3">
        <v>36.82</v>
      </c>
      <c r="E12" s="3">
        <f t="shared" si="0"/>
        <v>554.4</v>
      </c>
      <c r="F12" s="3">
        <f t="shared" si="1"/>
        <v>73.64</v>
      </c>
      <c r="G12" s="3">
        <f t="shared" si="2"/>
        <v>7.5285171102661597</v>
      </c>
    </row>
    <row r="13" spans="1:7" x14ac:dyDescent="0.2">
      <c r="A13">
        <v>488309</v>
      </c>
      <c r="B13" s="3">
        <v>0.5</v>
      </c>
      <c r="C13" s="3">
        <v>266.2</v>
      </c>
      <c r="D13" s="3">
        <v>38.54</v>
      </c>
      <c r="E13" s="3">
        <f t="shared" si="0"/>
        <v>532.4</v>
      </c>
      <c r="F13" s="3">
        <f t="shared" si="1"/>
        <v>77.08</v>
      </c>
      <c r="G13" s="3">
        <f t="shared" si="2"/>
        <v>6.9071094966268811</v>
      </c>
    </row>
    <row r="14" spans="1:7" x14ac:dyDescent="0.2">
      <c r="A14">
        <v>488318</v>
      </c>
      <c r="B14" s="3">
        <v>0.75</v>
      </c>
      <c r="C14" s="3">
        <v>116</v>
      </c>
      <c r="D14" s="3">
        <v>15.11</v>
      </c>
      <c r="E14" s="3">
        <f t="shared" si="0"/>
        <v>154.66666666666666</v>
      </c>
      <c r="F14" s="3">
        <f t="shared" si="1"/>
        <v>20.146666666666665</v>
      </c>
      <c r="G14" s="3">
        <f t="shared" si="2"/>
        <v>7.6770350761085373</v>
      </c>
    </row>
    <row r="15" spans="1:7" x14ac:dyDescent="0.2">
      <c r="A15">
        <v>488318</v>
      </c>
      <c r="B15" s="3">
        <v>0.75</v>
      </c>
      <c r="C15" s="3">
        <v>93.48</v>
      </c>
      <c r="D15" s="3">
        <v>13.91</v>
      </c>
      <c r="E15" s="3">
        <f t="shared" si="0"/>
        <v>124.64</v>
      </c>
      <c r="F15" s="3">
        <f t="shared" si="1"/>
        <v>18.546666666666667</v>
      </c>
      <c r="G15" s="3">
        <f t="shared" si="2"/>
        <v>6.7203450754852625</v>
      </c>
    </row>
    <row r="16" spans="1:7" x14ac:dyDescent="0.2">
      <c r="A16">
        <v>488329</v>
      </c>
      <c r="B16" s="3">
        <v>0.75</v>
      </c>
      <c r="C16" s="3">
        <v>100.9</v>
      </c>
      <c r="D16" s="3">
        <v>15.78</v>
      </c>
      <c r="E16" s="3">
        <f t="shared" si="0"/>
        <v>134.53333333333333</v>
      </c>
      <c r="F16" s="3">
        <f t="shared" si="1"/>
        <v>21.04</v>
      </c>
      <c r="G16" s="3">
        <f t="shared" si="2"/>
        <v>6.3941698352344742</v>
      </c>
    </row>
    <row r="17" spans="1:7" x14ac:dyDescent="0.2">
      <c r="A17">
        <v>488329</v>
      </c>
      <c r="B17" s="3">
        <v>0.75</v>
      </c>
      <c r="C17" s="3">
        <v>105.7</v>
      </c>
      <c r="D17" s="3">
        <v>18.809999999999999</v>
      </c>
      <c r="E17" s="3">
        <f t="shared" si="0"/>
        <v>140.93333333333334</v>
      </c>
      <c r="F17" s="3">
        <f t="shared" si="1"/>
        <v>25.08</v>
      </c>
      <c r="G17" s="3">
        <f t="shared" si="2"/>
        <v>5.6193514088250938</v>
      </c>
    </row>
    <row r="18" spans="1:7" x14ac:dyDescent="0.2">
      <c r="A18">
        <v>488344</v>
      </c>
      <c r="B18" s="3">
        <v>1</v>
      </c>
      <c r="C18" s="3">
        <v>206.4</v>
      </c>
      <c r="D18" s="3">
        <v>31.56</v>
      </c>
      <c r="E18" s="3">
        <f t="shared" si="0"/>
        <v>206.4</v>
      </c>
      <c r="F18" s="3">
        <f t="shared" si="1"/>
        <v>31.56</v>
      </c>
      <c r="G18" s="3">
        <f t="shared" si="2"/>
        <v>6.5399239543726244</v>
      </c>
    </row>
    <row r="19" spans="1:7" x14ac:dyDescent="0.2">
      <c r="A19">
        <v>488344</v>
      </c>
      <c r="B19" s="3">
        <v>1</v>
      </c>
      <c r="C19" s="3">
        <v>192.8</v>
      </c>
      <c r="D19" s="3">
        <v>32.18</v>
      </c>
      <c r="E19" s="3">
        <f t="shared" si="0"/>
        <v>192.8</v>
      </c>
      <c r="F19" s="3">
        <f t="shared" si="1"/>
        <v>32.18</v>
      </c>
      <c r="G19" s="3">
        <f t="shared" si="2"/>
        <v>5.991298943443133</v>
      </c>
    </row>
    <row r="20" spans="1:7" x14ac:dyDescent="0.2">
      <c r="A20">
        <v>488360</v>
      </c>
      <c r="B20" s="3">
        <v>1</v>
      </c>
      <c r="C20" s="3">
        <v>64.94</v>
      </c>
      <c r="D20" s="3">
        <v>8.6300000000000008</v>
      </c>
      <c r="E20" s="3">
        <f t="shared" si="0"/>
        <v>64.94</v>
      </c>
      <c r="F20" s="3">
        <f t="shared" si="1"/>
        <v>8.6300000000000008</v>
      </c>
      <c r="G20" s="3">
        <f t="shared" si="2"/>
        <v>7.5249130938586317</v>
      </c>
    </row>
    <row r="21" spans="1:7" x14ac:dyDescent="0.2">
      <c r="A21">
        <v>488360</v>
      </c>
      <c r="B21" s="3">
        <v>1</v>
      </c>
      <c r="C21" s="3">
        <v>55.16</v>
      </c>
      <c r="D21" s="3">
        <v>10.07</v>
      </c>
      <c r="E21" s="3">
        <f t="shared" si="0"/>
        <v>55.16</v>
      </c>
      <c r="F21" s="3">
        <f t="shared" si="1"/>
        <v>10.07</v>
      </c>
      <c r="G21" s="3">
        <f t="shared" si="2"/>
        <v>5.4776564051638523</v>
      </c>
    </row>
    <row r="22" spans="1:7" x14ac:dyDescent="0.2">
      <c r="A22">
        <v>488369</v>
      </c>
      <c r="B22" s="3">
        <v>1</v>
      </c>
      <c r="C22" s="3">
        <v>335.2</v>
      </c>
      <c r="D22" s="3">
        <v>41.54</v>
      </c>
      <c r="E22" s="3">
        <f t="shared" si="0"/>
        <v>335.2</v>
      </c>
      <c r="F22" s="3">
        <f t="shared" si="1"/>
        <v>41.54</v>
      </c>
      <c r="G22" s="3">
        <f t="shared" si="2"/>
        <v>8.0693307655272033</v>
      </c>
    </row>
    <row r="23" spans="1:7" x14ac:dyDescent="0.2">
      <c r="A23">
        <v>488369</v>
      </c>
      <c r="B23" s="3">
        <v>1</v>
      </c>
      <c r="C23" s="3">
        <v>321.10000000000002</v>
      </c>
      <c r="D23" s="3">
        <v>45.69</v>
      </c>
      <c r="E23" s="3">
        <f t="shared" si="0"/>
        <v>321.10000000000002</v>
      </c>
      <c r="F23" s="3">
        <f t="shared" si="1"/>
        <v>45.69</v>
      </c>
      <c r="G23" s="3">
        <f t="shared" si="2"/>
        <v>7.0277960166338378</v>
      </c>
    </row>
    <row r="24" spans="1:7" x14ac:dyDescent="0.2">
      <c r="A24">
        <v>488382</v>
      </c>
      <c r="B24" s="3">
        <v>1</v>
      </c>
      <c r="C24" s="3">
        <v>255</v>
      </c>
      <c r="D24" s="3">
        <v>35.880000000000003</v>
      </c>
      <c r="E24" s="3">
        <f t="shared" si="0"/>
        <v>255</v>
      </c>
      <c r="F24" s="3">
        <f t="shared" si="1"/>
        <v>35.880000000000003</v>
      </c>
      <c r="G24" s="3">
        <f t="shared" si="2"/>
        <v>7.1070234113712374</v>
      </c>
    </row>
    <row r="25" spans="1:7" x14ac:dyDescent="0.2">
      <c r="A25">
        <v>488382</v>
      </c>
      <c r="B25" s="3">
        <v>1</v>
      </c>
      <c r="C25" s="3">
        <v>235</v>
      </c>
      <c r="D25" s="3">
        <v>34.83</v>
      </c>
      <c r="E25" s="3">
        <f t="shared" si="0"/>
        <v>235</v>
      </c>
      <c r="F25" s="3">
        <f t="shared" si="1"/>
        <v>34.83</v>
      </c>
      <c r="G25" s="3">
        <f t="shared" si="2"/>
        <v>6.7470571346540344</v>
      </c>
    </row>
    <row r="26" spans="1:7" x14ac:dyDescent="0.2">
      <c r="A26">
        <v>488394</v>
      </c>
      <c r="B26" s="3">
        <v>0.75</v>
      </c>
      <c r="C26" s="3">
        <v>160.6</v>
      </c>
      <c r="D26" s="3">
        <v>25.76</v>
      </c>
      <c r="E26" s="3">
        <f t="shared" si="0"/>
        <v>214.13333333333333</v>
      </c>
      <c r="F26" s="3">
        <f t="shared" si="1"/>
        <v>34.346666666666671</v>
      </c>
      <c r="G26" s="3">
        <f t="shared" si="2"/>
        <v>6.2344720496894404</v>
      </c>
    </row>
    <row r="27" spans="1:7" x14ac:dyDescent="0.2">
      <c r="A27">
        <v>488394</v>
      </c>
      <c r="B27" s="3">
        <v>0.75</v>
      </c>
      <c r="C27" s="3">
        <v>133.80000000000001</v>
      </c>
      <c r="D27" s="3">
        <v>19.34</v>
      </c>
      <c r="E27" s="3">
        <f t="shared" si="0"/>
        <v>178.4</v>
      </c>
      <c r="F27" s="3">
        <f t="shared" si="1"/>
        <v>25.786666666666665</v>
      </c>
      <c r="G27" s="3">
        <f t="shared" si="2"/>
        <v>6.9183040330920376</v>
      </c>
    </row>
    <row r="28" spans="1:7" x14ac:dyDescent="0.2">
      <c r="A28">
        <v>488408</v>
      </c>
      <c r="B28" s="3">
        <v>0.75</v>
      </c>
      <c r="C28" s="3">
        <v>206.4</v>
      </c>
      <c r="D28" s="3">
        <v>26.71</v>
      </c>
      <c r="E28" s="3">
        <f t="shared" si="0"/>
        <v>275.2</v>
      </c>
      <c r="F28" s="3">
        <f t="shared" si="1"/>
        <v>35.613333333333337</v>
      </c>
      <c r="G28" s="3">
        <f t="shared" si="2"/>
        <v>7.727442905278922</v>
      </c>
    </row>
    <row r="29" spans="1:7" x14ac:dyDescent="0.2">
      <c r="A29">
        <v>488408</v>
      </c>
      <c r="B29" s="3">
        <v>0.75</v>
      </c>
      <c r="C29" s="3">
        <v>146.1</v>
      </c>
      <c r="D29" s="3">
        <v>23.57</v>
      </c>
      <c r="E29" s="3">
        <f t="shared" si="0"/>
        <v>194.79999999999998</v>
      </c>
      <c r="F29" s="3">
        <f t="shared" si="1"/>
        <v>31.426666666666666</v>
      </c>
      <c r="G29" s="3">
        <f t="shared" si="2"/>
        <v>6.198557488332626</v>
      </c>
    </row>
    <row r="30" spans="1:7" x14ac:dyDescent="0.2">
      <c r="A30">
        <v>488430</v>
      </c>
      <c r="B30" s="3">
        <v>0.75</v>
      </c>
      <c r="C30" s="3">
        <v>93.45</v>
      </c>
      <c r="D30" s="3">
        <v>14.16</v>
      </c>
      <c r="E30" s="3">
        <f t="shared" si="0"/>
        <v>124.60000000000001</v>
      </c>
      <c r="F30" s="3">
        <f t="shared" si="1"/>
        <v>18.88</v>
      </c>
      <c r="G30" s="3">
        <f t="shared" si="2"/>
        <v>6.5995762711864412</v>
      </c>
    </row>
    <row r="31" spans="1:7" x14ac:dyDescent="0.2">
      <c r="A31">
        <v>488430</v>
      </c>
      <c r="B31" s="3">
        <v>0.75</v>
      </c>
      <c r="C31" s="3">
        <v>105.7</v>
      </c>
      <c r="D31" s="3">
        <v>14.57</v>
      </c>
      <c r="E31" s="3">
        <f t="shared" si="0"/>
        <v>140.93333333333334</v>
      </c>
      <c r="F31" s="3">
        <f t="shared" si="1"/>
        <v>19.426666666666666</v>
      </c>
      <c r="G31" s="3">
        <f t="shared" si="2"/>
        <v>7.2546328071379547</v>
      </c>
    </row>
    <row r="32" spans="1:7" x14ac:dyDescent="0.2">
      <c r="A32">
        <v>488490</v>
      </c>
      <c r="B32" s="3">
        <v>1</v>
      </c>
      <c r="C32" s="3">
        <v>223.7</v>
      </c>
      <c r="D32" s="3">
        <v>30.75</v>
      </c>
      <c r="E32" s="3">
        <f t="shared" si="0"/>
        <v>223.7</v>
      </c>
      <c r="F32" s="3">
        <f t="shared" si="1"/>
        <v>30.75</v>
      </c>
      <c r="G32" s="3">
        <f t="shared" si="2"/>
        <v>7.2747967479674793</v>
      </c>
    </row>
    <row r="33" spans="1:7" x14ac:dyDescent="0.2">
      <c r="A33">
        <v>488490</v>
      </c>
      <c r="B33" s="3">
        <v>1</v>
      </c>
      <c r="C33" s="3">
        <v>227.1</v>
      </c>
      <c r="D33" s="3">
        <v>28.74</v>
      </c>
      <c r="E33" s="3">
        <f t="shared" si="0"/>
        <v>227.1</v>
      </c>
      <c r="F33" s="3">
        <f t="shared" si="1"/>
        <v>28.74</v>
      </c>
      <c r="G33" s="3">
        <f t="shared" si="2"/>
        <v>7.9018789144050103</v>
      </c>
    </row>
    <row r="34" spans="1:7" x14ac:dyDescent="0.2">
      <c r="A34">
        <v>488502</v>
      </c>
      <c r="B34" s="3">
        <v>0.75</v>
      </c>
      <c r="C34" s="3">
        <v>174.3</v>
      </c>
      <c r="D34" s="3">
        <v>22.66</v>
      </c>
      <c r="E34" s="3">
        <f t="shared" si="0"/>
        <v>232.4</v>
      </c>
      <c r="F34" s="3">
        <f t="shared" si="1"/>
        <v>30.213333333333335</v>
      </c>
      <c r="G34" s="3">
        <f t="shared" si="2"/>
        <v>7.6919682259488091</v>
      </c>
    </row>
    <row r="35" spans="1:7" x14ac:dyDescent="0.2">
      <c r="A35">
        <v>488502</v>
      </c>
      <c r="B35" s="3">
        <v>0.75</v>
      </c>
      <c r="C35" s="3">
        <v>181.4</v>
      </c>
      <c r="D35" s="3">
        <v>24.37</v>
      </c>
      <c r="E35" s="3">
        <f t="shared" si="0"/>
        <v>241.86666666666667</v>
      </c>
      <c r="F35" s="3">
        <f t="shared" si="1"/>
        <v>32.493333333333332</v>
      </c>
      <c r="G35" s="3">
        <f t="shared" si="2"/>
        <v>7.4435781698810013</v>
      </c>
    </row>
    <row r="36" spans="1:7" x14ac:dyDescent="0.2">
      <c r="A36">
        <v>488514</v>
      </c>
      <c r="B36" s="3">
        <v>0.75</v>
      </c>
      <c r="C36" s="3">
        <v>217.7</v>
      </c>
      <c r="D36" s="3">
        <v>27.79</v>
      </c>
      <c r="E36" s="3">
        <f t="shared" si="0"/>
        <v>290.26666666666665</v>
      </c>
      <c r="F36" s="3">
        <f t="shared" si="1"/>
        <v>37.053333333333335</v>
      </c>
      <c r="G36" s="3">
        <f t="shared" si="2"/>
        <v>7.8337531486146093</v>
      </c>
    </row>
    <row r="37" spans="1:7" x14ac:dyDescent="0.2">
      <c r="A37">
        <v>488514</v>
      </c>
      <c r="B37" s="3">
        <v>0.75</v>
      </c>
      <c r="C37" s="3">
        <v>239.9</v>
      </c>
      <c r="D37" s="3">
        <v>29.4</v>
      </c>
      <c r="E37" s="3">
        <f t="shared" si="0"/>
        <v>319.86666666666667</v>
      </c>
      <c r="F37" s="3">
        <f t="shared" si="1"/>
        <v>39.199999999999996</v>
      </c>
      <c r="G37" s="3">
        <f t="shared" si="2"/>
        <v>8.1598639455782322</v>
      </c>
    </row>
    <row r="38" spans="1:7" x14ac:dyDescent="0.2">
      <c r="A38">
        <v>488525</v>
      </c>
      <c r="B38" s="3">
        <v>0.75</v>
      </c>
      <c r="C38" s="3">
        <v>296.2</v>
      </c>
      <c r="D38" s="3">
        <v>41.14</v>
      </c>
      <c r="E38" s="3">
        <f t="shared" si="0"/>
        <v>394.93333333333334</v>
      </c>
      <c r="F38" s="3">
        <f t="shared" si="1"/>
        <v>54.853333333333332</v>
      </c>
      <c r="G38" s="3">
        <f t="shared" si="2"/>
        <v>7.1998055420515312</v>
      </c>
    </row>
    <row r="39" spans="1:7" x14ac:dyDescent="0.2">
      <c r="A39">
        <v>488525</v>
      </c>
      <c r="B39" s="3">
        <v>0.75</v>
      </c>
      <c r="C39" s="3">
        <v>292.60000000000002</v>
      </c>
      <c r="D39" s="3">
        <v>39.07</v>
      </c>
      <c r="E39" s="3">
        <f t="shared" si="0"/>
        <v>390.13333333333338</v>
      </c>
      <c r="F39" s="3">
        <f t="shared" si="1"/>
        <v>52.093333333333334</v>
      </c>
      <c r="G39" s="3">
        <f t="shared" si="2"/>
        <v>7.4891220885589975</v>
      </c>
    </row>
    <row r="40" spans="1:7" x14ac:dyDescent="0.2">
      <c r="A40">
        <v>488535</v>
      </c>
      <c r="B40" s="3">
        <v>0.75</v>
      </c>
      <c r="C40" s="3">
        <v>288.3</v>
      </c>
      <c r="D40" s="3">
        <v>42.35</v>
      </c>
      <c r="E40" s="3">
        <f t="shared" si="0"/>
        <v>384.40000000000003</v>
      </c>
      <c r="F40" s="3">
        <f t="shared" si="1"/>
        <v>56.466666666666669</v>
      </c>
      <c r="G40" s="3">
        <f t="shared" si="2"/>
        <v>6.8075560802833532</v>
      </c>
    </row>
    <row r="41" spans="1:7" x14ac:dyDescent="0.2">
      <c r="A41">
        <v>488535</v>
      </c>
      <c r="B41" s="3">
        <v>0.75</v>
      </c>
      <c r="C41" s="3">
        <v>257.2</v>
      </c>
      <c r="D41" s="3">
        <v>33.909999999999997</v>
      </c>
      <c r="E41" s="3">
        <f t="shared" si="0"/>
        <v>342.93333333333334</v>
      </c>
      <c r="F41" s="3">
        <f t="shared" si="1"/>
        <v>45.213333333333331</v>
      </c>
      <c r="G41" s="3">
        <f t="shared" si="2"/>
        <v>7.5847832497788268</v>
      </c>
    </row>
    <row r="42" spans="1:7" x14ac:dyDescent="0.2">
      <c r="A42">
        <v>488546</v>
      </c>
      <c r="B42" s="3">
        <v>0.75</v>
      </c>
      <c r="C42" s="3">
        <v>229.3</v>
      </c>
      <c r="D42" s="3">
        <v>31.29</v>
      </c>
      <c r="E42" s="3">
        <f t="shared" si="0"/>
        <v>305.73333333333335</v>
      </c>
      <c r="F42" s="3">
        <f t="shared" si="1"/>
        <v>41.72</v>
      </c>
      <c r="G42" s="3">
        <f t="shared" si="2"/>
        <v>7.3282198785554495</v>
      </c>
    </row>
    <row r="43" spans="1:7" x14ac:dyDescent="0.2">
      <c r="A43">
        <v>488546</v>
      </c>
      <c r="B43" s="3">
        <v>0.75</v>
      </c>
      <c r="C43" s="3">
        <v>233.8</v>
      </c>
      <c r="D43" s="3">
        <v>30.99</v>
      </c>
      <c r="E43" s="3">
        <f t="shared" si="0"/>
        <v>311.73333333333335</v>
      </c>
      <c r="F43" s="3">
        <f t="shared" si="1"/>
        <v>41.32</v>
      </c>
      <c r="G43" s="3">
        <f t="shared" si="2"/>
        <v>7.5443691513391427</v>
      </c>
    </row>
    <row r="44" spans="1:7" x14ac:dyDescent="0.2">
      <c r="A44">
        <v>488557</v>
      </c>
      <c r="B44" s="3">
        <v>1</v>
      </c>
      <c r="C44" s="3">
        <v>231.6</v>
      </c>
      <c r="D44" s="3">
        <v>34.130000000000003</v>
      </c>
      <c r="E44" s="3">
        <f t="shared" si="0"/>
        <v>231.6</v>
      </c>
      <c r="F44" s="3">
        <f t="shared" si="1"/>
        <v>34.130000000000003</v>
      </c>
      <c r="G44" s="3">
        <f t="shared" si="2"/>
        <v>6.7858189276296503</v>
      </c>
    </row>
    <row r="45" spans="1:7" x14ac:dyDescent="0.2">
      <c r="A45">
        <v>488557</v>
      </c>
      <c r="B45" s="3">
        <v>1</v>
      </c>
      <c r="C45" s="3">
        <v>244</v>
      </c>
      <c r="D45" s="3">
        <v>34.57</v>
      </c>
      <c r="E45" s="3">
        <f t="shared" si="0"/>
        <v>244</v>
      </c>
      <c r="F45" s="3">
        <f t="shared" si="1"/>
        <v>34.57</v>
      </c>
      <c r="G45" s="3">
        <f t="shared" si="2"/>
        <v>7.0581428984668788</v>
      </c>
    </row>
    <row r="46" spans="1:7" x14ac:dyDescent="0.2">
      <c r="A46">
        <v>488567</v>
      </c>
      <c r="B46" s="3">
        <v>1</v>
      </c>
      <c r="C46" s="3">
        <v>118.7</v>
      </c>
      <c r="D46" s="3">
        <v>17.8</v>
      </c>
      <c r="E46" s="3">
        <f t="shared" si="0"/>
        <v>118.7</v>
      </c>
      <c r="F46" s="3">
        <f t="shared" si="1"/>
        <v>17.8</v>
      </c>
      <c r="G46" s="3">
        <f t="shared" si="2"/>
        <v>6.6685393258426968</v>
      </c>
    </row>
    <row r="47" spans="1:7" x14ac:dyDescent="0.2">
      <c r="A47">
        <v>488567</v>
      </c>
      <c r="B47" s="3">
        <v>1</v>
      </c>
      <c r="C47" s="3">
        <v>121.1</v>
      </c>
      <c r="D47" s="3">
        <v>16.559999999999999</v>
      </c>
      <c r="E47" s="3">
        <f t="shared" si="0"/>
        <v>121.1</v>
      </c>
      <c r="F47" s="3">
        <f t="shared" si="1"/>
        <v>16.559999999999999</v>
      </c>
      <c r="G47" s="3">
        <f t="shared" si="2"/>
        <v>7.31280193236715</v>
      </c>
    </row>
    <row r="48" spans="1:7" x14ac:dyDescent="0.2">
      <c r="A48">
        <v>488577</v>
      </c>
      <c r="B48" s="3">
        <v>0.75</v>
      </c>
      <c r="C48" s="3">
        <v>290.2</v>
      </c>
      <c r="D48" s="3">
        <v>36.28</v>
      </c>
      <c r="E48" s="3">
        <f t="shared" si="0"/>
        <v>386.93333333333334</v>
      </c>
      <c r="F48" s="3">
        <f t="shared" si="1"/>
        <v>48.373333333333335</v>
      </c>
      <c r="G48" s="3">
        <f t="shared" si="2"/>
        <v>7.9988974641675847</v>
      </c>
    </row>
    <row r="49" spans="1:7" x14ac:dyDescent="0.2">
      <c r="A49">
        <v>488577</v>
      </c>
      <c r="B49" s="3">
        <v>0.75</v>
      </c>
      <c r="C49" s="3">
        <v>274.2</v>
      </c>
      <c r="D49" s="3">
        <v>32.58</v>
      </c>
      <c r="E49" s="3">
        <f t="shared" si="0"/>
        <v>365.59999999999997</v>
      </c>
      <c r="F49" s="3">
        <f t="shared" si="1"/>
        <v>43.44</v>
      </c>
      <c r="G49" s="3">
        <f t="shared" si="2"/>
        <v>8.4162062615101298</v>
      </c>
    </row>
    <row r="50" spans="1:7" x14ac:dyDescent="0.2">
      <c r="A50">
        <v>488586</v>
      </c>
      <c r="B50" s="3">
        <v>0.25</v>
      </c>
      <c r="C50" s="3">
        <v>114.3</v>
      </c>
      <c r="D50" s="3">
        <v>13.76</v>
      </c>
      <c r="E50" s="3">
        <f t="shared" si="0"/>
        <v>457.2</v>
      </c>
      <c r="F50" s="3">
        <f t="shared" si="1"/>
        <v>55.04</v>
      </c>
      <c r="G50" s="3">
        <f t="shared" si="2"/>
        <v>8.3066860465116275</v>
      </c>
    </row>
    <row r="51" spans="1:7" x14ac:dyDescent="0.2">
      <c r="A51">
        <v>488586</v>
      </c>
      <c r="B51" s="3">
        <v>0.25</v>
      </c>
      <c r="C51" s="3">
        <v>133.5</v>
      </c>
      <c r="D51" s="3">
        <v>17.75</v>
      </c>
      <c r="E51" s="3">
        <f t="shared" si="0"/>
        <v>534</v>
      </c>
      <c r="F51" s="3">
        <f t="shared" si="1"/>
        <v>71</v>
      </c>
      <c r="G51" s="3">
        <f t="shared" si="2"/>
        <v>7.52112676056338</v>
      </c>
    </row>
    <row r="52" spans="1:7" x14ac:dyDescent="0.2">
      <c r="A52">
        <v>488595</v>
      </c>
      <c r="B52" s="3">
        <v>0.5</v>
      </c>
      <c r="C52" s="3">
        <v>139.1</v>
      </c>
      <c r="D52" s="3">
        <v>20.77</v>
      </c>
      <c r="E52" s="3">
        <f t="shared" si="0"/>
        <v>278.2</v>
      </c>
      <c r="F52" s="3">
        <f t="shared" si="1"/>
        <v>41.54</v>
      </c>
      <c r="G52" s="3">
        <f t="shared" si="2"/>
        <v>6.6971593644679821</v>
      </c>
    </row>
    <row r="53" spans="1:7" x14ac:dyDescent="0.2">
      <c r="A53">
        <v>488595</v>
      </c>
      <c r="B53" s="3">
        <v>0.5</v>
      </c>
      <c r="C53" s="3">
        <v>147.5</v>
      </c>
      <c r="D53" s="3">
        <v>20.93</v>
      </c>
      <c r="E53" s="3">
        <f t="shared" si="0"/>
        <v>295</v>
      </c>
      <c r="F53" s="3">
        <f t="shared" si="1"/>
        <v>41.86</v>
      </c>
      <c r="G53" s="3">
        <f t="shared" si="2"/>
        <v>7.0473005255613952</v>
      </c>
    </row>
    <row r="54" spans="1:7" x14ac:dyDescent="0.2">
      <c r="A54">
        <v>488605</v>
      </c>
      <c r="B54" s="3">
        <v>1</v>
      </c>
      <c r="C54" s="3">
        <v>122.3</v>
      </c>
      <c r="D54" s="3">
        <v>17.5</v>
      </c>
      <c r="E54" s="3">
        <f t="shared" si="0"/>
        <v>122.3</v>
      </c>
      <c r="F54" s="3">
        <f t="shared" si="1"/>
        <v>17.5</v>
      </c>
      <c r="G54" s="3">
        <f t="shared" si="2"/>
        <v>6.9885714285714284</v>
      </c>
    </row>
    <row r="55" spans="1:7" x14ac:dyDescent="0.2">
      <c r="A55">
        <v>488605</v>
      </c>
      <c r="B55" s="3">
        <v>1</v>
      </c>
      <c r="C55" s="3">
        <v>314.8</v>
      </c>
      <c r="D55" s="3">
        <v>56.34</v>
      </c>
      <c r="E55" s="3">
        <f t="shared" si="0"/>
        <v>314.8</v>
      </c>
      <c r="F55" s="3">
        <f t="shared" si="1"/>
        <v>56.34</v>
      </c>
      <c r="G55" s="3">
        <f t="shared" si="2"/>
        <v>5.5875044373446929</v>
      </c>
    </row>
    <row r="56" spans="1:7" x14ac:dyDescent="0.2">
      <c r="A56">
        <v>488615</v>
      </c>
      <c r="B56" s="3">
        <v>0.75</v>
      </c>
      <c r="C56" s="3">
        <v>162.5</v>
      </c>
      <c r="D56" s="3">
        <v>24.91</v>
      </c>
      <c r="E56" s="3">
        <f t="shared" si="0"/>
        <v>216.66666666666666</v>
      </c>
      <c r="F56" s="3">
        <f t="shared" si="1"/>
        <v>33.213333333333331</v>
      </c>
      <c r="G56" s="3">
        <f t="shared" si="2"/>
        <v>6.5234845443596949</v>
      </c>
    </row>
    <row r="57" spans="1:7" x14ac:dyDescent="0.2">
      <c r="A57">
        <v>488615</v>
      </c>
      <c r="B57" s="3">
        <v>0.75</v>
      </c>
      <c r="C57" s="3">
        <v>163.4</v>
      </c>
      <c r="D57" s="3">
        <v>24.79</v>
      </c>
      <c r="E57" s="3">
        <f t="shared" si="0"/>
        <v>217.86666666666667</v>
      </c>
      <c r="F57" s="3">
        <f t="shared" si="1"/>
        <v>33.053333333333335</v>
      </c>
      <c r="G57" s="3">
        <f t="shared" si="2"/>
        <v>6.5913674868898751</v>
      </c>
    </row>
    <row r="58" spans="1:7" x14ac:dyDescent="0.2">
      <c r="A58">
        <v>488625</v>
      </c>
      <c r="B58" s="3">
        <v>0.5</v>
      </c>
      <c r="C58" s="3">
        <v>275</v>
      </c>
      <c r="D58" s="3">
        <v>38.78</v>
      </c>
      <c r="E58" s="3">
        <f t="shared" si="0"/>
        <v>550</v>
      </c>
      <c r="F58" s="3">
        <f t="shared" si="1"/>
        <v>77.56</v>
      </c>
      <c r="G58" s="3">
        <f t="shared" si="2"/>
        <v>7.0912841670964415</v>
      </c>
    </row>
    <row r="59" spans="1:7" x14ac:dyDescent="0.2">
      <c r="A59">
        <v>488625</v>
      </c>
      <c r="B59" s="3">
        <v>0.5</v>
      </c>
      <c r="C59" s="3">
        <v>271.5</v>
      </c>
      <c r="D59" s="3">
        <v>39.24</v>
      </c>
      <c r="E59" s="3">
        <f t="shared" si="0"/>
        <v>543</v>
      </c>
      <c r="F59" s="3">
        <f t="shared" si="1"/>
        <v>78.48</v>
      </c>
      <c r="G59" s="3">
        <f t="shared" si="2"/>
        <v>6.9189602446483178</v>
      </c>
    </row>
    <row r="60" spans="1:7" x14ac:dyDescent="0.2">
      <c r="A60">
        <v>488636</v>
      </c>
      <c r="B60" s="3">
        <v>1</v>
      </c>
      <c r="C60" s="3">
        <v>123.5</v>
      </c>
      <c r="D60" s="3">
        <v>19.79</v>
      </c>
      <c r="E60" s="3">
        <f t="shared" si="0"/>
        <v>123.5</v>
      </c>
      <c r="F60" s="3">
        <f t="shared" si="1"/>
        <v>19.79</v>
      </c>
      <c r="G60" s="3">
        <f t="shared" si="2"/>
        <v>6.2405255179383525</v>
      </c>
    </row>
    <row r="61" spans="1:7" x14ac:dyDescent="0.2">
      <c r="A61">
        <v>488636</v>
      </c>
      <c r="B61" s="3">
        <v>1</v>
      </c>
      <c r="C61" s="3">
        <v>132.19999999999999</v>
      </c>
      <c r="D61" s="3">
        <v>21.74</v>
      </c>
      <c r="E61" s="3">
        <f t="shared" si="0"/>
        <v>132.19999999999999</v>
      </c>
      <c r="F61" s="3">
        <f t="shared" si="1"/>
        <v>21.74</v>
      </c>
      <c r="G61" s="3">
        <f t="shared" si="2"/>
        <v>6.0809567617295306</v>
      </c>
    </row>
    <row r="62" spans="1:7" x14ac:dyDescent="0.2">
      <c r="A62">
        <v>488647</v>
      </c>
      <c r="B62" s="3">
        <v>1</v>
      </c>
      <c r="C62" s="3">
        <v>218</v>
      </c>
      <c r="D62" s="3">
        <v>26.26</v>
      </c>
      <c r="E62" s="3">
        <f t="shared" si="0"/>
        <v>218</v>
      </c>
      <c r="F62" s="3">
        <f t="shared" si="1"/>
        <v>26.26</v>
      </c>
      <c r="G62" s="3">
        <f t="shared" si="2"/>
        <v>8.3015993907083008</v>
      </c>
    </row>
    <row r="63" spans="1:7" x14ac:dyDescent="0.2">
      <c r="A63">
        <v>488647</v>
      </c>
      <c r="B63" s="3">
        <v>1</v>
      </c>
      <c r="C63" s="3">
        <v>218.4</v>
      </c>
      <c r="D63" s="3">
        <v>30.09</v>
      </c>
      <c r="E63" s="3">
        <f t="shared" si="0"/>
        <v>218.4</v>
      </c>
      <c r="F63" s="3">
        <f t="shared" si="1"/>
        <v>30.09</v>
      </c>
      <c r="G63" s="3">
        <f t="shared" si="2"/>
        <v>7.2582253240279169</v>
      </c>
    </row>
    <row r="64" spans="1:7" x14ac:dyDescent="0.2">
      <c r="A64">
        <v>488658</v>
      </c>
      <c r="B64" s="3">
        <v>0.75</v>
      </c>
      <c r="C64" s="3">
        <v>296.10000000000002</v>
      </c>
      <c r="D64" s="3">
        <v>42.28</v>
      </c>
      <c r="E64" s="3">
        <f t="shared" si="0"/>
        <v>394.8</v>
      </c>
      <c r="F64" s="3">
        <f t="shared" si="1"/>
        <v>56.373333333333335</v>
      </c>
      <c r="G64" s="3">
        <f t="shared" si="2"/>
        <v>7.0033112582781456</v>
      </c>
    </row>
    <row r="65" spans="1:11" x14ac:dyDescent="0.2">
      <c r="A65">
        <v>488658</v>
      </c>
      <c r="B65" s="3">
        <v>0.75</v>
      </c>
      <c r="C65" s="3">
        <v>292.3</v>
      </c>
      <c r="D65" s="3">
        <v>41.75</v>
      </c>
      <c r="E65" s="3">
        <f t="shared" si="0"/>
        <v>389.73333333333335</v>
      </c>
      <c r="F65" s="3">
        <f t="shared" si="1"/>
        <v>55.666666666666664</v>
      </c>
      <c r="G65" s="3">
        <f t="shared" si="2"/>
        <v>7.0011976047904199</v>
      </c>
    </row>
    <row r="66" spans="1:11" x14ac:dyDescent="0.2">
      <c r="A66">
        <v>488668</v>
      </c>
      <c r="B66" s="3">
        <v>0.75</v>
      </c>
      <c r="C66" s="3">
        <v>202.4</v>
      </c>
      <c r="D66" s="3">
        <v>32.32</v>
      </c>
      <c r="E66" s="3">
        <f t="shared" si="0"/>
        <v>269.86666666666667</v>
      </c>
      <c r="F66" s="3">
        <f t="shared" si="1"/>
        <v>43.093333333333334</v>
      </c>
      <c r="G66" s="3">
        <f t="shared" si="2"/>
        <v>6.2623762376237622</v>
      </c>
    </row>
    <row r="67" spans="1:11" x14ac:dyDescent="0.2">
      <c r="A67">
        <v>488668</v>
      </c>
      <c r="B67" s="3">
        <v>0.75</v>
      </c>
      <c r="C67" s="3">
        <v>210.2</v>
      </c>
      <c r="D67" s="3">
        <v>35.39</v>
      </c>
      <c r="E67" s="3">
        <f t="shared" si="0"/>
        <v>280.26666666666665</v>
      </c>
      <c r="F67" s="3">
        <f t="shared" si="1"/>
        <v>47.186666666666667</v>
      </c>
      <c r="G67" s="3">
        <f t="shared" si="2"/>
        <v>5.9395309409437687</v>
      </c>
    </row>
    <row r="68" spans="1:11" x14ac:dyDescent="0.2">
      <c r="A68">
        <v>488676</v>
      </c>
      <c r="B68" s="3">
        <v>1</v>
      </c>
      <c r="C68" s="3">
        <v>168</v>
      </c>
      <c r="D68" s="3">
        <v>23.83</v>
      </c>
      <c r="E68" s="3">
        <f t="shared" si="0"/>
        <v>168</v>
      </c>
      <c r="F68" s="3">
        <f t="shared" si="1"/>
        <v>23.83</v>
      </c>
      <c r="G68" s="3">
        <f t="shared" si="2"/>
        <v>7.0499370541334461</v>
      </c>
    </row>
    <row r="69" spans="1:11" x14ac:dyDescent="0.2">
      <c r="A69">
        <v>488676</v>
      </c>
      <c r="B69" s="3">
        <v>1</v>
      </c>
      <c r="C69" s="3">
        <v>181</v>
      </c>
      <c r="D69" s="3">
        <v>28.9</v>
      </c>
      <c r="E69" s="3">
        <f t="shared" si="0"/>
        <v>181</v>
      </c>
      <c r="F69" s="3">
        <f t="shared" si="1"/>
        <v>28.9</v>
      </c>
      <c r="G69" s="3">
        <f t="shared" si="2"/>
        <v>6.2629757785467133</v>
      </c>
    </row>
    <row r="70" spans="1:11" x14ac:dyDescent="0.2">
      <c r="A70">
        <v>488684</v>
      </c>
      <c r="B70" s="3">
        <v>1</v>
      </c>
      <c r="C70" s="3">
        <v>104.7</v>
      </c>
      <c r="D70" s="3">
        <v>13.47</v>
      </c>
      <c r="E70" s="3">
        <f t="shared" si="0"/>
        <v>104.7</v>
      </c>
      <c r="F70" s="3">
        <f t="shared" si="1"/>
        <v>13.47</v>
      </c>
      <c r="G70" s="3">
        <f t="shared" si="2"/>
        <v>7.7728285077950998</v>
      </c>
    </row>
    <row r="71" spans="1:11" x14ac:dyDescent="0.2">
      <c r="A71">
        <v>488684</v>
      </c>
      <c r="B71" s="3">
        <v>1</v>
      </c>
      <c r="C71" s="3">
        <v>116.2</v>
      </c>
      <c r="D71" s="3">
        <v>17.23</v>
      </c>
      <c r="E71" s="3">
        <f t="shared" ref="E71:E103" si="3">(C71/B71)</f>
        <v>116.2</v>
      </c>
      <c r="F71" s="3">
        <f t="shared" ref="F71:F103" si="4">(D71/B71)</f>
        <v>17.23</v>
      </c>
      <c r="G71" s="3">
        <f t="shared" ref="G71:G103" si="5">(C71/D71)</f>
        <v>6.7440510737086479</v>
      </c>
    </row>
    <row r="72" spans="1:11" x14ac:dyDescent="0.2">
      <c r="A72">
        <v>488694</v>
      </c>
      <c r="B72" s="3">
        <v>1</v>
      </c>
      <c r="C72" s="3">
        <v>113.3</v>
      </c>
      <c r="D72" s="3">
        <v>14.41</v>
      </c>
      <c r="E72" s="3">
        <f t="shared" si="3"/>
        <v>113.3</v>
      </c>
      <c r="F72" s="3">
        <f t="shared" si="4"/>
        <v>14.41</v>
      </c>
      <c r="G72" s="3">
        <f t="shared" si="5"/>
        <v>7.8625954198473282</v>
      </c>
      <c r="I72" s="3"/>
      <c r="J72" s="3"/>
      <c r="K72" s="4"/>
    </row>
    <row r="73" spans="1:11" x14ac:dyDescent="0.2">
      <c r="A73">
        <v>488694</v>
      </c>
      <c r="B73" s="3">
        <v>1</v>
      </c>
      <c r="C73" s="3">
        <v>117.3</v>
      </c>
      <c r="D73" s="3">
        <v>15.77</v>
      </c>
      <c r="E73" s="3">
        <f t="shared" si="3"/>
        <v>117.3</v>
      </c>
      <c r="F73" s="3">
        <f t="shared" si="4"/>
        <v>15.77</v>
      </c>
      <c r="G73" s="3">
        <f t="shared" si="5"/>
        <v>7.4381737476220673</v>
      </c>
      <c r="I73" s="3"/>
      <c r="J73" s="3"/>
    </row>
    <row r="74" spans="1:11" x14ac:dyDescent="0.2">
      <c r="A74">
        <v>488705</v>
      </c>
      <c r="B74" s="3">
        <v>1</v>
      </c>
      <c r="C74" s="3">
        <v>110</v>
      </c>
      <c r="D74" s="3">
        <v>16.559999999999999</v>
      </c>
      <c r="E74" s="3">
        <f t="shared" si="3"/>
        <v>110</v>
      </c>
      <c r="F74" s="3">
        <f t="shared" si="4"/>
        <v>16.559999999999999</v>
      </c>
      <c r="G74" s="3">
        <f t="shared" si="5"/>
        <v>6.6425120772946862</v>
      </c>
      <c r="I74" s="3"/>
      <c r="J74" s="3"/>
    </row>
    <row r="75" spans="1:11" x14ac:dyDescent="0.2">
      <c r="A75">
        <v>488705</v>
      </c>
      <c r="B75" s="3">
        <v>1</v>
      </c>
      <c r="C75" s="3">
        <v>103.8</v>
      </c>
      <c r="D75" s="3">
        <v>16.97</v>
      </c>
      <c r="E75" s="3">
        <f t="shared" si="3"/>
        <v>103.8</v>
      </c>
      <c r="F75" s="3">
        <f t="shared" si="4"/>
        <v>16.97</v>
      </c>
      <c r="G75" s="3">
        <f t="shared" si="5"/>
        <v>6.1166764879198592</v>
      </c>
      <c r="I75" s="3"/>
      <c r="J75" s="3"/>
    </row>
    <row r="76" spans="1:11" x14ac:dyDescent="0.2">
      <c r="A76">
        <v>488715</v>
      </c>
      <c r="B76" s="3">
        <v>1</v>
      </c>
      <c r="C76" s="3">
        <v>74.59</v>
      </c>
      <c r="D76" s="3">
        <v>12.66</v>
      </c>
      <c r="E76" s="3">
        <f t="shared" si="3"/>
        <v>74.59</v>
      </c>
      <c r="F76" s="3">
        <f t="shared" si="4"/>
        <v>12.66</v>
      </c>
      <c r="G76" s="3">
        <f t="shared" si="5"/>
        <v>5.8917851500789888</v>
      </c>
      <c r="I76" s="3"/>
      <c r="J76" s="3"/>
    </row>
    <row r="77" spans="1:11" x14ac:dyDescent="0.2">
      <c r="A77">
        <v>488715</v>
      </c>
      <c r="B77" s="3">
        <v>1</v>
      </c>
      <c r="C77" s="3">
        <v>79.180000000000007</v>
      </c>
      <c r="D77" s="3">
        <v>14.45</v>
      </c>
      <c r="E77" s="3">
        <f t="shared" si="3"/>
        <v>79.180000000000007</v>
      </c>
      <c r="F77" s="3">
        <f t="shared" si="4"/>
        <v>14.45</v>
      </c>
      <c r="G77" s="3">
        <f t="shared" si="5"/>
        <v>5.4795847750865061</v>
      </c>
      <c r="I77" s="3"/>
      <c r="J77" s="3"/>
    </row>
    <row r="78" spans="1:11" x14ac:dyDescent="0.2">
      <c r="A78">
        <v>488723</v>
      </c>
      <c r="B78" s="3">
        <v>1</v>
      </c>
      <c r="C78" s="3">
        <v>71.34</v>
      </c>
      <c r="D78" s="3">
        <v>11.62</v>
      </c>
      <c r="E78" s="3">
        <f t="shared" si="3"/>
        <v>71.34</v>
      </c>
      <c r="F78" s="3">
        <f t="shared" si="4"/>
        <v>11.62</v>
      </c>
      <c r="G78" s="3">
        <f t="shared" si="5"/>
        <v>6.1394148020654056</v>
      </c>
      <c r="I78" s="3"/>
      <c r="J78" s="3"/>
    </row>
    <row r="79" spans="1:11" x14ac:dyDescent="0.2">
      <c r="A79">
        <v>488723</v>
      </c>
      <c r="B79" s="3">
        <v>1</v>
      </c>
      <c r="C79" s="3">
        <v>65.75</v>
      </c>
      <c r="D79" s="3">
        <v>11.41</v>
      </c>
      <c r="E79" s="3">
        <f t="shared" si="3"/>
        <v>65.75</v>
      </c>
      <c r="F79" s="3">
        <f t="shared" si="4"/>
        <v>11.41</v>
      </c>
      <c r="G79" s="3">
        <f t="shared" si="5"/>
        <v>5.7624890446976336</v>
      </c>
      <c r="I79" s="3"/>
      <c r="J79" s="3"/>
    </row>
    <row r="80" spans="1:11" x14ac:dyDescent="0.2">
      <c r="A80">
        <v>488732</v>
      </c>
      <c r="B80" s="3">
        <v>0.75</v>
      </c>
      <c r="C80" s="3">
        <v>72.3</v>
      </c>
      <c r="D80" s="3">
        <v>10.54</v>
      </c>
      <c r="E80" s="3">
        <f t="shared" si="3"/>
        <v>96.399999999999991</v>
      </c>
      <c r="F80" s="3">
        <f t="shared" si="4"/>
        <v>14.053333333333333</v>
      </c>
      <c r="G80" s="3">
        <f t="shared" si="5"/>
        <v>6.8595825426944979</v>
      </c>
      <c r="I80" s="3"/>
      <c r="J80" s="3"/>
    </row>
    <row r="81" spans="1:10" x14ac:dyDescent="0.2">
      <c r="A81">
        <v>488732</v>
      </c>
      <c r="B81" s="3">
        <v>0.75</v>
      </c>
      <c r="C81" s="3">
        <v>104.6</v>
      </c>
      <c r="D81" s="3">
        <v>18.760000000000002</v>
      </c>
      <c r="E81" s="3">
        <f t="shared" si="3"/>
        <v>139.46666666666667</v>
      </c>
      <c r="F81" s="3">
        <f t="shared" si="4"/>
        <v>25.013333333333335</v>
      </c>
      <c r="G81" s="3">
        <f t="shared" si="5"/>
        <v>5.5756929637526644</v>
      </c>
      <c r="I81" s="3"/>
      <c r="J81" s="3"/>
    </row>
    <row r="82" spans="1:10" x14ac:dyDescent="0.2">
      <c r="A82">
        <v>488743</v>
      </c>
      <c r="B82" s="3">
        <v>1</v>
      </c>
      <c r="C82" s="3">
        <v>86.56</v>
      </c>
      <c r="D82" s="3">
        <v>17.57</v>
      </c>
      <c r="E82" s="3">
        <f t="shared" si="3"/>
        <v>86.56</v>
      </c>
      <c r="F82" s="3">
        <f t="shared" si="4"/>
        <v>17.57</v>
      </c>
      <c r="G82" s="3">
        <f t="shared" si="5"/>
        <v>4.9265793966989184</v>
      </c>
      <c r="I82" s="3"/>
      <c r="J82" s="3"/>
    </row>
    <row r="83" spans="1:10" x14ac:dyDescent="0.2">
      <c r="A83">
        <v>488743</v>
      </c>
      <c r="B83" s="3">
        <v>1</v>
      </c>
      <c r="C83" s="3">
        <v>62.89</v>
      </c>
      <c r="D83" s="3">
        <v>9.58</v>
      </c>
      <c r="E83" s="3">
        <f t="shared" si="3"/>
        <v>62.89</v>
      </c>
      <c r="F83" s="3">
        <f t="shared" si="4"/>
        <v>9.58</v>
      </c>
      <c r="G83" s="3">
        <f t="shared" si="5"/>
        <v>6.5647181628392488</v>
      </c>
      <c r="I83" s="3"/>
      <c r="J83" s="3"/>
    </row>
    <row r="84" spans="1:10" x14ac:dyDescent="0.2">
      <c r="A84">
        <v>488759</v>
      </c>
      <c r="B84" s="3">
        <v>1</v>
      </c>
      <c r="C84" s="3">
        <v>71.239999999999995</v>
      </c>
      <c r="D84" s="3">
        <v>10.27</v>
      </c>
      <c r="E84" s="3">
        <f t="shared" si="3"/>
        <v>71.239999999999995</v>
      </c>
      <c r="F84" s="3">
        <f t="shared" si="4"/>
        <v>10.27</v>
      </c>
      <c r="G84" s="3">
        <f t="shared" si="5"/>
        <v>6.9367088607594933</v>
      </c>
      <c r="I84" s="3"/>
      <c r="J84" s="3"/>
    </row>
    <row r="85" spans="1:10" x14ac:dyDescent="0.2">
      <c r="A85">
        <v>488759</v>
      </c>
      <c r="B85" s="3">
        <v>1</v>
      </c>
      <c r="C85" s="3">
        <v>79.38</v>
      </c>
      <c r="D85" s="3">
        <v>10.76</v>
      </c>
      <c r="E85" s="3">
        <f t="shared" si="3"/>
        <v>79.38</v>
      </c>
      <c r="F85" s="3">
        <f t="shared" si="4"/>
        <v>10.76</v>
      </c>
      <c r="G85" s="3">
        <f t="shared" si="5"/>
        <v>7.3773234200743492</v>
      </c>
      <c r="I85" s="3"/>
      <c r="J85" s="3"/>
    </row>
    <row r="86" spans="1:10" x14ac:dyDescent="0.2">
      <c r="A86">
        <v>488775</v>
      </c>
      <c r="B86" s="3">
        <v>1</v>
      </c>
      <c r="C86" s="3">
        <v>134.5</v>
      </c>
      <c r="D86" s="3">
        <v>18.649999999999999</v>
      </c>
      <c r="E86" s="3">
        <f t="shared" si="3"/>
        <v>134.5</v>
      </c>
      <c r="F86" s="3">
        <f t="shared" si="4"/>
        <v>18.649999999999999</v>
      </c>
      <c r="G86" s="3">
        <f t="shared" si="5"/>
        <v>7.2117962466487944</v>
      </c>
      <c r="I86" s="3"/>
      <c r="J86" s="3"/>
    </row>
    <row r="87" spans="1:10" x14ac:dyDescent="0.2">
      <c r="A87">
        <v>488775</v>
      </c>
      <c r="B87" s="3">
        <v>1</v>
      </c>
      <c r="C87" s="3">
        <v>114.3</v>
      </c>
      <c r="D87" s="3">
        <v>19.28</v>
      </c>
      <c r="E87" s="3">
        <f t="shared" si="3"/>
        <v>114.3</v>
      </c>
      <c r="F87" s="3">
        <f t="shared" si="4"/>
        <v>19.28</v>
      </c>
      <c r="G87" s="3">
        <f t="shared" si="5"/>
        <v>5.9284232365145222</v>
      </c>
      <c r="I87" s="3"/>
      <c r="J87" s="3"/>
    </row>
    <row r="88" spans="1:10" x14ac:dyDescent="0.2">
      <c r="A88">
        <v>488794</v>
      </c>
      <c r="B88" s="3">
        <v>1</v>
      </c>
      <c r="C88" s="3">
        <v>84.54</v>
      </c>
      <c r="D88" s="3">
        <v>12.7</v>
      </c>
      <c r="E88" s="3">
        <f t="shared" si="3"/>
        <v>84.54</v>
      </c>
      <c r="F88" s="3">
        <f t="shared" si="4"/>
        <v>12.7</v>
      </c>
      <c r="G88" s="3">
        <f t="shared" si="5"/>
        <v>6.6566929133858279</v>
      </c>
      <c r="I88" s="3"/>
      <c r="J88" s="3"/>
    </row>
    <row r="89" spans="1:10" x14ac:dyDescent="0.2">
      <c r="A89">
        <v>488794</v>
      </c>
      <c r="B89" s="3">
        <v>1</v>
      </c>
      <c r="C89" s="3">
        <v>78.69</v>
      </c>
      <c r="D89" s="3">
        <v>11.28</v>
      </c>
      <c r="E89" s="3">
        <f t="shared" si="3"/>
        <v>78.69</v>
      </c>
      <c r="F89" s="3">
        <f t="shared" si="4"/>
        <v>11.28</v>
      </c>
      <c r="G89" s="3">
        <f t="shared" si="5"/>
        <v>6.9760638297872344</v>
      </c>
      <c r="I89" s="3"/>
      <c r="J89" s="3"/>
    </row>
    <row r="90" spans="1:10" x14ac:dyDescent="0.2">
      <c r="A90">
        <v>488813</v>
      </c>
      <c r="B90" s="3">
        <v>0.75</v>
      </c>
      <c r="C90" s="3">
        <v>67.040000000000006</v>
      </c>
      <c r="D90" s="3">
        <v>11.08</v>
      </c>
      <c r="E90" s="3">
        <f t="shared" si="3"/>
        <v>89.38666666666667</v>
      </c>
      <c r="F90" s="3">
        <f t="shared" si="4"/>
        <v>14.773333333333333</v>
      </c>
      <c r="G90" s="3">
        <f t="shared" si="5"/>
        <v>6.0505415162454881</v>
      </c>
      <c r="I90" s="3"/>
      <c r="J90" s="3"/>
    </row>
    <row r="91" spans="1:10" x14ac:dyDescent="0.2">
      <c r="A91">
        <v>488813</v>
      </c>
      <c r="B91" s="3">
        <v>0.75</v>
      </c>
      <c r="C91" s="3">
        <v>81.3</v>
      </c>
      <c r="D91" s="3">
        <v>13.12</v>
      </c>
      <c r="E91" s="3">
        <f t="shared" si="3"/>
        <v>108.39999999999999</v>
      </c>
      <c r="F91" s="3">
        <f t="shared" si="4"/>
        <v>17.493333333333332</v>
      </c>
      <c r="G91" s="3">
        <f t="shared" si="5"/>
        <v>6.1966463414634152</v>
      </c>
    </row>
    <row r="92" spans="1:10" x14ac:dyDescent="0.2">
      <c r="A92">
        <v>488833</v>
      </c>
      <c r="B92" s="3">
        <v>1</v>
      </c>
      <c r="C92" s="3">
        <v>74.319999999999993</v>
      </c>
      <c r="D92" s="3">
        <v>12.97</v>
      </c>
      <c r="E92" s="3">
        <f t="shared" si="3"/>
        <v>74.319999999999993</v>
      </c>
      <c r="F92" s="3">
        <f t="shared" si="4"/>
        <v>12.97</v>
      </c>
      <c r="G92" s="3">
        <f t="shared" si="5"/>
        <v>5.7301464919043941</v>
      </c>
    </row>
    <row r="93" spans="1:10" x14ac:dyDescent="0.2">
      <c r="A93">
        <v>488833</v>
      </c>
      <c r="B93" s="3">
        <v>1</v>
      </c>
      <c r="C93" s="3">
        <v>71.03</v>
      </c>
      <c r="D93" s="3">
        <v>11.68</v>
      </c>
      <c r="E93" s="3">
        <f t="shared" si="3"/>
        <v>71.03</v>
      </c>
      <c r="F93" s="3">
        <f t="shared" si="4"/>
        <v>11.68</v>
      </c>
      <c r="G93" s="3">
        <f t="shared" si="5"/>
        <v>6.0813356164383565</v>
      </c>
    </row>
    <row r="94" spans="1:10" x14ac:dyDescent="0.2">
      <c r="A94">
        <v>488857</v>
      </c>
      <c r="B94" s="3">
        <v>1</v>
      </c>
      <c r="C94" s="3">
        <v>83.17</v>
      </c>
      <c r="D94" s="3">
        <v>11.49</v>
      </c>
      <c r="E94" s="3">
        <f t="shared" si="3"/>
        <v>83.17</v>
      </c>
      <c r="F94" s="3">
        <f t="shared" si="4"/>
        <v>11.49</v>
      </c>
      <c r="G94" s="3">
        <f t="shared" si="5"/>
        <v>7.2384682332463015</v>
      </c>
    </row>
    <row r="95" spans="1:10" x14ac:dyDescent="0.2">
      <c r="A95">
        <v>488857</v>
      </c>
      <c r="B95" s="3">
        <v>1</v>
      </c>
      <c r="C95" s="3">
        <v>89.69</v>
      </c>
      <c r="D95" s="3">
        <v>12.99</v>
      </c>
      <c r="E95" s="3">
        <f t="shared" si="3"/>
        <v>89.69</v>
      </c>
      <c r="F95" s="3">
        <f t="shared" si="4"/>
        <v>12.99</v>
      </c>
      <c r="G95" s="3">
        <f t="shared" si="5"/>
        <v>6.9045419553502692</v>
      </c>
    </row>
    <row r="96" spans="1:10" x14ac:dyDescent="0.2">
      <c r="A96">
        <v>488880</v>
      </c>
      <c r="B96" s="3">
        <v>1</v>
      </c>
      <c r="C96" s="3">
        <v>70.02</v>
      </c>
      <c r="D96" s="3">
        <v>11.35</v>
      </c>
      <c r="E96" s="3">
        <f t="shared" si="3"/>
        <v>70.02</v>
      </c>
      <c r="F96" s="3">
        <f t="shared" si="4"/>
        <v>11.35</v>
      </c>
      <c r="G96" s="3">
        <f t="shared" si="5"/>
        <v>6.1691629955947134</v>
      </c>
    </row>
    <row r="97" spans="1:7" x14ac:dyDescent="0.2">
      <c r="A97">
        <v>488880</v>
      </c>
      <c r="B97" s="3">
        <v>1</v>
      </c>
      <c r="C97" s="3">
        <v>72.52</v>
      </c>
      <c r="D97" s="3">
        <v>11.02</v>
      </c>
      <c r="E97" s="3">
        <f t="shared" si="3"/>
        <v>72.52</v>
      </c>
      <c r="F97" s="3">
        <f t="shared" si="4"/>
        <v>11.02</v>
      </c>
      <c r="G97" s="3">
        <f t="shared" si="5"/>
        <v>6.58076225045372</v>
      </c>
    </row>
    <row r="98" spans="1:7" x14ac:dyDescent="0.2">
      <c r="A98">
        <v>488904</v>
      </c>
      <c r="B98" s="3">
        <v>1</v>
      </c>
      <c r="C98" s="3">
        <v>47.27</v>
      </c>
      <c r="D98" s="3">
        <v>9.19</v>
      </c>
      <c r="E98" s="3">
        <f t="shared" si="3"/>
        <v>47.27</v>
      </c>
      <c r="F98" s="3">
        <f t="shared" si="4"/>
        <v>9.19</v>
      </c>
      <c r="G98" s="3">
        <f t="shared" si="5"/>
        <v>5.143634385201306</v>
      </c>
    </row>
    <row r="99" spans="1:7" x14ac:dyDescent="0.2">
      <c r="A99">
        <v>488904</v>
      </c>
      <c r="B99" s="3">
        <v>1</v>
      </c>
      <c r="C99" s="3">
        <v>43.69</v>
      </c>
      <c r="D99" s="3">
        <v>6.82</v>
      </c>
      <c r="E99" s="3">
        <f t="shared" si="3"/>
        <v>43.69</v>
      </c>
      <c r="F99" s="3">
        <f t="shared" si="4"/>
        <v>6.82</v>
      </c>
      <c r="G99" s="3">
        <f t="shared" si="5"/>
        <v>6.4061583577712602</v>
      </c>
    </row>
    <row r="100" spans="1:7" x14ac:dyDescent="0.2">
      <c r="A100">
        <v>488927</v>
      </c>
      <c r="B100" s="3">
        <v>1</v>
      </c>
      <c r="C100" s="3">
        <v>53.74</v>
      </c>
      <c r="D100" s="3">
        <v>7.16</v>
      </c>
      <c r="E100" s="3">
        <f t="shared" si="3"/>
        <v>53.74</v>
      </c>
      <c r="F100" s="3">
        <f t="shared" si="4"/>
        <v>7.16</v>
      </c>
      <c r="G100" s="3">
        <f t="shared" si="5"/>
        <v>7.505586592178771</v>
      </c>
    </row>
    <row r="101" spans="1:7" x14ac:dyDescent="0.2">
      <c r="A101">
        <v>488927</v>
      </c>
      <c r="B101" s="3">
        <v>1</v>
      </c>
      <c r="C101" s="3">
        <v>57.66</v>
      </c>
      <c r="D101" s="3">
        <v>8.66</v>
      </c>
      <c r="E101" s="3">
        <f t="shared" si="3"/>
        <v>57.66</v>
      </c>
      <c r="F101" s="3">
        <f t="shared" si="4"/>
        <v>8.66</v>
      </c>
      <c r="G101" s="3">
        <f t="shared" si="5"/>
        <v>6.6581986143187066</v>
      </c>
    </row>
    <row r="102" spans="1:7" x14ac:dyDescent="0.2">
      <c r="A102">
        <v>488939</v>
      </c>
      <c r="B102" s="3">
        <v>1</v>
      </c>
      <c r="C102" s="3">
        <v>133.80000000000001</v>
      </c>
      <c r="D102" s="3">
        <v>23.89</v>
      </c>
      <c r="E102" s="3">
        <f t="shared" si="3"/>
        <v>133.80000000000001</v>
      </c>
      <c r="F102" s="3">
        <f t="shared" si="4"/>
        <v>23.89</v>
      </c>
      <c r="G102" s="3">
        <f t="shared" si="5"/>
        <v>5.6006697362913354</v>
      </c>
    </row>
    <row r="103" spans="1:7" x14ac:dyDescent="0.2">
      <c r="A103">
        <v>488939</v>
      </c>
      <c r="B103" s="3">
        <v>1</v>
      </c>
      <c r="C103" s="3">
        <v>118</v>
      </c>
      <c r="D103" s="3">
        <v>19.68</v>
      </c>
      <c r="E103" s="3">
        <f t="shared" si="3"/>
        <v>118</v>
      </c>
      <c r="F103" s="3">
        <f t="shared" si="4"/>
        <v>19.68</v>
      </c>
      <c r="G103" s="3">
        <f t="shared" si="5"/>
        <v>5.9959349593495936</v>
      </c>
    </row>
    <row r="104" spans="1:7" x14ac:dyDescent="0.2">
      <c r="A104">
        <v>488951</v>
      </c>
      <c r="B104" s="3">
        <v>0.75</v>
      </c>
      <c r="C104" s="3">
        <v>113.3</v>
      </c>
      <c r="D104" s="3">
        <v>18.55</v>
      </c>
      <c r="E104" s="3">
        <f t="shared" ref="E104:E167" si="6">(C104/B104)</f>
        <v>151.06666666666666</v>
      </c>
      <c r="F104" s="3">
        <f t="shared" ref="F104:F167" si="7">(D104/B104)</f>
        <v>24.733333333333334</v>
      </c>
      <c r="G104" s="3">
        <f t="shared" ref="G104:G167" si="8">(C104/D104)</f>
        <v>6.1078167115902957</v>
      </c>
    </row>
    <row r="105" spans="1:7" x14ac:dyDescent="0.2">
      <c r="A105">
        <v>488951</v>
      </c>
      <c r="B105" s="3">
        <v>0.75</v>
      </c>
      <c r="C105" s="3">
        <v>95.49</v>
      </c>
      <c r="D105" s="3">
        <v>13.89</v>
      </c>
      <c r="E105" s="3">
        <f t="shared" si="6"/>
        <v>127.32</v>
      </c>
      <c r="F105" s="3">
        <f t="shared" si="7"/>
        <v>18.52</v>
      </c>
      <c r="G105" s="3">
        <f t="shared" si="8"/>
        <v>6.8747300215982712</v>
      </c>
    </row>
    <row r="106" spans="1:7" x14ac:dyDescent="0.2">
      <c r="A106">
        <v>488964</v>
      </c>
      <c r="B106" s="3">
        <v>0.75</v>
      </c>
      <c r="C106" s="3">
        <v>126.3</v>
      </c>
      <c r="D106" s="3">
        <v>20.420000000000002</v>
      </c>
      <c r="E106" s="3">
        <f t="shared" si="6"/>
        <v>168.4</v>
      </c>
      <c r="F106" s="3">
        <f t="shared" si="7"/>
        <v>27.22666666666667</v>
      </c>
      <c r="G106" s="3">
        <f t="shared" si="8"/>
        <v>6.1851126346718894</v>
      </c>
    </row>
    <row r="107" spans="1:7" x14ac:dyDescent="0.2">
      <c r="A107">
        <v>488964</v>
      </c>
      <c r="B107" s="3">
        <v>0.75</v>
      </c>
      <c r="C107" s="3">
        <v>125.8</v>
      </c>
      <c r="D107" s="3">
        <v>18.87</v>
      </c>
      <c r="E107" s="3">
        <f t="shared" si="6"/>
        <v>167.73333333333332</v>
      </c>
      <c r="F107" s="3">
        <f t="shared" si="7"/>
        <v>25.16</v>
      </c>
      <c r="G107" s="3">
        <f t="shared" si="8"/>
        <v>6.6666666666666661</v>
      </c>
    </row>
    <row r="108" spans="1:7" x14ac:dyDescent="0.2">
      <c r="A108">
        <v>488978</v>
      </c>
      <c r="B108" s="3">
        <v>1</v>
      </c>
      <c r="C108" s="3">
        <v>84.47</v>
      </c>
      <c r="D108" s="3">
        <v>13.88</v>
      </c>
      <c r="E108" s="3">
        <f t="shared" si="6"/>
        <v>84.47</v>
      </c>
      <c r="F108" s="3">
        <f t="shared" si="7"/>
        <v>13.88</v>
      </c>
      <c r="G108" s="3">
        <f t="shared" si="8"/>
        <v>6.0857348703170029</v>
      </c>
    </row>
    <row r="109" spans="1:7" x14ac:dyDescent="0.2">
      <c r="A109">
        <v>488978</v>
      </c>
      <c r="B109" s="3">
        <v>1</v>
      </c>
      <c r="C109" s="3">
        <v>111.9</v>
      </c>
      <c r="D109" s="3">
        <v>17.93</v>
      </c>
      <c r="E109" s="3">
        <f t="shared" si="6"/>
        <v>111.9</v>
      </c>
      <c r="F109" s="3">
        <f t="shared" si="7"/>
        <v>17.93</v>
      </c>
      <c r="G109" s="3">
        <f t="shared" si="8"/>
        <v>6.2409369771332965</v>
      </c>
    </row>
    <row r="110" spans="1:7" x14ac:dyDescent="0.2">
      <c r="A110">
        <v>488992</v>
      </c>
      <c r="B110" s="3">
        <v>1</v>
      </c>
      <c r="C110" s="3">
        <v>91.28</v>
      </c>
      <c r="D110" s="3">
        <v>15.08</v>
      </c>
      <c r="E110" s="3">
        <f t="shared" si="6"/>
        <v>91.28</v>
      </c>
      <c r="F110" s="3">
        <f t="shared" si="7"/>
        <v>15.08</v>
      </c>
      <c r="G110" s="3">
        <f t="shared" si="8"/>
        <v>6.0530503978779837</v>
      </c>
    </row>
    <row r="111" spans="1:7" x14ac:dyDescent="0.2">
      <c r="A111">
        <v>488992</v>
      </c>
      <c r="B111" s="3">
        <v>1</v>
      </c>
      <c r="C111" s="3">
        <v>86.09</v>
      </c>
      <c r="D111" s="3">
        <v>13.89</v>
      </c>
      <c r="E111" s="3">
        <f t="shared" si="6"/>
        <v>86.09</v>
      </c>
      <c r="F111" s="3">
        <f t="shared" si="7"/>
        <v>13.89</v>
      </c>
      <c r="G111" s="3">
        <f t="shared" si="8"/>
        <v>6.1979841612670983</v>
      </c>
    </row>
    <row r="112" spans="1:7" x14ac:dyDescent="0.2">
      <c r="A112">
        <v>489011</v>
      </c>
      <c r="B112" s="3">
        <v>1</v>
      </c>
      <c r="C112" s="3">
        <v>116.8</v>
      </c>
      <c r="D112" s="3">
        <v>12.68</v>
      </c>
      <c r="E112" s="3">
        <f t="shared" si="6"/>
        <v>116.8</v>
      </c>
      <c r="F112" s="3">
        <f t="shared" si="7"/>
        <v>12.68</v>
      </c>
      <c r="G112" s="3">
        <f t="shared" si="8"/>
        <v>9.2113564668769712</v>
      </c>
    </row>
    <row r="113" spans="1:7" x14ac:dyDescent="0.2">
      <c r="A113">
        <v>489011</v>
      </c>
      <c r="B113" s="3">
        <v>1</v>
      </c>
      <c r="C113" s="3">
        <v>102.2</v>
      </c>
      <c r="D113" s="3">
        <v>14.69</v>
      </c>
      <c r="E113" s="3">
        <f t="shared" si="6"/>
        <v>102.2</v>
      </c>
      <c r="F113" s="3">
        <f t="shared" si="7"/>
        <v>14.69</v>
      </c>
      <c r="G113" s="3">
        <f t="shared" si="8"/>
        <v>6.9571136827773996</v>
      </c>
    </row>
    <row r="114" spans="1:7" x14ac:dyDescent="0.2">
      <c r="A114">
        <v>489027</v>
      </c>
      <c r="B114" s="3">
        <v>0.75</v>
      </c>
      <c r="C114" s="3">
        <v>82.72</v>
      </c>
      <c r="D114" s="3">
        <v>13.88</v>
      </c>
      <c r="E114" s="3">
        <f t="shared" si="6"/>
        <v>110.29333333333334</v>
      </c>
      <c r="F114" s="3">
        <f t="shared" si="7"/>
        <v>18.506666666666668</v>
      </c>
      <c r="G114" s="3">
        <f t="shared" si="8"/>
        <v>5.9596541786743513</v>
      </c>
    </row>
    <row r="115" spans="1:7" x14ac:dyDescent="0.2">
      <c r="A115">
        <v>489027</v>
      </c>
      <c r="B115" s="3">
        <v>0.75</v>
      </c>
      <c r="C115" s="3">
        <v>83.17</v>
      </c>
      <c r="D115" s="3">
        <v>12.81</v>
      </c>
      <c r="E115" s="3">
        <f t="shared" si="6"/>
        <v>110.89333333333333</v>
      </c>
      <c r="F115" s="3">
        <f t="shared" si="7"/>
        <v>17.080000000000002</v>
      </c>
      <c r="G115" s="3">
        <f t="shared" si="8"/>
        <v>6.4925839188134269</v>
      </c>
    </row>
    <row r="116" spans="1:7" x14ac:dyDescent="0.2">
      <c r="A116">
        <v>489040</v>
      </c>
      <c r="B116" s="3">
        <v>0.75</v>
      </c>
      <c r="C116" s="3">
        <v>108.6</v>
      </c>
      <c r="D116" s="3">
        <v>18.28</v>
      </c>
      <c r="E116" s="3">
        <f t="shared" si="6"/>
        <v>144.79999999999998</v>
      </c>
      <c r="F116" s="3">
        <f t="shared" si="7"/>
        <v>24.373333333333335</v>
      </c>
      <c r="G116" s="3">
        <f t="shared" si="8"/>
        <v>5.9409190371991238</v>
      </c>
    </row>
    <row r="117" spans="1:7" x14ac:dyDescent="0.2">
      <c r="A117">
        <v>489040</v>
      </c>
      <c r="B117" s="3">
        <v>0.75</v>
      </c>
      <c r="C117" s="3">
        <v>93.63</v>
      </c>
      <c r="D117" s="3">
        <v>16.309999999999999</v>
      </c>
      <c r="E117" s="3">
        <f t="shared" si="6"/>
        <v>124.83999999999999</v>
      </c>
      <c r="F117" s="3">
        <f t="shared" si="7"/>
        <v>21.746666666666666</v>
      </c>
      <c r="G117" s="3">
        <f t="shared" si="8"/>
        <v>5.740649908031882</v>
      </c>
    </row>
    <row r="118" spans="1:7" x14ac:dyDescent="0.2">
      <c r="A118">
        <v>489047</v>
      </c>
      <c r="B118" s="3">
        <v>0.75</v>
      </c>
      <c r="C118" s="3">
        <v>79.27</v>
      </c>
      <c r="D118" s="3">
        <v>11.61</v>
      </c>
      <c r="E118" s="3">
        <f t="shared" si="6"/>
        <v>105.69333333333333</v>
      </c>
      <c r="F118" s="3">
        <f t="shared" si="7"/>
        <v>15.479999999999999</v>
      </c>
      <c r="G118" s="3">
        <f t="shared" si="8"/>
        <v>6.8277347114556415</v>
      </c>
    </row>
    <row r="119" spans="1:7" x14ac:dyDescent="0.2">
      <c r="A119">
        <v>489047</v>
      </c>
      <c r="B119" s="3">
        <v>0.75</v>
      </c>
      <c r="C119" s="3">
        <v>81.72</v>
      </c>
      <c r="D119" s="3">
        <v>12.54</v>
      </c>
      <c r="E119" s="3">
        <f t="shared" si="6"/>
        <v>108.96</v>
      </c>
      <c r="F119" s="3">
        <f t="shared" si="7"/>
        <v>16.72</v>
      </c>
      <c r="G119" s="3">
        <f t="shared" si="8"/>
        <v>6.5167464114832541</v>
      </c>
    </row>
    <row r="120" spans="1:7" x14ac:dyDescent="0.2">
      <c r="A120">
        <v>489057</v>
      </c>
      <c r="B120" s="3">
        <v>0.75</v>
      </c>
      <c r="C120" s="3">
        <v>87.43</v>
      </c>
      <c r="D120" s="3">
        <v>13.48</v>
      </c>
      <c r="E120" s="3">
        <f t="shared" si="6"/>
        <v>116.57333333333334</v>
      </c>
      <c r="F120" s="3">
        <f t="shared" si="7"/>
        <v>17.973333333333333</v>
      </c>
      <c r="G120" s="3">
        <f t="shared" si="8"/>
        <v>6.4859050445103863</v>
      </c>
    </row>
    <row r="121" spans="1:7" x14ac:dyDescent="0.2">
      <c r="A121">
        <v>489057</v>
      </c>
      <c r="B121" s="3">
        <v>0.75</v>
      </c>
      <c r="C121" s="3">
        <v>88.3</v>
      </c>
      <c r="D121" s="3">
        <v>12.81</v>
      </c>
      <c r="E121" s="3">
        <f t="shared" si="6"/>
        <v>117.73333333333333</v>
      </c>
      <c r="F121" s="3">
        <f t="shared" si="7"/>
        <v>17.080000000000002</v>
      </c>
      <c r="G121" s="3">
        <f t="shared" si="8"/>
        <v>6.8930523028883677</v>
      </c>
    </row>
    <row r="122" spans="1:7" x14ac:dyDescent="0.2">
      <c r="A122">
        <v>489066</v>
      </c>
      <c r="B122" s="3">
        <v>0.75</v>
      </c>
      <c r="C122" s="3">
        <v>78.66</v>
      </c>
      <c r="D122" s="3">
        <v>9.74</v>
      </c>
      <c r="E122" s="3">
        <f t="shared" si="6"/>
        <v>104.88</v>
      </c>
      <c r="F122" s="3">
        <f t="shared" si="7"/>
        <v>12.986666666666666</v>
      </c>
      <c r="G122" s="3">
        <f t="shared" si="8"/>
        <v>8.075975359342916</v>
      </c>
    </row>
    <row r="123" spans="1:7" x14ac:dyDescent="0.2">
      <c r="A123">
        <v>489066</v>
      </c>
      <c r="B123" s="3">
        <v>0.75</v>
      </c>
      <c r="C123" s="3">
        <v>76.84</v>
      </c>
      <c r="D123" s="3">
        <v>10.11</v>
      </c>
      <c r="E123" s="3">
        <f t="shared" si="6"/>
        <v>102.45333333333333</v>
      </c>
      <c r="F123" s="3">
        <f t="shared" si="7"/>
        <v>13.479999999999999</v>
      </c>
      <c r="G123" s="3">
        <f t="shared" si="8"/>
        <v>7.6003956478733938</v>
      </c>
    </row>
    <row r="124" spans="1:7" x14ac:dyDescent="0.2">
      <c r="A124">
        <v>489076</v>
      </c>
      <c r="B124" s="3">
        <v>1</v>
      </c>
      <c r="C124" s="3">
        <v>106.9</v>
      </c>
      <c r="D124" s="3">
        <v>14.55</v>
      </c>
      <c r="E124" s="3">
        <f t="shared" si="6"/>
        <v>106.9</v>
      </c>
      <c r="F124" s="3">
        <f t="shared" si="7"/>
        <v>14.55</v>
      </c>
      <c r="G124" s="3">
        <f t="shared" si="8"/>
        <v>7.3470790378006869</v>
      </c>
    </row>
    <row r="125" spans="1:7" x14ac:dyDescent="0.2">
      <c r="A125">
        <v>489076</v>
      </c>
      <c r="B125" s="3">
        <v>1</v>
      </c>
      <c r="C125" s="3">
        <v>100.6</v>
      </c>
      <c r="D125" s="3">
        <v>12.94</v>
      </c>
      <c r="E125" s="3">
        <f t="shared" si="6"/>
        <v>100.6</v>
      </c>
      <c r="F125" s="3">
        <f t="shared" si="7"/>
        <v>12.94</v>
      </c>
      <c r="G125" s="3">
        <f t="shared" si="8"/>
        <v>7.7743431221020094</v>
      </c>
    </row>
    <row r="126" spans="1:7" x14ac:dyDescent="0.2">
      <c r="A126">
        <v>489085</v>
      </c>
      <c r="B126" s="3">
        <v>0.7</v>
      </c>
      <c r="C126" s="3">
        <v>152.9</v>
      </c>
      <c r="D126" s="3">
        <v>27.62</v>
      </c>
      <c r="E126" s="3">
        <f t="shared" si="6"/>
        <v>218.42857142857144</v>
      </c>
      <c r="F126" s="3">
        <f t="shared" si="7"/>
        <v>39.457142857142863</v>
      </c>
      <c r="G126" s="3">
        <f t="shared" si="8"/>
        <v>5.5358435916002895</v>
      </c>
    </row>
    <row r="127" spans="1:7" x14ac:dyDescent="0.2">
      <c r="A127">
        <v>489085</v>
      </c>
      <c r="B127" s="3">
        <v>0.75</v>
      </c>
      <c r="C127" s="3">
        <v>140</v>
      </c>
      <c r="D127" s="3">
        <v>23.32</v>
      </c>
      <c r="E127" s="3">
        <f t="shared" si="6"/>
        <v>186.66666666666666</v>
      </c>
      <c r="F127" s="3">
        <f t="shared" si="7"/>
        <v>31.093333333333334</v>
      </c>
      <c r="G127" s="3">
        <f t="shared" si="8"/>
        <v>6.0034305317324188</v>
      </c>
    </row>
    <row r="128" spans="1:7" x14ac:dyDescent="0.2">
      <c r="A128">
        <v>489095</v>
      </c>
      <c r="B128" s="3">
        <v>0.75</v>
      </c>
      <c r="C128" s="3">
        <v>104.6</v>
      </c>
      <c r="D128" s="3">
        <v>18.02</v>
      </c>
      <c r="E128" s="3">
        <f t="shared" si="6"/>
        <v>139.46666666666667</v>
      </c>
      <c r="F128" s="3">
        <f t="shared" si="7"/>
        <v>24.026666666666667</v>
      </c>
      <c r="G128" s="3">
        <f t="shared" si="8"/>
        <v>5.8046614872364035</v>
      </c>
    </row>
    <row r="129" spans="1:7" x14ac:dyDescent="0.2">
      <c r="A129">
        <v>489095</v>
      </c>
      <c r="B129" s="3">
        <v>0.75</v>
      </c>
      <c r="C129" s="3">
        <v>179.9</v>
      </c>
      <c r="D129" s="3">
        <v>32.49</v>
      </c>
      <c r="E129" s="3">
        <f t="shared" si="6"/>
        <v>239.86666666666667</v>
      </c>
      <c r="F129" s="3">
        <f t="shared" si="7"/>
        <v>43.32</v>
      </c>
      <c r="G129" s="3">
        <f t="shared" si="8"/>
        <v>5.5370883348722684</v>
      </c>
    </row>
    <row r="130" spans="1:7" x14ac:dyDescent="0.2">
      <c r="A130">
        <v>489103</v>
      </c>
      <c r="B130" s="3">
        <v>1</v>
      </c>
      <c r="C130" s="3">
        <v>143.69999999999999</v>
      </c>
      <c r="D130" s="3">
        <v>26.02</v>
      </c>
      <c r="E130" s="3">
        <f t="shared" si="6"/>
        <v>143.69999999999999</v>
      </c>
      <c r="F130" s="3">
        <f t="shared" si="7"/>
        <v>26.02</v>
      </c>
      <c r="G130" s="3">
        <f t="shared" si="8"/>
        <v>5.5226748654880859</v>
      </c>
    </row>
    <row r="131" spans="1:7" x14ac:dyDescent="0.2">
      <c r="A131">
        <v>489103</v>
      </c>
      <c r="B131" s="3">
        <v>1</v>
      </c>
      <c r="C131" s="3">
        <v>136</v>
      </c>
      <c r="D131" s="3">
        <v>24.4</v>
      </c>
      <c r="E131" s="3">
        <f t="shared" si="6"/>
        <v>136</v>
      </c>
      <c r="F131" s="3">
        <f t="shared" si="7"/>
        <v>24.4</v>
      </c>
      <c r="G131" s="3">
        <f t="shared" si="8"/>
        <v>5.5737704918032787</v>
      </c>
    </row>
    <row r="132" spans="1:7" x14ac:dyDescent="0.2">
      <c r="A132">
        <v>489113</v>
      </c>
      <c r="B132" s="3">
        <v>0.75</v>
      </c>
      <c r="C132" s="3">
        <v>139.69999999999999</v>
      </c>
      <c r="D132" s="3">
        <v>24.29</v>
      </c>
      <c r="E132" s="3">
        <f t="shared" si="6"/>
        <v>186.26666666666665</v>
      </c>
      <c r="F132" s="3">
        <f t="shared" si="7"/>
        <v>32.386666666666663</v>
      </c>
      <c r="G132" s="3">
        <f t="shared" si="8"/>
        <v>5.7513379991766156</v>
      </c>
    </row>
    <row r="133" spans="1:7" x14ac:dyDescent="0.2">
      <c r="A133">
        <v>489113</v>
      </c>
      <c r="B133" s="3">
        <v>0.75</v>
      </c>
      <c r="C133" s="3">
        <v>148</v>
      </c>
      <c r="D133" s="3">
        <v>25.75</v>
      </c>
      <c r="E133" s="3">
        <f t="shared" si="6"/>
        <v>197.33333333333334</v>
      </c>
      <c r="F133" s="3">
        <f t="shared" si="7"/>
        <v>34.333333333333336</v>
      </c>
      <c r="G133" s="3">
        <f t="shared" si="8"/>
        <v>5.7475728155339807</v>
      </c>
    </row>
    <row r="134" spans="1:7" x14ac:dyDescent="0.2">
      <c r="A134">
        <v>489127</v>
      </c>
      <c r="B134" s="3">
        <v>0.75</v>
      </c>
      <c r="C134" s="3">
        <v>132.4</v>
      </c>
      <c r="D134" s="3">
        <v>20.68</v>
      </c>
      <c r="E134" s="3">
        <f t="shared" si="6"/>
        <v>176.53333333333333</v>
      </c>
      <c r="F134" s="3">
        <f t="shared" si="7"/>
        <v>27.573333333333334</v>
      </c>
      <c r="G134" s="3">
        <f t="shared" si="8"/>
        <v>6.4023210831721471</v>
      </c>
    </row>
    <row r="135" spans="1:7" x14ac:dyDescent="0.2">
      <c r="A135">
        <v>489127</v>
      </c>
      <c r="B135" s="3">
        <v>0.75</v>
      </c>
      <c r="C135" s="3">
        <v>132.9</v>
      </c>
      <c r="D135" s="3">
        <v>19.82</v>
      </c>
      <c r="E135" s="3">
        <f t="shared" si="6"/>
        <v>177.20000000000002</v>
      </c>
      <c r="F135" s="3">
        <f t="shared" si="7"/>
        <v>26.426666666666666</v>
      </c>
      <c r="G135" s="3">
        <f t="shared" si="8"/>
        <v>6.7053481331987896</v>
      </c>
    </row>
    <row r="136" spans="1:7" x14ac:dyDescent="0.2">
      <c r="A136">
        <v>489141</v>
      </c>
      <c r="B136" s="3">
        <v>0.5</v>
      </c>
      <c r="C136" s="3">
        <v>114.1</v>
      </c>
      <c r="D136" s="3">
        <v>18.02</v>
      </c>
      <c r="E136" s="3">
        <f t="shared" si="6"/>
        <v>228.2</v>
      </c>
      <c r="F136" s="3">
        <f t="shared" si="7"/>
        <v>36.04</v>
      </c>
      <c r="G136" s="3">
        <f t="shared" si="8"/>
        <v>6.3318534961154267</v>
      </c>
    </row>
    <row r="137" spans="1:7" x14ac:dyDescent="0.2">
      <c r="A137">
        <v>489141</v>
      </c>
      <c r="B137" s="3">
        <v>0.5</v>
      </c>
      <c r="C137" s="3">
        <v>106.9</v>
      </c>
      <c r="D137" s="3">
        <v>15.37</v>
      </c>
      <c r="E137" s="3">
        <f t="shared" si="6"/>
        <v>213.8</v>
      </c>
      <c r="F137" s="3">
        <f t="shared" si="7"/>
        <v>30.74</v>
      </c>
      <c r="G137" s="3">
        <f t="shared" si="8"/>
        <v>6.9551073519843856</v>
      </c>
    </row>
    <row r="138" spans="1:7" x14ac:dyDescent="0.2">
      <c r="A138">
        <v>489155</v>
      </c>
      <c r="B138" s="3">
        <v>0.75</v>
      </c>
      <c r="C138" s="3">
        <v>103.5</v>
      </c>
      <c r="D138" s="3">
        <v>18.149999999999999</v>
      </c>
      <c r="E138" s="3">
        <f t="shared" si="6"/>
        <v>138</v>
      </c>
      <c r="F138" s="3">
        <f t="shared" si="7"/>
        <v>24.2</v>
      </c>
      <c r="G138" s="3">
        <f t="shared" si="8"/>
        <v>5.7024793388429753</v>
      </c>
    </row>
    <row r="139" spans="1:7" x14ac:dyDescent="0.2">
      <c r="A139">
        <v>489155</v>
      </c>
      <c r="B139" s="3">
        <v>0.75</v>
      </c>
      <c r="C139" s="3">
        <v>115.8</v>
      </c>
      <c r="D139" s="3">
        <v>18.2</v>
      </c>
      <c r="E139" s="3">
        <f t="shared" si="6"/>
        <v>154.4</v>
      </c>
      <c r="F139" s="3">
        <f t="shared" si="7"/>
        <v>24.266666666666666</v>
      </c>
      <c r="G139" s="3">
        <f t="shared" si="8"/>
        <v>6.3626373626373631</v>
      </c>
    </row>
    <row r="140" spans="1:7" x14ac:dyDescent="0.2">
      <c r="A140">
        <v>489167</v>
      </c>
      <c r="B140" s="3">
        <v>0.75</v>
      </c>
      <c r="C140" s="3">
        <v>110.8</v>
      </c>
      <c r="D140" s="3">
        <v>18.55</v>
      </c>
      <c r="E140" s="3">
        <f t="shared" si="6"/>
        <v>147.73333333333332</v>
      </c>
      <c r="F140" s="3">
        <f t="shared" si="7"/>
        <v>24.733333333333334</v>
      </c>
      <c r="G140" s="3">
        <f t="shared" si="8"/>
        <v>5.9730458221024252</v>
      </c>
    </row>
    <row r="141" spans="1:7" x14ac:dyDescent="0.2">
      <c r="A141">
        <v>489167</v>
      </c>
      <c r="B141" s="3">
        <v>0.75</v>
      </c>
      <c r="C141" s="3">
        <v>139.4</v>
      </c>
      <c r="D141" s="3">
        <v>22.78</v>
      </c>
      <c r="E141" s="3">
        <f t="shared" si="6"/>
        <v>185.86666666666667</v>
      </c>
      <c r="F141" s="3">
        <f t="shared" si="7"/>
        <v>30.373333333333335</v>
      </c>
      <c r="G141" s="3">
        <f t="shared" si="8"/>
        <v>6.1194029850746272</v>
      </c>
    </row>
    <row r="142" spans="1:7" x14ac:dyDescent="0.2">
      <c r="A142">
        <v>489181</v>
      </c>
      <c r="B142" s="3">
        <v>1</v>
      </c>
      <c r="C142" s="3">
        <v>88.68</v>
      </c>
      <c r="D142" s="3">
        <v>15.21</v>
      </c>
      <c r="E142" s="3">
        <f t="shared" si="6"/>
        <v>88.68</v>
      </c>
      <c r="F142" s="3">
        <f t="shared" si="7"/>
        <v>15.21</v>
      </c>
      <c r="G142" s="3">
        <f t="shared" si="8"/>
        <v>5.830374753451677</v>
      </c>
    </row>
    <row r="143" spans="1:7" x14ac:dyDescent="0.2">
      <c r="A143">
        <v>489181</v>
      </c>
      <c r="B143" s="3">
        <v>1</v>
      </c>
      <c r="C143" s="3">
        <v>99.11</v>
      </c>
      <c r="D143" s="3">
        <v>17.260000000000002</v>
      </c>
      <c r="E143" s="3">
        <f t="shared" si="6"/>
        <v>99.11</v>
      </c>
      <c r="F143" s="3">
        <f t="shared" si="7"/>
        <v>17.260000000000002</v>
      </c>
      <c r="G143" s="3">
        <f t="shared" si="8"/>
        <v>5.7421784472769399</v>
      </c>
    </row>
    <row r="144" spans="1:7" x14ac:dyDescent="0.2">
      <c r="A144">
        <v>489194</v>
      </c>
      <c r="B144" s="3">
        <v>0.75</v>
      </c>
      <c r="C144" s="3">
        <v>122.1</v>
      </c>
      <c r="D144" s="3">
        <v>23.62</v>
      </c>
      <c r="E144" s="3">
        <f t="shared" si="6"/>
        <v>162.79999999999998</v>
      </c>
      <c r="F144" s="3">
        <f t="shared" si="7"/>
        <v>31.493333333333336</v>
      </c>
      <c r="G144" s="3">
        <f t="shared" si="8"/>
        <v>5.1693480101608804</v>
      </c>
    </row>
    <row r="145" spans="1:7" x14ac:dyDescent="0.2">
      <c r="A145">
        <v>489194</v>
      </c>
      <c r="B145" s="3">
        <v>0.75</v>
      </c>
      <c r="C145" s="3">
        <v>99.11</v>
      </c>
      <c r="D145" s="3">
        <v>17.8</v>
      </c>
      <c r="E145" s="3">
        <f t="shared" si="6"/>
        <v>132.14666666666668</v>
      </c>
      <c r="F145" s="3">
        <f t="shared" si="7"/>
        <v>23.733333333333334</v>
      </c>
      <c r="G145" s="3">
        <f t="shared" si="8"/>
        <v>5.5679775280898873</v>
      </c>
    </row>
    <row r="146" spans="1:7" x14ac:dyDescent="0.2">
      <c r="A146">
        <v>489204</v>
      </c>
      <c r="B146" s="3">
        <v>0.75</v>
      </c>
      <c r="C146" s="3">
        <v>111.3</v>
      </c>
      <c r="D146" s="3">
        <v>19.350000000000001</v>
      </c>
      <c r="E146" s="3">
        <f t="shared" si="6"/>
        <v>148.4</v>
      </c>
      <c r="F146" s="3">
        <f t="shared" si="7"/>
        <v>25.8</v>
      </c>
      <c r="G146" s="3">
        <f t="shared" si="8"/>
        <v>5.7519379844961236</v>
      </c>
    </row>
    <row r="147" spans="1:7" x14ac:dyDescent="0.2">
      <c r="A147">
        <v>489204</v>
      </c>
      <c r="B147" s="3">
        <v>0.75</v>
      </c>
      <c r="C147" s="3">
        <v>103.5</v>
      </c>
      <c r="D147" s="3">
        <v>17.53</v>
      </c>
      <c r="E147" s="3">
        <f t="shared" si="6"/>
        <v>138</v>
      </c>
      <c r="F147" s="3">
        <f t="shared" si="7"/>
        <v>23.373333333333335</v>
      </c>
      <c r="G147" s="3">
        <f t="shared" si="8"/>
        <v>5.904164289788933</v>
      </c>
    </row>
    <row r="148" spans="1:7" x14ac:dyDescent="0.2">
      <c r="A148">
        <v>489213</v>
      </c>
      <c r="B148" s="3">
        <v>0.75</v>
      </c>
      <c r="C148" s="3">
        <v>85.02</v>
      </c>
      <c r="D148" s="3">
        <v>12.41</v>
      </c>
      <c r="E148" s="3">
        <f t="shared" si="6"/>
        <v>113.36</v>
      </c>
      <c r="F148" s="3">
        <f t="shared" si="7"/>
        <v>16.546666666666667</v>
      </c>
      <c r="G148" s="3">
        <f t="shared" si="8"/>
        <v>6.8509266720386783</v>
      </c>
    </row>
    <row r="149" spans="1:7" x14ac:dyDescent="0.2">
      <c r="A149">
        <v>489213</v>
      </c>
      <c r="B149" s="3">
        <v>0.75</v>
      </c>
      <c r="C149" s="3">
        <v>96.04</v>
      </c>
      <c r="D149" s="3">
        <v>16.989999999999998</v>
      </c>
      <c r="E149" s="3">
        <f t="shared" si="6"/>
        <v>128.05333333333334</v>
      </c>
      <c r="F149" s="3">
        <f t="shared" si="7"/>
        <v>22.653333333333332</v>
      </c>
      <c r="G149" s="3">
        <f t="shared" si="8"/>
        <v>5.6527369040612134</v>
      </c>
    </row>
    <row r="150" spans="1:7" x14ac:dyDescent="0.2">
      <c r="A150">
        <v>489220</v>
      </c>
      <c r="B150" s="3">
        <v>0.75</v>
      </c>
      <c r="C150" s="5">
        <v>114.2</v>
      </c>
      <c r="D150" s="3">
        <v>15.13</v>
      </c>
      <c r="E150" s="3">
        <f t="shared" si="6"/>
        <v>152.26666666666668</v>
      </c>
      <c r="F150" s="3">
        <f t="shared" si="7"/>
        <v>20.173333333333336</v>
      </c>
      <c r="G150" s="3">
        <f t="shared" si="8"/>
        <v>7.5479180436219426</v>
      </c>
    </row>
    <row r="151" spans="1:7" x14ac:dyDescent="0.2">
      <c r="A151">
        <v>489220</v>
      </c>
      <c r="B151" s="3">
        <v>0.75</v>
      </c>
      <c r="C151" s="3">
        <v>111.3</v>
      </c>
      <c r="D151" s="3">
        <v>14.58</v>
      </c>
      <c r="E151" s="3">
        <f t="shared" si="6"/>
        <v>148.4</v>
      </c>
      <c r="F151" s="3">
        <f t="shared" si="7"/>
        <v>19.440000000000001</v>
      </c>
      <c r="G151" s="3">
        <f t="shared" si="8"/>
        <v>7.6337448559670777</v>
      </c>
    </row>
    <row r="152" spans="1:7" x14ac:dyDescent="0.2">
      <c r="A152">
        <v>489227</v>
      </c>
      <c r="B152" s="3">
        <v>0.75</v>
      </c>
      <c r="C152" s="3">
        <v>106.4</v>
      </c>
      <c r="D152" s="3">
        <v>11.12</v>
      </c>
      <c r="E152" s="3">
        <f t="shared" si="6"/>
        <v>141.86666666666667</v>
      </c>
      <c r="F152" s="3">
        <f t="shared" si="7"/>
        <v>14.826666666666666</v>
      </c>
      <c r="G152" s="3">
        <f t="shared" si="8"/>
        <v>9.5683453237410081</v>
      </c>
    </row>
    <row r="153" spans="1:7" x14ac:dyDescent="0.2">
      <c r="A153">
        <v>489227</v>
      </c>
      <c r="B153" s="3">
        <v>0.75</v>
      </c>
      <c r="C153" s="3">
        <v>121.8</v>
      </c>
      <c r="D153" s="3">
        <v>17.95</v>
      </c>
      <c r="E153" s="3">
        <f t="shared" si="6"/>
        <v>162.4</v>
      </c>
      <c r="F153" s="3">
        <f t="shared" si="7"/>
        <v>23.933333333333334</v>
      </c>
      <c r="G153" s="3">
        <f t="shared" si="8"/>
        <v>6.7855153203342615</v>
      </c>
    </row>
    <row r="154" spans="1:7" x14ac:dyDescent="0.2">
      <c r="A154">
        <v>489231</v>
      </c>
      <c r="B154" s="3">
        <v>0.75</v>
      </c>
      <c r="C154" s="3">
        <v>65.69</v>
      </c>
      <c r="D154" s="3">
        <v>9.11</v>
      </c>
      <c r="E154" s="3">
        <f t="shared" si="6"/>
        <v>87.586666666666659</v>
      </c>
      <c r="F154" s="3">
        <f t="shared" si="7"/>
        <v>12.146666666666667</v>
      </c>
      <c r="G154" s="3">
        <f t="shared" si="8"/>
        <v>7.2107574094401761</v>
      </c>
    </row>
    <row r="155" spans="1:7" x14ac:dyDescent="0.2">
      <c r="A155">
        <v>489231</v>
      </c>
      <c r="B155" s="3">
        <v>0.75</v>
      </c>
      <c r="C155" s="3">
        <v>83.56</v>
      </c>
      <c r="D155" s="3">
        <v>13.23</v>
      </c>
      <c r="E155" s="3">
        <f t="shared" si="6"/>
        <v>111.41333333333334</v>
      </c>
      <c r="F155" s="3">
        <f t="shared" si="7"/>
        <v>17.64</v>
      </c>
      <c r="G155" s="3">
        <f t="shared" si="8"/>
        <v>6.3159486016628872</v>
      </c>
    </row>
    <row r="156" spans="1:7" x14ac:dyDescent="0.2">
      <c r="A156">
        <v>489237</v>
      </c>
      <c r="B156" s="3">
        <v>1</v>
      </c>
      <c r="C156" s="3">
        <v>118.7</v>
      </c>
      <c r="D156" s="3">
        <v>18.48</v>
      </c>
      <c r="E156" s="3">
        <f t="shared" si="6"/>
        <v>118.7</v>
      </c>
      <c r="F156" s="3">
        <f t="shared" si="7"/>
        <v>18.48</v>
      </c>
      <c r="G156" s="3">
        <f t="shared" si="8"/>
        <v>6.4231601731601735</v>
      </c>
    </row>
    <row r="157" spans="1:7" x14ac:dyDescent="0.2">
      <c r="A157">
        <v>489237</v>
      </c>
      <c r="B157" s="3">
        <v>1</v>
      </c>
      <c r="C157" s="3">
        <v>113.8</v>
      </c>
      <c r="D157" s="3">
        <v>18.36</v>
      </c>
      <c r="E157" s="3">
        <f t="shared" si="6"/>
        <v>113.8</v>
      </c>
      <c r="F157" s="3">
        <f t="shared" si="7"/>
        <v>18.36</v>
      </c>
      <c r="G157" s="3">
        <f t="shared" si="8"/>
        <v>6.1982570806100217</v>
      </c>
    </row>
    <row r="158" spans="1:7" x14ac:dyDescent="0.2">
      <c r="A158">
        <v>489245</v>
      </c>
      <c r="B158" s="3">
        <v>0.75</v>
      </c>
      <c r="C158" s="3">
        <v>93.91</v>
      </c>
      <c r="D158" s="3">
        <v>13.26</v>
      </c>
      <c r="E158" s="3">
        <f t="shared" si="6"/>
        <v>125.21333333333332</v>
      </c>
      <c r="F158" s="3">
        <f t="shared" si="7"/>
        <v>17.68</v>
      </c>
      <c r="G158" s="3">
        <f t="shared" si="8"/>
        <v>7.082202111613876</v>
      </c>
    </row>
    <row r="159" spans="1:7" x14ac:dyDescent="0.2">
      <c r="A159">
        <v>489245</v>
      </c>
      <c r="B159" s="3">
        <v>0.75</v>
      </c>
      <c r="C159" s="3">
        <v>78.650000000000006</v>
      </c>
      <c r="D159" s="3">
        <v>10.66</v>
      </c>
      <c r="E159" s="3">
        <f t="shared" si="6"/>
        <v>104.86666666666667</v>
      </c>
      <c r="F159" s="3">
        <f t="shared" si="7"/>
        <v>14.213333333333333</v>
      </c>
      <c r="G159" s="3">
        <f t="shared" si="8"/>
        <v>7.3780487804878057</v>
      </c>
    </row>
    <row r="160" spans="1:7" x14ac:dyDescent="0.2">
      <c r="A160">
        <v>489256</v>
      </c>
      <c r="B160" s="3">
        <v>0.75</v>
      </c>
      <c r="C160" s="3">
        <v>90.34</v>
      </c>
      <c r="D160" s="3">
        <v>11.65</v>
      </c>
      <c r="E160" s="3">
        <f t="shared" si="6"/>
        <v>120.45333333333333</v>
      </c>
      <c r="F160" s="3">
        <f t="shared" si="7"/>
        <v>15.533333333333333</v>
      </c>
      <c r="G160" s="3">
        <f t="shared" si="8"/>
        <v>7.7545064377682404</v>
      </c>
    </row>
    <row r="161" spans="1:7" x14ac:dyDescent="0.2">
      <c r="A161">
        <v>489256</v>
      </c>
      <c r="B161" s="3">
        <v>0.75</v>
      </c>
      <c r="C161" s="3">
        <v>88.82</v>
      </c>
      <c r="D161" s="3">
        <v>13.36</v>
      </c>
      <c r="E161" s="3">
        <f t="shared" si="6"/>
        <v>118.42666666666666</v>
      </c>
      <c r="F161" s="3">
        <f t="shared" si="7"/>
        <v>17.813333333333333</v>
      </c>
      <c r="G161" s="3">
        <f t="shared" si="8"/>
        <v>6.6482035928143715</v>
      </c>
    </row>
    <row r="162" spans="1:7" x14ac:dyDescent="0.2">
      <c r="A162">
        <v>489266</v>
      </c>
      <c r="B162" s="3">
        <v>0.5</v>
      </c>
      <c r="C162" s="3">
        <v>55.84</v>
      </c>
      <c r="D162" s="3">
        <v>8.17</v>
      </c>
      <c r="E162" s="3">
        <f t="shared" si="6"/>
        <v>111.68</v>
      </c>
      <c r="F162" s="3">
        <f t="shared" si="7"/>
        <v>16.34</v>
      </c>
      <c r="G162" s="3">
        <f t="shared" si="8"/>
        <v>6.8347613219094248</v>
      </c>
    </row>
    <row r="163" spans="1:7" x14ac:dyDescent="0.2">
      <c r="A163">
        <v>489266</v>
      </c>
      <c r="B163" s="3">
        <v>0.5</v>
      </c>
      <c r="C163" s="3">
        <v>53.97</v>
      </c>
      <c r="D163" s="3">
        <v>8.23</v>
      </c>
      <c r="E163" s="3">
        <f t="shared" si="6"/>
        <v>107.94</v>
      </c>
      <c r="F163" s="3">
        <f t="shared" si="7"/>
        <v>16.46</v>
      </c>
      <c r="G163" s="3">
        <f t="shared" si="8"/>
        <v>6.5577156743620897</v>
      </c>
    </row>
    <row r="164" spans="1:7" x14ac:dyDescent="0.2">
      <c r="A164">
        <v>489278</v>
      </c>
      <c r="B164" s="3">
        <v>0.75</v>
      </c>
      <c r="C164" s="3">
        <v>67.44</v>
      </c>
      <c r="D164" s="3">
        <v>6.96</v>
      </c>
      <c r="E164" s="3">
        <f t="shared" si="6"/>
        <v>89.92</v>
      </c>
      <c r="F164" s="3">
        <f t="shared" si="7"/>
        <v>9.2799999999999994</v>
      </c>
      <c r="G164" s="3">
        <f t="shared" si="8"/>
        <v>9.6896551724137936</v>
      </c>
    </row>
    <row r="165" spans="1:7" x14ac:dyDescent="0.2">
      <c r="A165">
        <v>489278</v>
      </c>
      <c r="B165" s="3">
        <v>0.75</v>
      </c>
      <c r="C165" s="3">
        <v>69.45</v>
      </c>
      <c r="D165" s="3">
        <v>11.47</v>
      </c>
      <c r="E165" s="3">
        <f t="shared" si="6"/>
        <v>92.600000000000009</v>
      </c>
      <c r="F165" s="3">
        <f t="shared" si="7"/>
        <v>15.293333333333335</v>
      </c>
      <c r="G165" s="3">
        <f t="shared" si="8"/>
        <v>6.0549258936355708</v>
      </c>
    </row>
    <row r="166" spans="1:7" x14ac:dyDescent="0.2">
      <c r="A166">
        <v>489288</v>
      </c>
      <c r="B166" s="3">
        <v>1</v>
      </c>
      <c r="C166" s="3">
        <v>87.08</v>
      </c>
      <c r="D166" s="3">
        <v>9.91</v>
      </c>
      <c r="E166" s="3">
        <f t="shared" si="6"/>
        <v>87.08</v>
      </c>
      <c r="F166" s="3">
        <f t="shared" si="7"/>
        <v>9.91</v>
      </c>
      <c r="G166" s="3">
        <f t="shared" si="8"/>
        <v>8.7870837537840565</v>
      </c>
    </row>
    <row r="167" spans="1:7" x14ac:dyDescent="0.2">
      <c r="A167">
        <v>489288</v>
      </c>
      <c r="B167" s="3">
        <v>1</v>
      </c>
      <c r="C167" s="3">
        <v>117.8</v>
      </c>
      <c r="D167" s="3">
        <v>19.57</v>
      </c>
      <c r="E167" s="3">
        <f t="shared" si="6"/>
        <v>117.8</v>
      </c>
      <c r="F167" s="3">
        <f t="shared" si="7"/>
        <v>19.57</v>
      </c>
      <c r="G167" s="3">
        <f t="shared" si="8"/>
        <v>6.0194174757281553</v>
      </c>
    </row>
    <row r="168" spans="1:7" x14ac:dyDescent="0.2">
      <c r="A168">
        <v>489300</v>
      </c>
      <c r="B168" s="3">
        <v>1</v>
      </c>
      <c r="C168" s="3">
        <v>92.76</v>
      </c>
      <c r="D168" s="3">
        <v>10.85</v>
      </c>
      <c r="E168" s="3">
        <f t="shared" ref="E168:E195" si="9">(C168/B168)</f>
        <v>92.76</v>
      </c>
      <c r="F168" s="3">
        <f t="shared" ref="F168:F195" si="10">(D168/B168)</f>
        <v>10.85</v>
      </c>
      <c r="G168" s="3">
        <f t="shared" ref="G168:G195" si="11">(C168/D168)</f>
        <v>8.5493087557603697</v>
      </c>
    </row>
    <row r="169" spans="1:7" x14ac:dyDescent="0.2">
      <c r="A169">
        <v>489300</v>
      </c>
      <c r="B169" s="3">
        <v>1</v>
      </c>
      <c r="C169" s="3">
        <v>75.06</v>
      </c>
      <c r="D169" s="3">
        <v>12.42</v>
      </c>
      <c r="E169" s="3">
        <f t="shared" si="9"/>
        <v>75.06</v>
      </c>
      <c r="F169" s="3">
        <f t="shared" si="10"/>
        <v>12.42</v>
      </c>
      <c r="G169" s="3">
        <f t="shared" si="11"/>
        <v>6.0434782608695654</v>
      </c>
    </row>
    <row r="170" spans="1:7" x14ac:dyDescent="0.2">
      <c r="A170">
        <v>489310</v>
      </c>
      <c r="B170" s="3">
        <v>0.75</v>
      </c>
      <c r="C170" s="3">
        <v>110.8</v>
      </c>
      <c r="D170" s="3">
        <v>18.48</v>
      </c>
      <c r="E170" s="3">
        <f t="shared" si="9"/>
        <v>147.73333333333332</v>
      </c>
      <c r="F170" s="3">
        <f t="shared" si="10"/>
        <v>24.64</v>
      </c>
      <c r="G170" s="3">
        <f t="shared" si="11"/>
        <v>5.995670995670995</v>
      </c>
    </row>
    <row r="171" spans="1:7" x14ac:dyDescent="0.2">
      <c r="A171">
        <v>489310</v>
      </c>
      <c r="B171" s="3">
        <v>0.75</v>
      </c>
      <c r="C171" s="3">
        <v>76.17</v>
      </c>
      <c r="D171" s="3">
        <v>12.82</v>
      </c>
      <c r="E171" s="3">
        <f t="shared" si="9"/>
        <v>101.56</v>
      </c>
      <c r="F171" s="3">
        <f t="shared" si="10"/>
        <v>17.093333333333334</v>
      </c>
      <c r="G171" s="3">
        <f t="shared" si="11"/>
        <v>5.9414976599063962</v>
      </c>
    </row>
    <row r="172" spans="1:7" x14ac:dyDescent="0.2">
      <c r="A172">
        <v>489319</v>
      </c>
      <c r="B172" s="3">
        <v>0.75</v>
      </c>
      <c r="C172" s="3">
        <v>97.12</v>
      </c>
      <c r="D172" s="3">
        <v>16.34</v>
      </c>
      <c r="E172" s="3">
        <f t="shared" si="9"/>
        <v>129.49333333333334</v>
      </c>
      <c r="F172" s="3">
        <f t="shared" si="10"/>
        <v>21.786666666666665</v>
      </c>
      <c r="G172" s="3">
        <f t="shared" si="11"/>
        <v>5.9436964504283969</v>
      </c>
    </row>
    <row r="173" spans="1:7" x14ac:dyDescent="0.2">
      <c r="A173">
        <v>489319</v>
      </c>
      <c r="B173" s="3">
        <v>0.75</v>
      </c>
      <c r="C173" s="3">
        <v>98.23</v>
      </c>
      <c r="D173" s="3">
        <v>15.66</v>
      </c>
      <c r="E173" s="3">
        <f t="shared" si="9"/>
        <v>130.97333333333333</v>
      </c>
      <c r="F173" s="3">
        <f t="shared" si="10"/>
        <v>20.88</v>
      </c>
      <c r="G173" s="3">
        <f t="shared" si="11"/>
        <v>6.2726692209450832</v>
      </c>
    </row>
    <row r="174" spans="1:7" x14ac:dyDescent="0.2">
      <c r="A174">
        <v>489327</v>
      </c>
      <c r="B174" s="3">
        <v>0.75</v>
      </c>
      <c r="C174" s="3">
        <v>91.71</v>
      </c>
      <c r="D174" s="3">
        <v>13.11</v>
      </c>
      <c r="E174" s="3">
        <f t="shared" si="9"/>
        <v>122.27999999999999</v>
      </c>
      <c r="F174" s="3">
        <f t="shared" si="10"/>
        <v>17.48</v>
      </c>
      <c r="G174" s="3">
        <f t="shared" si="11"/>
        <v>6.9954233409610982</v>
      </c>
    </row>
    <row r="175" spans="1:7" x14ac:dyDescent="0.2">
      <c r="A175">
        <v>489327</v>
      </c>
      <c r="B175" s="3">
        <v>0.75</v>
      </c>
      <c r="C175" s="3">
        <v>88.09</v>
      </c>
      <c r="D175" s="3">
        <v>13.16</v>
      </c>
      <c r="E175" s="3">
        <f t="shared" si="9"/>
        <v>117.45333333333333</v>
      </c>
      <c r="F175" s="3">
        <f t="shared" si="10"/>
        <v>17.546666666666667</v>
      </c>
      <c r="G175" s="3">
        <f t="shared" si="11"/>
        <v>6.6937689969604861</v>
      </c>
    </row>
    <row r="176" spans="1:7" x14ac:dyDescent="0.2">
      <c r="A176">
        <v>489337</v>
      </c>
      <c r="B176" s="3">
        <v>1</v>
      </c>
      <c r="C176" s="3">
        <v>115.2</v>
      </c>
      <c r="D176" s="3">
        <v>17.16</v>
      </c>
      <c r="E176" s="3">
        <f t="shared" si="9"/>
        <v>115.2</v>
      </c>
      <c r="F176" s="3">
        <f t="shared" si="10"/>
        <v>17.16</v>
      </c>
      <c r="G176" s="3">
        <f t="shared" si="11"/>
        <v>6.7132867132867133</v>
      </c>
    </row>
    <row r="177" spans="1:7" x14ac:dyDescent="0.2">
      <c r="A177">
        <v>489337</v>
      </c>
      <c r="B177" s="3">
        <v>1</v>
      </c>
      <c r="C177" s="3">
        <v>108</v>
      </c>
      <c r="D177" s="3">
        <v>18.05</v>
      </c>
      <c r="E177" s="3">
        <f t="shared" si="9"/>
        <v>108</v>
      </c>
      <c r="F177" s="3">
        <f t="shared" si="10"/>
        <v>18.05</v>
      </c>
      <c r="G177" s="3">
        <f t="shared" si="11"/>
        <v>5.9833795013850413</v>
      </c>
    </row>
    <row r="178" spans="1:7" x14ac:dyDescent="0.2">
      <c r="A178">
        <v>489348</v>
      </c>
      <c r="B178" s="3">
        <v>1</v>
      </c>
      <c r="C178" s="3">
        <v>110.1</v>
      </c>
      <c r="D178" s="3">
        <v>18.920000000000002</v>
      </c>
      <c r="E178" s="3">
        <f t="shared" si="9"/>
        <v>110.1</v>
      </c>
      <c r="F178" s="3">
        <f t="shared" si="10"/>
        <v>18.920000000000002</v>
      </c>
      <c r="G178" s="3">
        <f t="shared" si="11"/>
        <v>5.8192389006342484</v>
      </c>
    </row>
    <row r="179" spans="1:7" x14ac:dyDescent="0.2">
      <c r="A179">
        <v>489348</v>
      </c>
      <c r="B179" s="3">
        <v>1</v>
      </c>
      <c r="C179" s="3">
        <v>115.6</v>
      </c>
      <c r="D179" s="3">
        <v>20.22</v>
      </c>
      <c r="E179" s="3">
        <f t="shared" si="9"/>
        <v>115.6</v>
      </c>
      <c r="F179" s="3">
        <f t="shared" si="10"/>
        <v>20.22</v>
      </c>
      <c r="G179" s="3">
        <f t="shared" si="11"/>
        <v>5.7171117705242338</v>
      </c>
    </row>
    <row r="180" spans="1:7" x14ac:dyDescent="0.2">
      <c r="A180">
        <v>489360</v>
      </c>
      <c r="B180" s="3">
        <v>1</v>
      </c>
      <c r="C180" s="3">
        <v>86.46</v>
      </c>
      <c r="D180" s="3">
        <v>12.97</v>
      </c>
      <c r="E180" s="3">
        <f t="shared" si="9"/>
        <v>86.46</v>
      </c>
      <c r="F180" s="3">
        <f t="shared" si="10"/>
        <v>12.97</v>
      </c>
      <c r="G180" s="3">
        <f t="shared" si="11"/>
        <v>6.6661526599845793</v>
      </c>
    </row>
    <row r="181" spans="1:7" x14ac:dyDescent="0.2">
      <c r="A181">
        <v>489360</v>
      </c>
      <c r="B181" s="3">
        <v>1</v>
      </c>
      <c r="C181" s="3">
        <v>93.34</v>
      </c>
      <c r="D181" s="3">
        <v>14.93</v>
      </c>
      <c r="E181" s="3">
        <f t="shared" si="9"/>
        <v>93.34</v>
      </c>
      <c r="F181" s="3">
        <f t="shared" si="10"/>
        <v>14.93</v>
      </c>
      <c r="G181" s="3">
        <f t="shared" si="11"/>
        <v>6.2518419290020093</v>
      </c>
    </row>
    <row r="182" spans="1:7" x14ac:dyDescent="0.2">
      <c r="A182">
        <v>489373</v>
      </c>
      <c r="B182" s="3">
        <v>1</v>
      </c>
      <c r="C182" s="3">
        <v>69.67</v>
      </c>
      <c r="D182" s="3">
        <v>9.73</v>
      </c>
      <c r="E182" s="3">
        <f t="shared" si="9"/>
        <v>69.67</v>
      </c>
      <c r="F182" s="3">
        <f t="shared" si="10"/>
        <v>9.73</v>
      </c>
      <c r="G182" s="3">
        <f t="shared" si="11"/>
        <v>7.1603288797533402</v>
      </c>
    </row>
    <row r="183" spans="1:7" x14ac:dyDescent="0.2">
      <c r="A183">
        <v>489373</v>
      </c>
      <c r="B183" s="3">
        <v>1</v>
      </c>
      <c r="C183" s="3">
        <v>66.37</v>
      </c>
      <c r="D183" s="3">
        <v>10.45</v>
      </c>
      <c r="E183" s="3">
        <f t="shared" si="9"/>
        <v>66.37</v>
      </c>
      <c r="F183" s="3">
        <f t="shared" si="10"/>
        <v>10.45</v>
      </c>
      <c r="G183" s="3">
        <f t="shared" si="11"/>
        <v>6.3511961722488044</v>
      </c>
    </row>
    <row r="184" spans="1:7" x14ac:dyDescent="0.2">
      <c r="A184">
        <v>489387</v>
      </c>
      <c r="B184" s="3">
        <v>1</v>
      </c>
      <c r="C184" s="3">
        <v>113.4</v>
      </c>
      <c r="D184" s="3">
        <v>16.079999999999998</v>
      </c>
      <c r="E184" s="3">
        <f t="shared" si="9"/>
        <v>113.4</v>
      </c>
      <c r="F184" s="3">
        <f t="shared" si="10"/>
        <v>16.079999999999998</v>
      </c>
      <c r="G184" s="3">
        <f t="shared" si="11"/>
        <v>7.0522388059701502</v>
      </c>
    </row>
    <row r="185" spans="1:7" x14ac:dyDescent="0.2">
      <c r="A185">
        <v>489387</v>
      </c>
      <c r="B185" s="3">
        <v>1</v>
      </c>
      <c r="C185" s="3">
        <v>110.8</v>
      </c>
      <c r="D185" s="3">
        <v>17.23</v>
      </c>
      <c r="E185" s="3">
        <f t="shared" si="9"/>
        <v>110.8</v>
      </c>
      <c r="F185" s="3">
        <f t="shared" si="10"/>
        <v>17.23</v>
      </c>
      <c r="G185" s="3">
        <f t="shared" si="11"/>
        <v>6.4306442251886242</v>
      </c>
    </row>
    <row r="186" spans="1:7" x14ac:dyDescent="0.2">
      <c r="A186">
        <v>489403</v>
      </c>
      <c r="B186" s="3">
        <v>1</v>
      </c>
      <c r="C186" s="3">
        <v>95.38</v>
      </c>
      <c r="D186" s="3">
        <v>15.27</v>
      </c>
      <c r="E186" s="3">
        <f t="shared" si="9"/>
        <v>95.38</v>
      </c>
      <c r="F186" s="3">
        <f t="shared" si="10"/>
        <v>15.27</v>
      </c>
      <c r="G186" s="3">
        <f t="shared" si="11"/>
        <v>6.2462344466273736</v>
      </c>
    </row>
    <row r="187" spans="1:7" x14ac:dyDescent="0.2">
      <c r="A187">
        <v>489403</v>
      </c>
      <c r="B187" s="3">
        <v>1</v>
      </c>
      <c r="C187" s="3">
        <v>78.81</v>
      </c>
      <c r="D187" s="3">
        <v>12.35</v>
      </c>
      <c r="E187" s="3">
        <f t="shared" si="9"/>
        <v>78.81</v>
      </c>
      <c r="F187" s="3">
        <f t="shared" si="10"/>
        <v>12.35</v>
      </c>
      <c r="G187" s="3">
        <f t="shared" si="11"/>
        <v>6.3813765182186239</v>
      </c>
    </row>
    <row r="188" spans="1:7" x14ac:dyDescent="0.2">
      <c r="A188">
        <v>489417</v>
      </c>
      <c r="B188" s="3">
        <v>0.75</v>
      </c>
      <c r="C188" s="3">
        <v>109.8</v>
      </c>
      <c r="D188" s="3">
        <v>20.54</v>
      </c>
      <c r="E188" s="3">
        <f t="shared" si="9"/>
        <v>146.4</v>
      </c>
      <c r="F188" s="3">
        <f t="shared" si="10"/>
        <v>27.386666666666667</v>
      </c>
      <c r="G188" s="3">
        <f t="shared" si="11"/>
        <v>5.3456669912366115</v>
      </c>
    </row>
    <row r="189" spans="1:7" x14ac:dyDescent="0.2">
      <c r="A189">
        <v>489417</v>
      </c>
      <c r="B189" s="3">
        <v>0.75</v>
      </c>
      <c r="C189" s="3">
        <v>75.55</v>
      </c>
      <c r="D189" s="3">
        <v>11.26</v>
      </c>
      <c r="E189" s="3">
        <f t="shared" si="9"/>
        <v>100.73333333333333</v>
      </c>
      <c r="F189" s="3">
        <f t="shared" si="10"/>
        <v>15.013333333333334</v>
      </c>
      <c r="G189" s="3">
        <f t="shared" si="11"/>
        <v>6.7095914742451157</v>
      </c>
    </row>
    <row r="190" spans="1:7" x14ac:dyDescent="0.2">
      <c r="A190">
        <v>489431</v>
      </c>
      <c r="B190" s="3">
        <v>1</v>
      </c>
      <c r="C190" s="3">
        <v>115.8</v>
      </c>
      <c r="D190" s="3">
        <v>17.43</v>
      </c>
      <c r="E190" s="3">
        <f t="shared" si="9"/>
        <v>115.8</v>
      </c>
      <c r="F190" s="3">
        <f t="shared" si="10"/>
        <v>17.43</v>
      </c>
      <c r="G190" s="3">
        <f t="shared" si="11"/>
        <v>6.6437177280550772</v>
      </c>
    </row>
    <row r="191" spans="1:7" x14ac:dyDescent="0.2">
      <c r="A191">
        <v>489431</v>
      </c>
      <c r="B191" s="3">
        <v>1</v>
      </c>
      <c r="C191" s="3">
        <v>104.3</v>
      </c>
      <c r="D191" s="3">
        <v>16.420000000000002</v>
      </c>
      <c r="E191" s="3">
        <f t="shared" si="9"/>
        <v>104.3</v>
      </c>
      <c r="F191" s="3">
        <f t="shared" si="10"/>
        <v>16.420000000000002</v>
      </c>
      <c r="G191" s="3">
        <f t="shared" si="11"/>
        <v>6.3520097442143717</v>
      </c>
    </row>
    <row r="192" spans="1:7" x14ac:dyDescent="0.2">
      <c r="A192">
        <v>489445</v>
      </c>
      <c r="B192" s="3">
        <v>1</v>
      </c>
      <c r="C192" s="3">
        <v>106.6</v>
      </c>
      <c r="D192" s="3">
        <v>17.3</v>
      </c>
      <c r="E192" s="3">
        <f t="shared" si="9"/>
        <v>106.6</v>
      </c>
      <c r="F192" s="3">
        <f t="shared" si="10"/>
        <v>17.3</v>
      </c>
      <c r="G192" s="3">
        <f t="shared" si="11"/>
        <v>6.1618497109826587</v>
      </c>
    </row>
    <row r="193" spans="1:7" x14ac:dyDescent="0.2">
      <c r="A193">
        <v>489445</v>
      </c>
      <c r="B193" s="3">
        <v>1</v>
      </c>
      <c r="C193" s="3">
        <v>107.2</v>
      </c>
      <c r="D193" s="3">
        <v>15.88</v>
      </c>
      <c r="E193" s="3">
        <f t="shared" si="9"/>
        <v>107.2</v>
      </c>
      <c r="F193" s="3">
        <f t="shared" si="10"/>
        <v>15.88</v>
      </c>
      <c r="G193" s="3">
        <f t="shared" si="11"/>
        <v>6.7506297229219143</v>
      </c>
    </row>
    <row r="194" spans="1:7" x14ac:dyDescent="0.2">
      <c r="A194">
        <v>489459</v>
      </c>
      <c r="B194" s="3">
        <v>1</v>
      </c>
      <c r="C194" s="3">
        <v>120.7</v>
      </c>
      <c r="D194" s="3">
        <v>18.25</v>
      </c>
      <c r="E194" s="3">
        <f t="shared" si="9"/>
        <v>120.7</v>
      </c>
      <c r="F194" s="3">
        <f t="shared" si="10"/>
        <v>18.25</v>
      </c>
      <c r="G194" s="3">
        <f t="shared" si="11"/>
        <v>6.6136986301369864</v>
      </c>
    </row>
    <row r="195" spans="1:7" x14ac:dyDescent="0.2">
      <c r="A195">
        <v>489459</v>
      </c>
      <c r="B195" s="3">
        <v>1</v>
      </c>
      <c r="C195" s="3">
        <v>114.5</v>
      </c>
      <c r="D195" s="3">
        <v>18.05</v>
      </c>
      <c r="E195" s="3">
        <f t="shared" si="9"/>
        <v>114.5</v>
      </c>
      <c r="F195" s="3">
        <f t="shared" si="10"/>
        <v>18.05</v>
      </c>
      <c r="G195" s="3">
        <f t="shared" si="11"/>
        <v>6.3434903047091407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5:E67"/>
  <sheetViews>
    <sheetView topLeftCell="A37" workbookViewId="0">
      <selection activeCell="G12" sqref="G12"/>
    </sheetView>
  </sheetViews>
  <sheetFormatPr defaultRowHeight="12.75" x14ac:dyDescent="0.2"/>
  <sheetData>
    <row r="5" spans="3:5" x14ac:dyDescent="0.2">
      <c r="C5">
        <v>480273</v>
      </c>
      <c r="D5">
        <v>1</v>
      </c>
      <c r="E5">
        <v>750</v>
      </c>
    </row>
    <row r="6" spans="3:5" x14ac:dyDescent="0.2">
      <c r="C6">
        <v>480282</v>
      </c>
      <c r="D6">
        <v>1</v>
      </c>
      <c r="E6">
        <v>750</v>
      </c>
    </row>
    <row r="7" spans="3:5" x14ac:dyDescent="0.2">
      <c r="C7">
        <v>480293</v>
      </c>
      <c r="D7">
        <v>30</v>
      </c>
    </row>
    <row r="8" spans="3:5" x14ac:dyDescent="0.2">
      <c r="C8">
        <v>480300</v>
      </c>
      <c r="D8">
        <v>1</v>
      </c>
      <c r="E8">
        <v>750</v>
      </c>
    </row>
    <row r="9" spans="3:5" x14ac:dyDescent="0.2">
      <c r="C9">
        <v>480309</v>
      </c>
      <c r="D9">
        <v>1</v>
      </c>
      <c r="E9">
        <v>750</v>
      </c>
    </row>
    <row r="10" spans="3:5" x14ac:dyDescent="0.2">
      <c r="C10">
        <v>480322</v>
      </c>
      <c r="D10">
        <v>30</v>
      </c>
    </row>
    <row r="11" spans="3:5" x14ac:dyDescent="0.2">
      <c r="C11">
        <v>480329</v>
      </c>
      <c r="D11">
        <v>1</v>
      </c>
      <c r="E11">
        <v>750</v>
      </c>
    </row>
    <row r="12" spans="3:5" x14ac:dyDescent="0.2">
      <c r="C12">
        <v>480345</v>
      </c>
      <c r="D12">
        <v>1</v>
      </c>
      <c r="E12">
        <v>750</v>
      </c>
    </row>
    <row r="13" spans="3:5" x14ac:dyDescent="0.2">
      <c r="C13">
        <v>480362</v>
      </c>
      <c r="D13">
        <v>30</v>
      </c>
    </row>
    <row r="14" spans="3:5" x14ac:dyDescent="0.2">
      <c r="C14">
        <v>480369</v>
      </c>
      <c r="D14">
        <v>1</v>
      </c>
      <c r="E14">
        <v>750</v>
      </c>
    </row>
    <row r="15" spans="3:5" x14ac:dyDescent="0.2">
      <c r="C15">
        <v>480378</v>
      </c>
      <c r="D15">
        <v>1</v>
      </c>
      <c r="E15">
        <v>750</v>
      </c>
    </row>
    <row r="16" spans="3:5" x14ac:dyDescent="0.2">
      <c r="C16">
        <v>480404</v>
      </c>
      <c r="D16">
        <v>1</v>
      </c>
      <c r="E16">
        <v>750</v>
      </c>
    </row>
    <row r="17" spans="3:5" x14ac:dyDescent="0.2">
      <c r="C17">
        <v>480416</v>
      </c>
      <c r="D17">
        <v>1</v>
      </c>
      <c r="E17">
        <v>750</v>
      </c>
    </row>
    <row r="18" spans="3:5" x14ac:dyDescent="0.2">
      <c r="C18">
        <v>480429</v>
      </c>
      <c r="D18">
        <v>1</v>
      </c>
      <c r="E18">
        <v>750</v>
      </c>
    </row>
    <row r="19" spans="3:5" x14ac:dyDescent="0.2">
      <c r="C19">
        <v>480438</v>
      </c>
      <c r="D19">
        <v>1</v>
      </c>
      <c r="E19">
        <v>750</v>
      </c>
    </row>
    <row r="20" spans="3:5" x14ac:dyDescent="0.2">
      <c r="C20">
        <v>480506</v>
      </c>
      <c r="D20">
        <v>1</v>
      </c>
      <c r="E20">
        <v>750</v>
      </c>
    </row>
    <row r="21" spans="3:5" x14ac:dyDescent="0.2">
      <c r="C21">
        <v>480515</v>
      </c>
      <c r="D21">
        <v>30</v>
      </c>
    </row>
    <row r="22" spans="3:5" x14ac:dyDescent="0.2">
      <c r="C22">
        <v>480522</v>
      </c>
      <c r="D22">
        <v>1</v>
      </c>
      <c r="E22">
        <v>750</v>
      </c>
    </row>
    <row r="23" spans="3:5" x14ac:dyDescent="0.2">
      <c r="C23">
        <v>480534</v>
      </c>
      <c r="D23">
        <v>30</v>
      </c>
    </row>
    <row r="24" spans="3:5" x14ac:dyDescent="0.2">
      <c r="C24">
        <v>480543</v>
      </c>
      <c r="D24">
        <v>1</v>
      </c>
      <c r="E24">
        <v>750</v>
      </c>
    </row>
    <row r="25" spans="3:5" x14ac:dyDescent="0.2">
      <c r="C25">
        <v>480551</v>
      </c>
      <c r="D25">
        <v>30</v>
      </c>
    </row>
    <row r="26" spans="3:5" x14ac:dyDescent="0.2">
      <c r="C26">
        <v>480554</v>
      </c>
      <c r="D26">
        <v>1</v>
      </c>
      <c r="E26">
        <v>750</v>
      </c>
    </row>
    <row r="27" spans="3:5" x14ac:dyDescent="0.2">
      <c r="C27">
        <v>480564</v>
      </c>
      <c r="D27">
        <v>1</v>
      </c>
      <c r="E27">
        <v>750</v>
      </c>
    </row>
    <row r="28" spans="3:5" x14ac:dyDescent="0.2">
      <c r="C28">
        <v>480580</v>
      </c>
      <c r="D28">
        <v>1</v>
      </c>
      <c r="E28">
        <v>750</v>
      </c>
    </row>
    <row r="29" spans="3:5" x14ac:dyDescent="0.2">
      <c r="C29">
        <v>480586</v>
      </c>
      <c r="D29">
        <v>30</v>
      </c>
    </row>
    <row r="30" spans="3:5" x14ac:dyDescent="0.2">
      <c r="C30">
        <v>480589</v>
      </c>
      <c r="D30">
        <v>1</v>
      </c>
      <c r="E30">
        <v>750</v>
      </c>
    </row>
    <row r="31" spans="3:5" x14ac:dyDescent="0.2">
      <c r="C31">
        <v>480612</v>
      </c>
      <c r="D31">
        <v>1</v>
      </c>
      <c r="E31">
        <v>750</v>
      </c>
    </row>
    <row r="32" spans="3:5" x14ac:dyDescent="0.2">
      <c r="C32">
        <v>480636</v>
      </c>
      <c r="D32">
        <v>1</v>
      </c>
      <c r="E32">
        <v>750</v>
      </c>
    </row>
    <row r="33" spans="3:5" x14ac:dyDescent="0.2">
      <c r="C33">
        <v>480656</v>
      </c>
      <c r="D33">
        <v>1</v>
      </c>
      <c r="E33">
        <v>750</v>
      </c>
    </row>
    <row r="34" spans="3:5" x14ac:dyDescent="0.2">
      <c r="C34">
        <v>480675</v>
      </c>
      <c r="D34">
        <v>1</v>
      </c>
      <c r="E34">
        <v>750</v>
      </c>
    </row>
    <row r="35" spans="3:5" x14ac:dyDescent="0.2">
      <c r="C35">
        <v>480693</v>
      </c>
      <c r="D35">
        <v>30</v>
      </c>
    </row>
    <row r="36" spans="3:5" x14ac:dyDescent="0.2">
      <c r="C36">
        <v>480699</v>
      </c>
      <c r="D36">
        <v>1</v>
      </c>
      <c r="E36">
        <v>750</v>
      </c>
    </row>
    <row r="37" spans="3:5" x14ac:dyDescent="0.2">
      <c r="C37">
        <v>480723</v>
      </c>
      <c r="D37">
        <v>1</v>
      </c>
      <c r="E37">
        <v>1000</v>
      </c>
    </row>
    <row r="38" spans="3:5" x14ac:dyDescent="0.2">
      <c r="C38">
        <v>480747</v>
      </c>
      <c r="D38">
        <v>1</v>
      </c>
      <c r="E38">
        <v>1000</v>
      </c>
    </row>
    <row r="39" spans="3:5" x14ac:dyDescent="0.2">
      <c r="C39">
        <v>480768</v>
      </c>
      <c r="D39">
        <v>1</v>
      </c>
      <c r="E39">
        <v>1000</v>
      </c>
    </row>
    <row r="40" spans="3:5" x14ac:dyDescent="0.2">
      <c r="C40">
        <v>480784</v>
      </c>
      <c r="D40">
        <v>30</v>
      </c>
    </row>
    <row r="41" spans="3:5" x14ac:dyDescent="0.2">
      <c r="C41">
        <v>480791</v>
      </c>
      <c r="D41">
        <v>1</v>
      </c>
      <c r="E41">
        <v>750</v>
      </c>
    </row>
    <row r="42" spans="3:5" x14ac:dyDescent="0.2">
      <c r="C42">
        <v>480799</v>
      </c>
      <c r="D42">
        <v>1</v>
      </c>
      <c r="E42">
        <v>750</v>
      </c>
    </row>
    <row r="43" spans="3:5" x14ac:dyDescent="0.2">
      <c r="C43">
        <v>480806</v>
      </c>
      <c r="D43">
        <v>30</v>
      </c>
    </row>
    <row r="44" spans="3:5" x14ac:dyDescent="0.2">
      <c r="C44">
        <v>480809</v>
      </c>
      <c r="D44">
        <v>1</v>
      </c>
      <c r="E44">
        <v>750</v>
      </c>
    </row>
    <row r="45" spans="3:5" x14ac:dyDescent="0.2">
      <c r="C45">
        <v>480826</v>
      </c>
      <c r="D45">
        <v>1</v>
      </c>
      <c r="E45">
        <v>750</v>
      </c>
    </row>
    <row r="46" spans="3:5" x14ac:dyDescent="0.2">
      <c r="C46">
        <v>480833</v>
      </c>
      <c r="D46">
        <v>30</v>
      </c>
    </row>
    <row r="47" spans="3:5" x14ac:dyDescent="0.2">
      <c r="C47">
        <v>480836</v>
      </c>
      <c r="D47">
        <v>1</v>
      </c>
      <c r="E47">
        <v>750</v>
      </c>
    </row>
    <row r="48" spans="3:5" x14ac:dyDescent="0.2">
      <c r="C48">
        <v>480846</v>
      </c>
      <c r="D48">
        <v>1</v>
      </c>
      <c r="E48">
        <v>750</v>
      </c>
    </row>
    <row r="49" spans="3:5" x14ac:dyDescent="0.2">
      <c r="C49">
        <v>480857</v>
      </c>
      <c r="D49">
        <v>30</v>
      </c>
    </row>
    <row r="50" spans="3:5" x14ac:dyDescent="0.2">
      <c r="C50">
        <v>480864</v>
      </c>
      <c r="D50">
        <v>1</v>
      </c>
      <c r="E50">
        <v>750</v>
      </c>
    </row>
    <row r="51" spans="3:5" x14ac:dyDescent="0.2">
      <c r="C51">
        <v>480873</v>
      </c>
      <c r="D51">
        <v>30</v>
      </c>
    </row>
    <row r="52" spans="3:5" x14ac:dyDescent="0.2">
      <c r="C52">
        <v>480880</v>
      </c>
      <c r="D52">
        <v>1</v>
      </c>
      <c r="E52">
        <v>750</v>
      </c>
    </row>
    <row r="53" spans="3:5" x14ac:dyDescent="0.2">
      <c r="C53">
        <v>480888</v>
      </c>
      <c r="D53">
        <v>30</v>
      </c>
    </row>
    <row r="54" spans="3:5" x14ac:dyDescent="0.2">
      <c r="C54">
        <v>480891</v>
      </c>
      <c r="D54">
        <v>1</v>
      </c>
      <c r="E54">
        <v>750</v>
      </c>
    </row>
    <row r="55" spans="3:5" x14ac:dyDescent="0.2">
      <c r="C55">
        <v>480901</v>
      </c>
      <c r="D55">
        <v>30</v>
      </c>
    </row>
    <row r="56" spans="3:5" x14ac:dyDescent="0.2">
      <c r="C56">
        <v>480904</v>
      </c>
      <c r="D56">
        <v>1</v>
      </c>
      <c r="E56">
        <v>500</v>
      </c>
    </row>
    <row r="57" spans="3:5" x14ac:dyDescent="0.2">
      <c r="C57">
        <v>480921</v>
      </c>
      <c r="D57">
        <v>30</v>
      </c>
    </row>
    <row r="58" spans="3:5" x14ac:dyDescent="0.2">
      <c r="C58">
        <v>480928</v>
      </c>
      <c r="D58">
        <v>1</v>
      </c>
      <c r="E58">
        <v>500</v>
      </c>
    </row>
    <row r="59" spans="3:5" x14ac:dyDescent="0.2">
      <c r="C59">
        <v>480942</v>
      </c>
      <c r="D59">
        <v>1</v>
      </c>
      <c r="E59">
        <v>750</v>
      </c>
    </row>
    <row r="60" spans="3:5" x14ac:dyDescent="0.2">
      <c r="C60">
        <v>480955</v>
      </c>
      <c r="D60">
        <v>30</v>
      </c>
    </row>
    <row r="61" spans="3:5" x14ac:dyDescent="0.2">
      <c r="C61">
        <v>480962</v>
      </c>
      <c r="D61">
        <v>1</v>
      </c>
      <c r="E61">
        <v>750</v>
      </c>
    </row>
    <row r="62" spans="3:5" x14ac:dyDescent="0.2">
      <c r="C62">
        <v>480988</v>
      </c>
      <c r="D62">
        <v>1</v>
      </c>
      <c r="E62">
        <v>500</v>
      </c>
    </row>
    <row r="63" spans="3:5" x14ac:dyDescent="0.2">
      <c r="C63">
        <v>481002</v>
      </c>
      <c r="D63">
        <v>1</v>
      </c>
      <c r="E63">
        <v>750</v>
      </c>
    </row>
    <row r="64" spans="3:5" x14ac:dyDescent="0.2">
      <c r="C64">
        <v>481023</v>
      </c>
      <c r="D64">
        <v>1</v>
      </c>
      <c r="E64">
        <v>750</v>
      </c>
    </row>
    <row r="65" spans="3:5" x14ac:dyDescent="0.2">
      <c r="C65">
        <v>481033</v>
      </c>
      <c r="D65">
        <v>1</v>
      </c>
      <c r="E65">
        <v>750</v>
      </c>
    </row>
    <row r="66" spans="3:5" x14ac:dyDescent="0.2">
      <c r="C66">
        <v>481046</v>
      </c>
      <c r="D66">
        <v>1</v>
      </c>
      <c r="E66">
        <v>750</v>
      </c>
    </row>
    <row r="67" spans="3:5" x14ac:dyDescent="0.2">
      <c r="C67">
        <v>481059</v>
      </c>
      <c r="D67">
        <v>1</v>
      </c>
      <c r="E67">
        <v>750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topLeftCell="AW1" workbookViewId="0">
      <selection activeCell="AW1" sqref="AW1"/>
    </sheetView>
  </sheetViews>
  <sheetFormatPr defaultRowHeight="12.75" x14ac:dyDescent="0.2"/>
  <sheetData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topLeftCell="AW1" workbookViewId="0">
      <selection activeCell="AW1" sqref="AW1"/>
    </sheetView>
  </sheetViews>
  <sheetFormatPr defaultRowHeight="12.75" x14ac:dyDescent="0.2"/>
  <sheetData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E20:HQ34"/>
  <sheetViews>
    <sheetView workbookViewId="0"/>
  </sheetViews>
  <sheetFormatPr defaultRowHeight="12.75" x14ac:dyDescent="0.2"/>
  <cols>
    <col min="5" max="5" width="8.42578125" customWidth="1"/>
    <col min="8" max="8" width="8.42578125" customWidth="1"/>
    <col min="11" max="11" width="8.42578125" customWidth="1"/>
    <col min="14" max="14" width="8.42578125" customWidth="1"/>
    <col min="17" max="17" width="8.42578125" customWidth="1"/>
    <col min="20" max="20" width="8.42578125" customWidth="1"/>
    <col min="24" max="24" width="8.42578125" customWidth="1"/>
    <col min="28" max="28" width="8.42578125" customWidth="1"/>
    <col min="31" max="31" width="8.42578125" customWidth="1"/>
    <col min="34" max="34" width="8.42578125" customWidth="1"/>
    <col min="37" max="37" width="8.42578125" customWidth="1"/>
    <col min="40" max="40" width="8.42578125" customWidth="1"/>
    <col min="43" max="43" width="8.42578125" customWidth="1"/>
    <col min="46" max="46" width="8.42578125" customWidth="1"/>
    <col min="49" max="49" width="8.42578125" customWidth="1"/>
    <col min="52" max="52" width="8.42578125" customWidth="1"/>
    <col min="55" max="55" width="8.42578125" customWidth="1"/>
    <col min="58" max="58" width="8.42578125" customWidth="1"/>
    <col min="61" max="61" width="8.42578125" customWidth="1"/>
    <col min="64" max="64" width="8.42578125" customWidth="1"/>
    <col min="67" max="67" width="8.42578125" customWidth="1"/>
    <col min="70" max="70" width="8.42578125" customWidth="1"/>
    <col min="73" max="73" width="8.42578125" customWidth="1"/>
    <col min="76" max="76" width="8.42578125" customWidth="1"/>
    <col min="79" max="79" width="8.42578125" customWidth="1"/>
    <col min="82" max="82" width="8.42578125" customWidth="1"/>
    <col min="85" max="85" width="8.42578125" customWidth="1"/>
    <col min="88" max="88" width="8.42578125" customWidth="1"/>
    <col min="91" max="91" width="8.42578125" customWidth="1"/>
    <col min="94" max="94" width="8.42578125" customWidth="1"/>
    <col min="97" max="97" width="8.42578125" customWidth="1"/>
    <col min="100" max="100" width="8.42578125" customWidth="1"/>
    <col min="103" max="103" width="8.42578125" customWidth="1"/>
    <col min="106" max="106" width="8.42578125" customWidth="1"/>
    <col min="109" max="109" width="8.42578125" customWidth="1"/>
    <col min="112" max="112" width="8.42578125" customWidth="1"/>
    <col min="115" max="115" width="8.42578125" customWidth="1"/>
    <col min="118" max="118" width="8.42578125" customWidth="1"/>
    <col min="121" max="121" width="8.42578125" customWidth="1"/>
    <col min="124" max="124" width="8.42578125" customWidth="1"/>
    <col min="131" max="131" width="8.42578125" customWidth="1"/>
    <col min="134" max="134" width="8.42578125" customWidth="1"/>
    <col min="137" max="137" width="8.42578125" customWidth="1"/>
    <col min="140" max="140" width="8.42578125" customWidth="1"/>
    <col min="143" max="143" width="8.42578125" customWidth="1"/>
    <col min="146" max="146" width="8.42578125" customWidth="1"/>
    <col min="149" max="149" width="8.42578125" customWidth="1"/>
    <col min="152" max="152" width="8.42578125" customWidth="1"/>
    <col min="165" max="165" width="8.42578125" customWidth="1"/>
    <col min="168" max="168" width="8.42578125" customWidth="1"/>
    <col min="171" max="171" width="8.42578125" customWidth="1"/>
    <col min="174" max="174" width="8.42578125" customWidth="1"/>
    <col min="177" max="177" width="8.42578125" customWidth="1"/>
    <col min="180" max="180" width="8.42578125" customWidth="1"/>
    <col min="183" max="183" width="8.42578125" customWidth="1"/>
    <col min="186" max="186" width="8.42578125" customWidth="1"/>
    <col min="189" max="189" width="8.42578125" customWidth="1"/>
    <col min="192" max="192" width="8.42578125" customWidth="1"/>
    <col min="195" max="195" width="8.42578125" customWidth="1"/>
    <col min="198" max="198" width="8.42578125" customWidth="1"/>
    <col min="201" max="201" width="8.42578125" customWidth="1"/>
    <col min="204" max="204" width="8.42578125" customWidth="1"/>
    <col min="207" max="207" width="8.42578125" customWidth="1"/>
    <col min="210" max="210" width="8.42578125" customWidth="1"/>
    <col min="213" max="213" width="8.42578125" customWidth="1"/>
    <col min="216" max="216" width="8.42578125" customWidth="1"/>
    <col min="219" max="219" width="8.42578125" customWidth="1"/>
  </cols>
  <sheetData>
    <row r="20" spans="5:225" x14ac:dyDescent="0.2">
      <c r="E20" s="2"/>
      <c r="H20" s="2"/>
      <c r="K20" s="2"/>
      <c r="N20" s="2"/>
      <c r="Q20" s="2"/>
      <c r="T20" s="2"/>
      <c r="X20" s="2"/>
      <c r="AB20" s="2"/>
      <c r="AE20" s="2"/>
      <c r="AH20" s="2"/>
      <c r="AK20" s="2"/>
      <c r="AN20" s="2"/>
      <c r="AQ20" s="2"/>
      <c r="AT20" s="2"/>
      <c r="AW20" s="2"/>
      <c r="AZ20" s="2"/>
      <c r="BC20" s="2"/>
      <c r="BF20" s="2"/>
      <c r="BI20" s="2"/>
      <c r="BL20" s="2"/>
      <c r="BO20" s="2"/>
      <c r="BR20" s="2"/>
      <c r="BU20" s="2"/>
      <c r="BX20" s="2"/>
      <c r="CA20" s="2"/>
      <c r="CD20" s="2"/>
      <c r="CG20" s="2"/>
      <c r="CJ20" s="2"/>
      <c r="CM20" s="2"/>
      <c r="CP20" s="2"/>
      <c r="CS20" s="2"/>
      <c r="CV20" s="2"/>
      <c r="CY20" s="2"/>
      <c r="DB20" s="2"/>
      <c r="DE20" s="2"/>
      <c r="DH20" s="2"/>
      <c r="DK20" s="2"/>
      <c r="DN20" s="2"/>
      <c r="DQ20" s="2"/>
      <c r="DT20" s="2"/>
      <c r="EA20" s="2"/>
      <c r="ED20" s="2"/>
      <c r="EG20" s="2"/>
      <c r="EJ20" s="2"/>
      <c r="EM20" s="2"/>
      <c r="EP20" s="2"/>
      <c r="ES20" s="2"/>
      <c r="EV20" s="2"/>
      <c r="FI20" s="2"/>
      <c r="FL20" s="2"/>
      <c r="FO20" s="2"/>
      <c r="FR20" s="2"/>
      <c r="FU20" s="2"/>
      <c r="FX20" s="2"/>
      <c r="GA20" s="2"/>
      <c r="GD20" s="2"/>
      <c r="GG20" s="2"/>
      <c r="GJ20" s="2"/>
      <c r="GM20" s="2"/>
      <c r="GP20" s="2"/>
      <c r="GS20" s="2"/>
      <c r="GV20" s="2"/>
      <c r="GY20" s="2"/>
      <c r="HB20" s="2"/>
      <c r="HE20" s="2"/>
      <c r="HH20" s="2"/>
      <c r="HK20" s="2"/>
      <c r="HN20" s="2"/>
      <c r="HQ20" s="2"/>
    </row>
    <row r="21" spans="5:225" x14ac:dyDescent="0.2">
      <c r="E21" s="2"/>
      <c r="H21" s="2"/>
      <c r="K21" s="2"/>
      <c r="N21" s="2"/>
      <c r="Q21" s="2"/>
      <c r="T21" s="2"/>
      <c r="X21" s="2"/>
      <c r="AB21" s="2"/>
      <c r="AE21" s="2"/>
      <c r="AH21" s="2"/>
      <c r="AK21" s="2"/>
      <c r="AN21" s="2"/>
      <c r="AQ21" s="2"/>
      <c r="AT21" s="2"/>
      <c r="AW21" s="2"/>
      <c r="AZ21" s="2"/>
      <c r="BC21" s="2"/>
      <c r="BF21" s="2"/>
      <c r="BI21" s="2"/>
      <c r="BL21" s="2"/>
      <c r="BO21" s="2"/>
      <c r="BR21" s="2"/>
      <c r="BU21" s="2"/>
      <c r="BX21" s="2"/>
      <c r="CA21" s="2"/>
      <c r="CD21" s="2"/>
      <c r="CG21" s="2"/>
      <c r="CJ21" s="2"/>
      <c r="CM21" s="2"/>
      <c r="CP21" s="2"/>
      <c r="CS21" s="2"/>
      <c r="CV21" s="2"/>
      <c r="CY21" s="2"/>
      <c r="DB21" s="2"/>
      <c r="DE21" s="2"/>
      <c r="DH21" s="2"/>
      <c r="DK21" s="2"/>
      <c r="DN21" s="2"/>
      <c r="DQ21" s="2"/>
      <c r="DT21" s="2"/>
      <c r="EA21" s="2"/>
      <c r="ED21" s="2"/>
      <c r="EG21" s="2"/>
      <c r="EJ21" s="2"/>
      <c r="EM21" s="2"/>
      <c r="EP21" s="2"/>
      <c r="ES21" s="2"/>
      <c r="EV21" s="2"/>
      <c r="FI21" s="2"/>
      <c r="FL21" s="2"/>
      <c r="FO21" s="2"/>
      <c r="FR21" s="2"/>
      <c r="FU21" s="2"/>
      <c r="FX21" s="2"/>
      <c r="GA21" s="2"/>
      <c r="GD21" s="2"/>
      <c r="GG21" s="2"/>
      <c r="GJ21" s="2"/>
      <c r="GM21" s="2"/>
      <c r="GP21" s="2"/>
      <c r="GS21" s="2"/>
      <c r="GV21" s="2"/>
      <c r="GY21" s="2"/>
      <c r="HB21" s="2"/>
      <c r="HE21" s="2"/>
      <c r="HH21" s="2"/>
      <c r="HK21" s="2"/>
      <c r="HN21" s="2"/>
      <c r="HQ21" s="2"/>
    </row>
    <row r="22" spans="5:225" x14ac:dyDescent="0.2">
      <c r="E22" s="2"/>
      <c r="H22" s="2"/>
      <c r="K22" s="2"/>
      <c r="N22" s="2"/>
      <c r="Q22" s="2"/>
      <c r="T22" s="2"/>
      <c r="X22" s="2"/>
      <c r="AB22" s="2"/>
      <c r="AE22" s="2"/>
      <c r="AH22" s="2"/>
      <c r="AK22" s="2"/>
      <c r="AN22" s="2"/>
      <c r="AQ22" s="2"/>
      <c r="AT22" s="2"/>
      <c r="AW22" s="2"/>
      <c r="AZ22" s="2"/>
      <c r="BC22" s="2"/>
      <c r="BF22" s="2"/>
      <c r="BI22" s="2"/>
      <c r="BL22" s="2"/>
      <c r="BO22" s="2"/>
      <c r="BR22" s="2"/>
      <c r="BU22" s="2"/>
      <c r="BX22" s="2"/>
      <c r="CA22" s="2"/>
      <c r="CD22" s="2"/>
      <c r="CG22" s="2"/>
      <c r="CJ22" s="2"/>
      <c r="CM22" s="2"/>
      <c r="CP22" s="2"/>
      <c r="CS22" s="2"/>
      <c r="CV22" s="2"/>
      <c r="CY22" s="2"/>
      <c r="DB22" s="2"/>
      <c r="DE22" s="2"/>
      <c r="DH22" s="2"/>
      <c r="DK22" s="2"/>
      <c r="DN22" s="2"/>
      <c r="DQ22" s="2"/>
      <c r="DT22" s="2"/>
      <c r="EA22" s="2"/>
      <c r="ED22" s="2"/>
      <c r="EG22" s="2"/>
      <c r="EJ22" s="2"/>
      <c r="EM22" s="2"/>
      <c r="EP22" s="2"/>
      <c r="ES22" s="2"/>
      <c r="EV22" s="2"/>
      <c r="FI22" s="2"/>
      <c r="FL22" s="2"/>
      <c r="FO22" s="2"/>
      <c r="FR22" s="2"/>
      <c r="FU22" s="2"/>
      <c r="FX22" s="2"/>
      <c r="GA22" s="2"/>
      <c r="GD22" s="2"/>
      <c r="GG22" s="2"/>
      <c r="GJ22" s="2"/>
      <c r="GM22" s="2"/>
      <c r="GP22" s="2"/>
      <c r="GS22" s="2"/>
      <c r="GV22" s="2"/>
      <c r="GY22" s="2"/>
      <c r="HB22" s="2"/>
      <c r="HE22" s="2"/>
      <c r="HH22" s="2"/>
      <c r="HK22" s="2"/>
      <c r="HN22" s="2"/>
      <c r="HQ22" s="2"/>
    </row>
    <row r="23" spans="5:225" x14ac:dyDescent="0.2">
      <c r="E23" s="2"/>
      <c r="H23" s="2"/>
      <c r="K23" s="2"/>
      <c r="N23" s="2"/>
      <c r="Q23" s="2"/>
      <c r="T23" s="2"/>
      <c r="X23" s="2"/>
      <c r="AB23" s="2"/>
      <c r="AE23" s="2"/>
      <c r="AH23" s="2"/>
      <c r="AK23" s="2"/>
      <c r="AN23" s="2"/>
      <c r="AQ23" s="2"/>
      <c r="AT23" s="2"/>
      <c r="AW23" s="2"/>
      <c r="AZ23" s="2"/>
      <c r="BC23" s="2"/>
      <c r="BF23" s="2"/>
      <c r="BI23" s="2"/>
      <c r="BL23" s="2"/>
      <c r="BO23" s="2"/>
      <c r="BR23" s="2"/>
      <c r="BU23" s="2"/>
      <c r="BX23" s="2"/>
      <c r="CA23" s="2"/>
      <c r="CD23" s="2"/>
      <c r="CG23" s="2"/>
      <c r="CJ23" s="2"/>
      <c r="CM23" s="2"/>
      <c r="CP23" s="2"/>
      <c r="CS23" s="2"/>
      <c r="CV23" s="2"/>
      <c r="CY23" s="2"/>
      <c r="DB23" s="2"/>
      <c r="DE23" s="2"/>
      <c r="DH23" s="2"/>
      <c r="DK23" s="2"/>
      <c r="DN23" s="2"/>
      <c r="DQ23" s="2"/>
      <c r="DT23" s="2"/>
      <c r="EA23" s="2"/>
      <c r="ED23" s="2"/>
      <c r="EG23" s="2"/>
      <c r="EJ23" s="2"/>
      <c r="EM23" s="2"/>
      <c r="EP23" s="2"/>
      <c r="ES23" s="2"/>
      <c r="EV23" s="2"/>
      <c r="FI23" s="2"/>
      <c r="FL23" s="2"/>
      <c r="FO23" s="2"/>
      <c r="FR23" s="2"/>
      <c r="FU23" s="2"/>
      <c r="FX23" s="2"/>
      <c r="GA23" s="2"/>
      <c r="GD23" s="2"/>
      <c r="GG23" s="2"/>
      <c r="GJ23" s="2"/>
      <c r="GM23" s="2"/>
      <c r="GP23" s="2"/>
      <c r="GS23" s="2"/>
      <c r="GV23" s="2"/>
      <c r="GY23" s="2"/>
      <c r="HB23" s="2"/>
      <c r="HE23" s="2"/>
      <c r="HH23" s="2"/>
      <c r="HK23" s="2"/>
      <c r="HN23" s="2"/>
      <c r="HQ23" s="2"/>
    </row>
    <row r="24" spans="5:225" x14ac:dyDescent="0.2">
      <c r="E24" s="2"/>
      <c r="H24" s="2"/>
      <c r="K24" s="2"/>
      <c r="N24" s="2"/>
      <c r="Q24" s="2"/>
      <c r="T24" s="2"/>
      <c r="X24" s="2"/>
      <c r="AB24" s="2"/>
      <c r="AE24" s="2"/>
      <c r="AH24" s="2"/>
      <c r="AK24" s="2"/>
      <c r="AN24" s="2"/>
      <c r="AQ24" s="2"/>
      <c r="AT24" s="2"/>
      <c r="AW24" s="2"/>
      <c r="AZ24" s="2"/>
      <c r="BC24" s="2"/>
      <c r="BF24" s="2"/>
      <c r="BI24" s="2"/>
      <c r="BL24" s="2"/>
      <c r="BO24" s="2"/>
      <c r="BR24" s="2"/>
      <c r="BU24" s="2"/>
      <c r="BX24" s="2"/>
      <c r="CA24" s="2"/>
      <c r="CD24" s="2"/>
      <c r="CG24" s="2"/>
      <c r="CJ24" s="2"/>
      <c r="CM24" s="2"/>
      <c r="CP24" s="2"/>
      <c r="CS24" s="2"/>
      <c r="CV24" s="2"/>
      <c r="CY24" s="2"/>
      <c r="DB24" s="2"/>
      <c r="DE24" s="2"/>
      <c r="DH24" s="2"/>
      <c r="DK24" s="2"/>
      <c r="DN24" s="2"/>
      <c r="DQ24" s="2"/>
      <c r="DT24" s="2"/>
      <c r="EA24" s="2"/>
      <c r="ED24" s="2"/>
      <c r="EG24" s="2"/>
      <c r="EJ24" s="2"/>
      <c r="EM24" s="2"/>
      <c r="EP24" s="2"/>
      <c r="ES24" s="2"/>
      <c r="EV24" s="2"/>
      <c r="FI24" s="2"/>
      <c r="FL24" s="2"/>
      <c r="FO24" s="2"/>
      <c r="FR24" s="2"/>
      <c r="FU24" s="2"/>
      <c r="FX24" s="2"/>
      <c r="GA24" s="2"/>
      <c r="GD24" s="2"/>
      <c r="GG24" s="2"/>
      <c r="GJ24" s="2"/>
      <c r="GM24" s="2"/>
      <c r="GP24" s="2"/>
      <c r="GS24" s="2"/>
      <c r="GV24" s="2"/>
      <c r="GY24" s="2"/>
      <c r="HB24" s="2"/>
      <c r="HE24" s="2"/>
      <c r="HH24" s="2"/>
      <c r="HK24" s="2"/>
      <c r="HN24" s="2"/>
      <c r="HQ24" s="2"/>
    </row>
    <row r="25" spans="5:225" x14ac:dyDescent="0.2">
      <c r="E25" s="2"/>
      <c r="H25" s="2"/>
      <c r="K25" s="2"/>
      <c r="N25" s="2"/>
      <c r="Q25" s="2"/>
      <c r="T25" s="2"/>
      <c r="X25" s="2"/>
      <c r="AB25" s="2"/>
      <c r="AE25" s="2"/>
      <c r="AH25" s="2"/>
      <c r="AK25" s="2"/>
      <c r="AN25" s="2"/>
      <c r="AQ25" s="2"/>
      <c r="AT25" s="2"/>
      <c r="AW25" s="2"/>
      <c r="AZ25" s="2"/>
      <c r="BC25" s="2"/>
      <c r="BF25" s="2"/>
      <c r="BI25" s="2"/>
      <c r="BL25" s="2"/>
      <c r="BO25" s="2"/>
      <c r="BR25" s="2"/>
      <c r="BU25" s="2"/>
      <c r="BX25" s="2"/>
      <c r="CA25" s="2"/>
      <c r="CD25" s="2"/>
      <c r="CG25" s="2"/>
      <c r="CJ25" s="2"/>
      <c r="CM25" s="2"/>
      <c r="CP25" s="2"/>
      <c r="CS25" s="2"/>
      <c r="CV25" s="2"/>
      <c r="CY25" s="2"/>
      <c r="DB25" s="2"/>
      <c r="DE25" s="2"/>
      <c r="DH25" s="2"/>
      <c r="DK25" s="2"/>
      <c r="DN25" s="2"/>
      <c r="DQ25" s="2"/>
      <c r="DT25" s="2"/>
      <c r="EA25" s="2"/>
      <c r="ED25" s="2"/>
      <c r="EG25" s="2"/>
      <c r="EJ25" s="2"/>
      <c r="EM25" s="2"/>
      <c r="EP25" s="2"/>
      <c r="ES25" s="2"/>
      <c r="EV25" s="2"/>
      <c r="FI25" s="2"/>
      <c r="FL25" s="2"/>
      <c r="FO25" s="2"/>
      <c r="FR25" s="2"/>
      <c r="FU25" s="2"/>
      <c r="FX25" s="2"/>
      <c r="GA25" s="2"/>
      <c r="GD25" s="2"/>
      <c r="GG25" s="2"/>
      <c r="GJ25" s="2"/>
      <c r="GM25" s="2"/>
      <c r="GP25" s="2"/>
      <c r="GS25" s="2"/>
      <c r="GV25" s="2"/>
      <c r="GY25" s="2"/>
      <c r="HB25" s="2"/>
      <c r="HE25" s="2"/>
      <c r="HH25" s="2"/>
      <c r="HK25" s="2"/>
      <c r="HN25" s="2"/>
      <c r="HQ25" s="2"/>
    </row>
    <row r="26" spans="5:225" x14ac:dyDescent="0.2">
      <c r="E26" s="2"/>
      <c r="H26" s="2"/>
      <c r="K26" s="2"/>
      <c r="N26" s="2"/>
      <c r="Q26" s="2"/>
      <c r="T26" s="2"/>
      <c r="X26" s="2"/>
      <c r="AB26" s="2"/>
      <c r="AE26" s="2"/>
      <c r="AH26" s="2"/>
      <c r="AK26" s="2"/>
      <c r="AN26" s="2"/>
      <c r="AQ26" s="2"/>
      <c r="AT26" s="2"/>
      <c r="AW26" s="2"/>
      <c r="AZ26" s="2"/>
      <c r="BC26" s="2"/>
      <c r="BF26" s="2"/>
      <c r="BI26" s="2"/>
      <c r="BL26" s="2"/>
      <c r="BO26" s="2"/>
      <c r="BR26" s="2"/>
      <c r="BU26" s="2"/>
      <c r="BX26" s="2"/>
      <c r="CA26" s="2"/>
      <c r="CD26" s="2"/>
      <c r="CG26" s="2"/>
      <c r="CJ26" s="2"/>
      <c r="CM26" s="2"/>
      <c r="CP26" s="2"/>
      <c r="CS26" s="2"/>
      <c r="CV26" s="2"/>
      <c r="CY26" s="2"/>
      <c r="DB26" s="2"/>
      <c r="DE26" s="2"/>
      <c r="DH26" s="2"/>
      <c r="DK26" s="2"/>
      <c r="DN26" s="2"/>
      <c r="DQ26" s="2"/>
      <c r="DT26" s="2"/>
      <c r="EA26" s="2"/>
      <c r="ED26" s="2"/>
      <c r="EG26" s="2"/>
      <c r="EJ26" s="2"/>
      <c r="EM26" s="2"/>
      <c r="EP26" s="2"/>
      <c r="ES26" s="2"/>
      <c r="EV26" s="2"/>
      <c r="FI26" s="2"/>
      <c r="FL26" s="2"/>
      <c r="FO26" s="2"/>
      <c r="FR26" s="2"/>
      <c r="FU26" s="2"/>
      <c r="FX26" s="2"/>
      <c r="GA26" s="2"/>
      <c r="GD26" s="2"/>
      <c r="GG26" s="2"/>
      <c r="GJ26" s="2"/>
      <c r="GM26" s="2"/>
      <c r="GP26" s="2"/>
      <c r="GS26" s="2"/>
      <c r="GV26" s="2"/>
      <c r="GY26" s="2"/>
      <c r="HB26" s="2"/>
      <c r="HE26" s="2"/>
      <c r="HH26" s="2"/>
      <c r="HK26" s="2"/>
      <c r="HN26" s="2"/>
      <c r="HQ26" s="2"/>
    </row>
    <row r="27" spans="5:225" x14ac:dyDescent="0.2">
      <c r="E27" s="2"/>
      <c r="H27" s="2"/>
      <c r="K27" s="2"/>
      <c r="N27" s="2"/>
      <c r="Q27" s="2"/>
      <c r="T27" s="2"/>
      <c r="X27" s="2"/>
      <c r="AB27" s="2"/>
      <c r="AE27" s="2"/>
      <c r="AH27" s="2"/>
      <c r="AK27" s="2"/>
      <c r="AN27" s="2"/>
      <c r="AQ27" s="2"/>
      <c r="AT27" s="2"/>
      <c r="AW27" s="2"/>
      <c r="AZ27" s="2"/>
      <c r="BC27" s="2"/>
      <c r="BF27" s="2"/>
      <c r="BI27" s="2"/>
      <c r="BL27" s="2"/>
      <c r="BO27" s="2"/>
      <c r="BR27" s="2"/>
      <c r="BU27" s="2"/>
      <c r="BX27" s="2"/>
      <c r="CA27" s="2"/>
      <c r="CD27" s="2"/>
      <c r="CG27" s="2"/>
      <c r="CJ27" s="2"/>
      <c r="CM27" s="2"/>
      <c r="CP27" s="2"/>
      <c r="CS27" s="2"/>
      <c r="CV27" s="2"/>
      <c r="CY27" s="2"/>
      <c r="DB27" s="2"/>
      <c r="DE27" s="2"/>
      <c r="DH27" s="2"/>
      <c r="DK27" s="2"/>
      <c r="DN27" s="2"/>
      <c r="DQ27" s="2"/>
      <c r="DT27" s="2"/>
      <c r="EA27" s="2"/>
      <c r="ED27" s="2"/>
      <c r="EG27" s="2"/>
      <c r="EJ27" s="2"/>
      <c r="EM27" s="2"/>
      <c r="EP27" s="2"/>
      <c r="ES27" s="2"/>
      <c r="EV27" s="2"/>
      <c r="FI27" s="2"/>
      <c r="FL27" s="2"/>
      <c r="FO27" s="2"/>
      <c r="FR27" s="2"/>
      <c r="FU27" s="2"/>
      <c r="FX27" s="2"/>
      <c r="GA27" s="2"/>
      <c r="GD27" s="2"/>
      <c r="GG27" s="2"/>
      <c r="GJ27" s="2"/>
      <c r="GM27" s="2"/>
      <c r="GP27" s="2"/>
      <c r="GS27" s="2"/>
      <c r="GV27" s="2"/>
      <c r="GY27" s="2"/>
      <c r="HB27" s="2"/>
      <c r="HE27" s="2"/>
      <c r="HH27" s="2"/>
      <c r="HK27" s="2"/>
      <c r="HN27" s="2"/>
      <c r="HQ27" s="2"/>
    </row>
    <row r="28" spans="5:225" x14ac:dyDescent="0.2">
      <c r="E28" s="2"/>
      <c r="H28" s="2"/>
      <c r="K28" s="2"/>
      <c r="N28" s="2"/>
      <c r="Q28" s="2"/>
      <c r="T28" s="2"/>
      <c r="X28" s="2"/>
      <c r="AB28" s="2"/>
      <c r="AE28" s="2"/>
      <c r="AH28" s="2"/>
      <c r="AK28" s="2"/>
      <c r="AN28" s="2"/>
      <c r="AQ28" s="2"/>
      <c r="AT28" s="2"/>
      <c r="AW28" s="2"/>
      <c r="AZ28" s="2"/>
      <c r="BC28" s="2"/>
      <c r="BF28" s="2"/>
      <c r="BI28" s="2"/>
      <c r="BL28" s="2"/>
      <c r="BO28" s="2"/>
      <c r="BR28" s="2"/>
      <c r="BU28" s="2"/>
      <c r="BX28" s="2"/>
      <c r="CA28" s="2"/>
      <c r="CD28" s="2"/>
      <c r="CG28" s="2"/>
      <c r="CJ28" s="2"/>
      <c r="CM28" s="2"/>
      <c r="CP28" s="2"/>
      <c r="CS28" s="2"/>
      <c r="CV28" s="2"/>
      <c r="CY28" s="2"/>
      <c r="DB28" s="2"/>
      <c r="DE28" s="2"/>
      <c r="DH28" s="2"/>
      <c r="DK28" s="2"/>
      <c r="DN28" s="2"/>
      <c r="DQ28" s="2"/>
      <c r="DT28" s="2"/>
      <c r="EA28" s="2"/>
      <c r="ED28" s="2"/>
      <c r="EG28" s="2"/>
      <c r="EJ28" s="2"/>
      <c r="EM28" s="2"/>
      <c r="EP28" s="2"/>
      <c r="ES28" s="2"/>
      <c r="EV28" s="2"/>
      <c r="FI28" s="2"/>
      <c r="FL28" s="2"/>
      <c r="FO28" s="2"/>
      <c r="FR28" s="2"/>
      <c r="FU28" s="2"/>
      <c r="FX28" s="2"/>
      <c r="GA28" s="2"/>
      <c r="GD28" s="2"/>
      <c r="GG28" s="2"/>
      <c r="GJ28" s="2"/>
      <c r="GM28" s="2"/>
      <c r="GP28" s="2"/>
      <c r="GS28" s="2"/>
      <c r="GV28" s="2"/>
      <c r="GY28" s="2"/>
      <c r="HB28" s="2"/>
      <c r="HE28" s="2"/>
      <c r="HH28" s="2"/>
      <c r="HK28" s="2"/>
      <c r="HN28" s="2"/>
      <c r="HQ28" s="2"/>
    </row>
    <row r="29" spans="5:225" x14ac:dyDescent="0.2">
      <c r="E29" s="2"/>
      <c r="H29" s="2"/>
      <c r="K29" s="2"/>
      <c r="N29" s="2"/>
      <c r="Q29" s="2"/>
      <c r="T29" s="2"/>
      <c r="X29" s="2"/>
      <c r="AB29" s="2"/>
      <c r="AE29" s="2"/>
      <c r="AH29" s="2"/>
      <c r="AK29" s="2"/>
      <c r="AN29" s="2"/>
      <c r="AQ29" s="2"/>
      <c r="AT29" s="2"/>
      <c r="AW29" s="2"/>
      <c r="AZ29" s="2"/>
      <c r="BC29" s="2"/>
      <c r="BF29" s="2"/>
      <c r="BI29" s="2"/>
      <c r="BL29" s="2"/>
      <c r="BO29" s="2"/>
      <c r="BR29" s="2"/>
      <c r="BU29" s="2"/>
      <c r="BX29" s="2"/>
      <c r="CA29" s="2"/>
      <c r="CD29" s="2"/>
      <c r="CG29" s="2"/>
      <c r="CJ29" s="2"/>
      <c r="CM29" s="2"/>
      <c r="CP29" s="2"/>
      <c r="CS29" s="2"/>
      <c r="CV29" s="2"/>
      <c r="CY29" s="2"/>
      <c r="DB29" s="2"/>
      <c r="DE29" s="2"/>
      <c r="DH29" s="2"/>
      <c r="DK29" s="2"/>
      <c r="DN29" s="2"/>
      <c r="DQ29" s="2"/>
      <c r="DT29" s="2"/>
      <c r="EA29" s="2"/>
      <c r="ED29" s="2"/>
      <c r="EG29" s="2"/>
      <c r="EJ29" s="2"/>
      <c r="EM29" s="2"/>
      <c r="EP29" s="2"/>
      <c r="ES29" s="2"/>
      <c r="EV29" s="2"/>
      <c r="FI29" s="2"/>
      <c r="FL29" s="2"/>
      <c r="FO29" s="2"/>
      <c r="FR29" s="2"/>
      <c r="FU29" s="2"/>
      <c r="FX29" s="2"/>
      <c r="GA29" s="2"/>
      <c r="GD29" s="2"/>
      <c r="GG29" s="2"/>
      <c r="GJ29" s="2"/>
      <c r="GM29" s="2"/>
      <c r="GP29" s="2"/>
      <c r="GS29" s="2"/>
      <c r="GV29" s="2"/>
      <c r="GY29" s="2"/>
      <c r="HB29" s="2"/>
      <c r="HE29" s="2"/>
      <c r="HH29" s="2"/>
      <c r="HK29" s="2"/>
      <c r="HN29" s="2"/>
      <c r="HQ29" s="2"/>
    </row>
    <row r="30" spans="5:225" x14ac:dyDescent="0.2">
      <c r="E30" s="2"/>
    </row>
    <row r="31" spans="5:225" x14ac:dyDescent="0.2">
      <c r="E31" s="2"/>
    </row>
    <row r="32" spans="5:225" x14ac:dyDescent="0.2">
      <c r="E32" s="2"/>
    </row>
    <row r="33" spans="5:5" x14ac:dyDescent="0.2">
      <c r="E33" s="2"/>
    </row>
    <row r="34" spans="5:5" x14ac:dyDescent="0.2">
      <c r="E34" s="2"/>
    </row>
  </sheetData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D15:AW24"/>
  <sheetViews>
    <sheetView workbookViewId="0">
      <selection activeCell="D15" sqref="D15"/>
    </sheetView>
  </sheetViews>
  <sheetFormatPr defaultRowHeight="12.75" x14ac:dyDescent="0.2"/>
  <cols>
    <col min="31" max="31" width="8.42578125" customWidth="1"/>
    <col min="49" max="49" width="8.42578125" customWidth="1"/>
  </cols>
  <sheetData>
    <row r="15" spans="31:49" x14ac:dyDescent="0.2">
      <c r="AE15" s="2"/>
      <c r="AW15" s="2"/>
    </row>
    <row r="16" spans="31:49" x14ac:dyDescent="0.2">
      <c r="AE16" s="2"/>
      <c r="AW16" s="2"/>
    </row>
    <row r="17" spans="30:49" x14ac:dyDescent="0.2">
      <c r="AE17" s="2"/>
      <c r="AW17" s="2"/>
    </row>
    <row r="18" spans="30:49" x14ac:dyDescent="0.2">
      <c r="AE18" s="2"/>
      <c r="AW18" s="2"/>
    </row>
    <row r="19" spans="30:49" x14ac:dyDescent="0.2">
      <c r="AD19" s="2"/>
      <c r="AE19" s="2"/>
      <c r="AW19" s="2"/>
    </row>
    <row r="20" spans="30:49" x14ac:dyDescent="0.2">
      <c r="AD20" s="2"/>
      <c r="AW20" s="2"/>
    </row>
    <row r="21" spans="30:49" x14ac:dyDescent="0.2">
      <c r="AD21" s="2"/>
      <c r="AW21" s="2"/>
    </row>
    <row r="22" spans="30:49" x14ac:dyDescent="0.2">
      <c r="AD22" s="2"/>
      <c r="AW22" s="2"/>
    </row>
    <row r="23" spans="30:49" x14ac:dyDescent="0.2">
      <c r="AD23" s="2"/>
      <c r="AW23" s="2"/>
    </row>
    <row r="24" spans="30:49" x14ac:dyDescent="0.2">
      <c r="AD24" s="2"/>
      <c r="AW24" s="2"/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C3"/>
  <sheetViews>
    <sheetView workbookViewId="0">
      <selection activeCell="F17" sqref="F17"/>
    </sheetView>
  </sheetViews>
  <sheetFormatPr defaultRowHeight="12.75" x14ac:dyDescent="0.2"/>
  <sheetData>
    <row r="3" spans="3:3" ht="18.75" x14ac:dyDescent="0.3">
      <c r="C3" s="1"/>
    </row>
  </sheetData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C3"/>
  <sheetViews>
    <sheetView workbookViewId="0">
      <selection activeCell="D17" sqref="D17"/>
    </sheetView>
  </sheetViews>
  <sheetFormatPr defaultRowHeight="12.75" x14ac:dyDescent="0.2"/>
  <sheetData>
    <row r="3" spans="3:3" ht="18.75" x14ac:dyDescent="0.3">
      <c r="C3" s="1"/>
    </row>
  </sheetData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C3"/>
  <sheetViews>
    <sheetView workbookViewId="0">
      <selection activeCell="D16" sqref="D16"/>
    </sheetView>
  </sheetViews>
  <sheetFormatPr defaultRowHeight="12.75" x14ac:dyDescent="0.2"/>
  <sheetData>
    <row r="3" spans="3:3" ht="18.75" x14ac:dyDescent="0.3">
      <c r="C3" s="1"/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C3"/>
  <sheetViews>
    <sheetView workbookViewId="0">
      <selection activeCell="D15" sqref="D15"/>
    </sheetView>
  </sheetViews>
  <sheetFormatPr defaultRowHeight="12.75" x14ac:dyDescent="0.2"/>
  <sheetData>
    <row r="3" spans="3:3" ht="18.75" x14ac:dyDescent="0.3">
      <c r="C3" s="1"/>
    </row>
  </sheetData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C3"/>
  <sheetViews>
    <sheetView workbookViewId="0">
      <selection activeCell="D17" sqref="D17"/>
    </sheetView>
  </sheetViews>
  <sheetFormatPr defaultRowHeight="12.75" x14ac:dyDescent="0.2"/>
  <sheetData>
    <row r="3" spans="3:3" ht="18.75" x14ac:dyDescent="0.3">
      <c r="C3" s="1"/>
    </row>
  </sheetData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C3"/>
  <sheetViews>
    <sheetView workbookViewId="0">
      <selection activeCell="E16" sqref="E16"/>
    </sheetView>
  </sheetViews>
  <sheetFormatPr defaultRowHeight="12.75" x14ac:dyDescent="0.2"/>
  <sheetData>
    <row r="3" spans="3:3" ht="18.75" x14ac:dyDescent="0.3">
      <c r="C3" s="1"/>
    </row>
  </sheetData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C3"/>
  <sheetViews>
    <sheetView workbookViewId="0">
      <selection activeCell="D16" sqref="D16"/>
    </sheetView>
  </sheetViews>
  <sheetFormatPr defaultRowHeight="12.75" x14ac:dyDescent="0.2"/>
  <sheetData>
    <row r="3" spans="3:3" ht="18.75" x14ac:dyDescent="0.3">
      <c r="C3" s="1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JBEDITS</vt:lpstr>
      <vt:lpstr>ORIGINAL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Bugden, Jay</cp:lastModifiedBy>
  <dcterms:created xsi:type="dcterms:W3CDTF">2022-02-01T15:13:31Z</dcterms:created>
  <dcterms:modified xsi:type="dcterms:W3CDTF">2022-03-25T10:52:06Z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2022-02-01T15:06:23Z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dad1e680-0f58-450d-a22a-8074326316a0</vt:lpwstr>
  </property>
  <property fmtid="{D5CDD505-2E9C-101B-9397-08002B2CF9AE}" pid="8" name="MSIP_Label_1bfb733f-faef-464c-9b6d-731b56f94973_ContentBits">
    <vt:lpwstr>0</vt:lpwstr>
  </property>
</Properties>
</file>